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492d07282d0454f" /></Relationships>
</file>

<file path=xl/workbook.xml><?xml version="1.0" encoding="utf-8"?>
<x:workbook xmlns:x="http://schemas.openxmlformats.org/spreadsheetml/2006/main">
  <x:sheets>
    <x:sheet xmlns:r="http://schemas.openxmlformats.org/officeDocument/2006/relationships" name="START HERE" sheetId="1" r:id="Rfaa7d9ed3c0e4cb4"/>
    <x:sheet xmlns:r="http://schemas.openxmlformats.org/officeDocument/2006/relationships" name="Architecture Map" sheetId="2" r:id="R67db5f9d1b0c4aba"/>
    <x:sheet xmlns:r="http://schemas.openxmlformats.org/officeDocument/2006/relationships" name="Quick Picks" sheetId="3" r:id="R694131f326c54e94"/>
    <x:sheet xmlns:r="http://schemas.openxmlformats.org/officeDocument/2006/relationships" name="Decision Assistant" sheetId="4" r:id="R24c2e9cdc7024c61"/>
    <x:sheet xmlns:r="http://schemas.openxmlformats.org/officeDocument/2006/relationships" name="Provider Guide" sheetId="5" r:id="R34f01ab0b8dc463f"/>
    <x:sheet xmlns:r="http://schemas.openxmlformats.org/officeDocument/2006/relationships" name="Service Decision Matrix" sheetId="6" r:id="R095fa6ba5fbc4cd4"/>
    <x:sheet xmlns:r="http://schemas.openxmlformats.org/officeDocument/2006/relationships" name="Provider Ratings" sheetId="7" r:id="R06c7953c547b4c9d"/>
    <x:sheet xmlns:r="http://schemas.openxmlformats.org/officeDocument/2006/relationships" name="Cross-Cloud Catalogue" sheetId="8" r:id="Rf6e3ebd1620f45eb"/>
    <x:sheet xmlns:r="http://schemas.openxmlformats.org/officeDocument/2006/relationships" name="AWS Catalogue" sheetId="9" r:id="Rd31eef942d574f41"/>
    <x:sheet xmlns:r="http://schemas.openxmlformats.org/officeDocument/2006/relationships" name="Azure Catalogue" sheetId="10" r:id="Rda05aef2838a4a41"/>
    <x:sheet xmlns:r="http://schemas.openxmlformats.org/officeDocument/2006/relationships" name="GCP Catalogue" sheetId="11" r:id="R55aa53abbe0f43ef"/>
    <x:sheet xmlns:r="http://schemas.openxmlformats.org/officeDocument/2006/relationships" name="Criteria &amp; Scoring" sheetId="12" r:id="R7f7e09b5ab724677"/>
    <x:sheet xmlns:r="http://schemas.openxmlformats.org/officeDocument/2006/relationships" name="Source Register" sheetId="13" r:id="R736f46f208f54f22"/>
    <x:sheet xmlns:r="http://schemas.openxmlformats.org/officeDocument/2006/relationships" name="MASTER TAXONOMY" sheetId="14" r:id="R2f122efc4a894099"/>
    <x:sheet xmlns:r="http://schemas.openxmlformats.org/officeDocument/2006/relationships" name="Exhaustive Decision Matrix" sheetId="15" r:id="Rc7b00453fd824929"/>
    <x:sheet xmlns:r="http://schemas.openxmlformats.org/officeDocument/2006/relationships" name="Coverage Audit" sheetId="16" r:id="Rbcd813f9922740ff"/>
    <x:sheet xmlns:r="http://schemas.openxmlformats.org/officeDocument/2006/relationships" name="Cross-Cutting Lenses" sheetId="17" r:id="R960c44464bf04340"/>
    <x:sheet xmlns:r="http://schemas.openxmlformats.org/officeDocument/2006/relationships" name="Gap Backlog" sheetId="18" r:id="R26269c84220c434e"/>
    <x:sheet xmlns:r="http://schemas.openxmlformats.org/officeDocument/2006/relationships" name="AI Platform Components" sheetId="19" r:id="Rab149b8282894a06"/>
    <x:sheet xmlns:r="http://schemas.openxmlformats.org/officeDocument/2006/relationships" name="AI Governance Controls" sheetId="20" r:id="R4e8e86497e0746b0"/>
    <x:sheet xmlns:r="http://schemas.openxmlformats.org/officeDocument/2006/relationships" name="AI Compliance Evidence" sheetId="21" r:id="R834a2b1ee5ef41dd"/>
    <x:sheet xmlns:r="http://schemas.openxmlformats.org/officeDocument/2006/relationships" name="Database Deep Dive" sheetId="22" r:id="R1e643edb949d4eb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6"/>
      <x:color rgb="FFFFFFFF"/>
      <x:name val="Carlito"/>
    </x:font>
    <x:font>
      <x:i/>
      <x:sz val="10"/>
      <x:color rgb="FF1F2937"/>
      <x:name val="Carlito"/>
    </x:font>
    <x:font>
      <x:b/>
      <x:sz val="11"/>
      <x:color rgb="FFFFFFFF"/>
      <x:name val="Carlito"/>
    </x:font>
    <x:font>
      <x:sz val="11"/>
      <x:color rgb="FF1F2937"/>
      <x:name val="Carlito"/>
    </x:font>
    <x:font>
      <x:b/>
      <x:sz val="11"/>
      <x:color rgb="FF1F2937"/>
      <x:name val="Carlito"/>
    </x:font>
    <x:font>
      <x:b/>
      <x:sz val="12"/>
      <x:name val="Carlito"/>
    </x:font>
    <x:font>
      <x:b/>
      <x:sz val="11"/>
      <x:name val="Carlito"/>
    </x:font>
    <x:font>
      <x:b/>
      <x:sz val="14"/>
      <x:color rgb="FF1F2937"/>
      <x:name val="Carlito"/>
    </x:font>
  </x:fonts>
  <x:fills count="24">
    <x:fill>
      <x:patternFill patternType="none"/>
    </x:fill>
    <x:fill>
      <x:patternFill patternType="gray125"/>
    </x:fill>
    <x:fill>
      <x:patternFill patternType="solid">
        <x:fgColor rgb="FF17365D"/>
      </x:patternFill>
    </x:fill>
    <x:fill>
      <x:patternFill patternType="solid">
        <x:fgColor rgb="FFEEF5FB"/>
      </x:patternFill>
    </x:fill>
    <x:fill>
      <x:patternFill patternType="solid">
        <x:fgColor rgb="FF1F4E78"/>
      </x:patternFill>
    </x:fill>
    <x:fill>
      <x:patternFill patternType="solid">
        <x:fgColor rgb="FFFFF2CC"/>
      </x:patternFill>
    </x:fill>
    <x:fill>
      <x:patternFill patternType="solid">
        <x:fgColor rgb="FFD9EAF7"/>
      </x:patternFill>
    </x:fill>
    <x:fill>
      <x:patternFill patternType="solid">
        <x:fgColor rgb="FFE2F0D9"/>
      </x:patternFill>
    </x:fill>
    <x:fill>
      <x:patternFill patternType="solid">
        <x:fgColor rgb="FFE4DFEC"/>
      </x:patternFill>
    </x:fill>
    <x:fill>
      <x:patternFill patternType="solid">
        <x:fgColor rgb="FFF3F4F6"/>
      </x:patternFill>
    </x:fill>
    <x:fill>
      <x:patternFill patternType="solid">
        <x:fgColor rgb="FF17365D"/>
      </x:patternFill>
    </x:fill>
    <x:fill>
      <x:patternFill patternType="solid">
        <x:fgColor rgb="FFEEF5FB"/>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E4DFEC"/>
      </x:patternFill>
    </x:fill>
    <x:fill>
      <x:patternFill patternType="solid">
        <x:fgColor rgb="FFF3F4F6"/>
      </x:patternFill>
    </x:fill>
    <x:fill>
      <x:patternFill patternType="solid">
        <x:fgColor rgb="FF17365D"/>
      </x:patternFill>
    </x:fill>
    <x:fill>
      <x:patternFill patternType="solid">
        <x:fgColor rgb="FFEEF5FB"/>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4DFEC"/>
      </x:patternFill>
    </x:fill>
    <x:fill>
      <x:patternFill patternType="solid">
        <x:fgColor rgb="FFE2F0D9"/>
      </x:patternFill>
    </x:fill>
  </x:fills>
  <x:borders count="2">
    <x:border/>
    <x:border/>
  </x:borders>
  <x:cellStyleXfs count="1">
    <x:xf numFmtId="0" fontId="0" fillId="0" borderId="0"/>
  </x:cellStyleXfs>
  <x:cellXfs count="1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0" fontId="4" fillId="5" borderId="0" xfId="0" applyNumberFormat="1" applyFont="1" applyFill="1" applyBorder="1" applyAlignment="1">
      <x:alignment vertical="top" wrapText="1"/>
    </x:xf>
    <x:xf numFmtId="200" fontId="4" fillId="5" borderId="1"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0" xfId="0" applyNumberFormat="1" applyFont="1" applyFill="1" applyBorder="1" applyAlignment="1">
      <x:alignment horizontal="center" vertical="top" wrapText="1"/>
    </x:xf>
    <x:xf numFmtId="0" fontId="4" fillId="6"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6" borderId="1" xfId="0" applyNumberFormat="1" applyFont="1" applyFill="1" applyBorder="1" applyAlignment="1">
      <x:alignment horizontal="center" vertical="top"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horizontal="center" wrapText="1"/>
    </x:xf>
    <x:xf numFmtId="0" fontId="6" fillId="7" borderId="0"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horizontal="center" wrapText="1"/>
    </x:xf>
    <x:xf numFmtId="0" fontId="6" fillId="7" borderId="1" xfId="0" applyNumberFormat="1" applyFont="1" applyFill="1" applyBorder="1" applyAlignment="1">
      <x:alignment horizontal="center" vertical="center" wrapText="1"/>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horizontal="center" wrapText="1"/>
    </x:xf>
    <x:xf numFmtId="0" fontId="7" fillId="5" borderId="0" xfId="0" applyNumberFormat="1" applyFont="1" applyFill="1" applyBorder="1" applyAlignment="1">
      <x:alignment horizontal="center" vertical="center" wrapText="1"/>
    </x:xf>
    <x:xf numFmtId="0" fontId="0" fillId="5" borderId="1"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wrapText="1"/>
    </x:xf>
    <x:xf numFmtId="0" fontId="7" fillId="5" borderId="1" xfId="0" applyNumberFormat="1" applyFont="1" applyFill="1" applyBorder="1" applyAlignment="1">
      <x:alignment horizontal="center" wrapText="1"/>
    </x:xf>
    <x:xf numFmtId="0" fontId="7" fillId="5" borderId="1" xfId="0" applyNumberFormat="1" applyFont="1" applyFill="1" applyBorder="1" applyAlignment="1">
      <x:alignment horizontal="center" vertical="center" wrapText="1"/>
    </x:xf>
    <x:xf numFmtId="0" fontId="4" fillId="7" borderId="0"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0" xfId="0" applyNumberFormat="1" applyFont="1" applyFill="1" applyBorder="1" applyAlignment="1">
      <x:alignment horizontal="center" vertical="top" wrapText="1"/>
    </x:xf>
    <x:xf numFmtId="0" fontId="8" fillId="6" borderId="1" xfId="0" applyNumberFormat="1" applyFont="1" applyFill="1" applyBorder="1" applyAlignment="1">
      <x:alignment vertical="top" wrapText="1"/>
    </x:xf>
    <x:xf numFmtId="0" fontId="8" fillId="6" borderId="1" xfId="0" applyNumberFormat="1" applyFont="1" applyFill="1" applyBorder="1" applyAlignment="1">
      <x:alignment horizontal="center" vertical="top"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5" fillId="7" borderId="0"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5" fillId="8" borderId="1" xfId="0" applyNumberFormat="1" applyFont="1" applyFill="1" applyBorder="1" applyAlignment="1">
      <x:alignment vertical="top"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4" fillId="9" borderId="0" xfId="0" applyNumberFormat="1" applyFont="1" applyFill="1" applyBorder="1" applyAlignment="1">
      <x:alignment vertical="center" wrapText="1"/>
    </x:xf>
    <x:xf numFmtId="0" fontId="0" fillId="9" borderId="1" xfId="0" applyNumberFormat="1" applyFont="1" applyFill="1" applyBorder="1"/>
    <x:xf numFmtId="0" fontId="4" fillId="9" borderId="1" xfId="0" applyNumberFormat="1" applyFont="1" applyFill="1" applyBorder="1"/>
    <x:xf numFmtId="0" fontId="4" fillId="9" borderId="1" xfId="0" applyNumberFormat="1" applyFont="1" applyFill="1" applyBorder="1" applyAlignment="1">
      <x:alignment wrapText="1"/>
    </x:xf>
    <x:xf numFmtId="0" fontId="4" fillId="9" borderId="1" xfId="0" applyNumberFormat="1" applyFont="1" applyFill="1" applyBorder="1" applyAlignment="1">
      <x:alignment vertical="center" wrapText="1"/>
    </x:xf>
    <x:xf numFmtId="0" fontId="0" fillId="0" borderId="0" xfId="0" applyNumberFormat="1" applyFont="1" applyFill="1" applyBorder="1"/>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center"/>
    </x:xf>
    <x:xf numFmtId="0" fontId="1" fillId="10" borderId="0" xfId="0" applyNumberFormat="1" applyFont="1" applyFill="1" applyBorder="1" applyAlignment="1">
      <x:alignment horizontal="center" vertical="center"/>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vertical="center" wrapText="1"/>
    </x:xf>
    <x:xf numFmtId="0" fontId="0" fillId="12" borderId="0" xfId="0" applyNumberFormat="1" applyFont="1" applyFill="1" applyBorder="1"/>
    <x:xf numFmtId="0" fontId="3" fillId="12" borderId="0" xfId="0" applyNumberFormat="1" applyFont="1" applyFill="1" applyBorder="1"/>
    <x:xf numFmtId="0" fontId="3" fillId="12" xfId="0" applyNumberFormat="1" applyFont="1" applyFill="1" applyBorder="0"/>
    <x:xf numFmtId="0" fontId="3" fillId="12" xfId="0" applyNumberFormat="1" applyFont="1" applyFill="1" applyBorder="0" applyAlignment="1">
      <x:alignment wrapText="1"/>
    </x:xf>
    <x:xf numFmtId="0" fontId="3" fillId="12" xfId="0" applyNumberFormat="1" applyFont="1" applyFill="1" applyBorder="0" applyAlignment="1">
      <x:alignment horizontal="center" wrapText="1"/>
    </x:xf>
    <x:xf numFmtId="0" fontId="3" fillId="12" xfId="0" applyNumberFormat="1" applyFont="1" applyFill="1" applyBorder="0" applyAlignment="1">
      <x:alignment horizontal="center" vertical="center" wrapText="1"/>
    </x:xf>
    <x:xf numFmtId="0" fontId="4" fillId="0" xfId="0" applyNumberFormat="1" applyFont="1" applyFill="1" applyBorder="0"/>
    <x:xf numFmtId="0" fontId="4" fillId="0" xfId="0" applyNumberFormat="1" applyFont="1" applyFill="1" applyBorder="0" applyAlignment="1">
      <x:alignment wrapText="1"/>
    </x:xf>
    <x:xf numFmtId="0" fontId="4" fillId="0" xfId="0" applyNumberFormat="1" applyFont="1" applyFill="1" applyBorder="0" applyAlignment="1">
      <x:alignment vertical="top" wrapText="1"/>
    </x:xf>
    <x:xf numFmtId="0" fontId="4" fillId="13" xfId="0" applyNumberFormat="1" applyFont="1" applyFill="1" applyBorder="0" applyAlignment="1">
      <x:alignment vertical="top" wrapText="1"/>
    </x:xf>
    <x:xf numFmtId="0" fontId="4" fillId="11" xfId="0" applyNumberFormat="1" applyFont="1" applyFill="1" applyBorder="0" applyAlignment="1">
      <x:alignment vertical="top" wrapText="1"/>
    </x:xf>
    <x:xf numFmtId="0" fontId="4" fillId="14" xfId="0" applyNumberFormat="1" applyFont="1" applyFill="1" applyBorder="0" applyAlignment="1">
      <x:alignment vertical="top" wrapText="1"/>
    </x:xf>
    <x:xf numFmtId="0" fontId="4" fillId="15" xfId="0" applyNumberFormat="1" applyFont="1" applyFill="1" applyBorder="0" applyAlignment="1">
      <x:alignment vertical="top" wrapText="1"/>
    </x:xf>
    <x:xf numFmtId="0" fontId="5" fillId="14" borderId="0" xfId="0" applyNumberFormat="1" applyFont="1" applyFill="1" applyBorder="1" applyAlignment="1">
      <x:alignment vertical="top" wrapText="1"/>
    </x:xf>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vertical="center"/>
    </x:xf>
    <x:xf numFmtId="0" fontId="0" fillId="16" borderId="0" xfId="0" applyNumberFormat="1" applyFont="1" applyFill="1" applyBorder="1"/>
    <x:xf numFmtId="0" fontId="0" fillId="16" xfId="0" applyNumberFormat="1" applyFont="1" applyFill="1" applyBorder="0"/>
    <x:xf numFmtId="0" fontId="0" fillId="16" xfId="0" applyNumberFormat="1" applyFont="1" applyFill="1" applyBorder="0" applyAlignment="1">
      <x:alignment wrapText="1"/>
    </x:xf>
    <x:xf numFmtId="0" fontId="0" fillId="16" xfId="0" applyNumberFormat="1" applyFont="1" applyFill="1" applyBorder="0" applyAlignment="1">
      <x:alignment vertical="center" wrapText="1"/>
    </x:xf>
    <x:xf numFmtId="0" fontId="2" fillId="3" borderId="0" xfId="0" applyNumberFormat="1" applyFont="1" applyFill="1" applyBorder="1" applyAlignment="1">
      <x:alignment vertical="center" wrapText="1"/>
    </x:xf>
    <x:xf numFmtId="0" fontId="3" fillId="4" xfId="0" applyNumberFormat="1" applyFont="1" applyFill="1" applyBorder="0"/>
    <x:xf numFmtId="0" fontId="3" fillId="4" xfId="0" applyNumberFormat="1" applyFont="1" applyFill="1" applyBorder="0" applyAlignment="1">
      <x:alignment wrapText="1"/>
    </x:xf>
    <x:xf numFmtId="0" fontId="3" fillId="4" xfId="0" applyNumberFormat="1" applyFont="1" applyFill="1" applyBorder="0" applyAlignment="1">
      <x:alignment horizontal="center" wrapText="1"/>
    </x:xf>
    <x:xf numFmtId="0" fontId="3" fillId="4" xfId="0" applyNumberFormat="1" applyFont="1" applyFill="1" applyBorder="0" applyAlignment="1">
      <x:alignment horizontal="center" vertical="center" wrapText="1"/>
    </x:xf>
    <x:xf numFmtId="0" fontId="4" fillId="6" xfId="0" applyNumberFormat="1" applyFont="1" applyFill="1" applyBorder="0" applyAlignment="1">
      <x:alignment vertical="top" wrapText="1"/>
    </x:xf>
    <x:xf numFmtId="0" fontId="4" fillId="3" xfId="0" applyNumberFormat="1" applyFont="1" applyFill="1" applyBorder="0" applyAlignment="1">
      <x:alignment vertical="top" wrapText="1"/>
    </x:xf>
    <x:xf numFmtId="0" fontId="4" fillId="7" xfId="0" applyNumberFormat="1" applyFont="1" applyFill="1" applyBorder="0" applyAlignment="1">
      <x:alignment vertical="top" wrapText="1"/>
    </x:xf>
    <x:xf numFmtId="0" fontId="4" fillId="8" xfId="0" applyNumberFormat="1" applyFont="1" applyFill="1" applyBorder="0" applyAlignment="1">
      <x:alignment vertical="top" wrapText="1"/>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9" xfId="0" applyNumberFormat="1" applyFont="1" applyFill="1" applyBorder="0"/>
    <x:xf numFmtId="0" fontId="0" fillId="9" xfId="0" applyNumberFormat="1" applyFont="1" applyFill="1" applyBorder="0" applyAlignment="1">
      <x:alignment wrapText="1"/>
    </x:xf>
    <x:xf numFmtId="0" fontId="0" fillId="9" xfId="0" applyNumberFormat="1" applyFont="1" applyFill="1" applyBorder="0" applyAlignment="1">
      <x:alignment vertical="center"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horizontal="center"/>
    </x:xf>
    <x:xf numFmtId="0" fontId="1" fillId="17" borderId="0" xfId="0" applyNumberFormat="1" applyFont="1" applyFill="1" applyBorder="1" applyAlignment="1">
      <x:alignment horizontal="center" vertical="center"/>
    </x:xf>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wrapText="1"/>
    </x:xf>
    <x:xf numFmtId="0" fontId="2" fillId="18" borderId="0" xfId="0" applyNumberFormat="1" applyFont="1" applyFill="1" applyBorder="1" applyAlignment="1">
      <x:alignment vertical="center" wrapText="1"/>
    </x:xf>
    <x:xf numFmtId="0" fontId="0" fillId="19" borderId="0" xfId="0" applyNumberFormat="1" applyFont="1" applyFill="1" applyBorder="1"/>
    <x:xf numFmtId="0" fontId="3" fillId="19" borderId="0" xfId="0" applyNumberFormat="1" applyFont="1" applyFill="1" applyBorder="1"/>
    <x:xf numFmtId="0" fontId="3" fillId="19" xfId="0" applyNumberFormat="1" applyFont="1" applyFill="1" applyBorder="0"/>
    <x:xf numFmtId="0" fontId="3" fillId="19" xfId="0" applyNumberFormat="1" applyFont="1" applyFill="1" applyBorder="0" applyAlignment="1">
      <x:alignment wrapText="1"/>
    </x:xf>
    <x:xf numFmtId="0" fontId="3" fillId="19" xfId="0" applyNumberFormat="1" applyFont="1" applyFill="1" applyBorder="0" applyAlignment="1">
      <x:alignment horizontal="center" wrapText="1"/>
    </x:xf>
    <x:xf numFmtId="0" fontId="3" fillId="19" xfId="0" applyNumberFormat="1" applyFont="1" applyFill="1" applyBorder="0" applyAlignment="1">
      <x:alignment horizontal="center" vertical="center" wrapText="1"/>
    </x:xf>
    <x:xf numFmtId="0" fontId="4" fillId="20" xfId="0" applyNumberFormat="1" applyFont="1" applyFill="1" applyBorder="0" applyAlignment="1">
      <x:alignment vertical="top" wrapText="1"/>
    </x:xf>
    <x:xf numFmtId="0" fontId="4" fillId="18" xfId="0" applyNumberFormat="1" applyFont="1" applyFill="1" applyBorder="0" applyAlignment="1">
      <x:alignment vertical="top" wrapText="1"/>
    </x:xf>
    <x:xf numFmtId="0" fontId="4" fillId="21" xfId="0" applyNumberFormat="1" applyFont="1" applyFill="1" applyBorder="0" applyAlignment="1">
      <x:alignment vertical="top" wrapText="1"/>
    </x:xf>
    <x:xf numFmtId="0" fontId="4" fillId="22" xfId="0" applyNumberFormat="1" applyFont="1" applyFill="1" applyBorder="0" applyAlignment="1">
      <x:alignment vertical="top" wrapText="1"/>
    </x:xf>
    <x:xf numFmtId="0" fontId="4" fillId="23" xfId="0" applyNumberFormat="1" applyFont="1" applyFill="1" applyBorder="0" applyAlignment="1">
      <x:alignment vertical="top" wrapText="1"/>
    </x:xf>
    <x:xf numFmtId="0" fontId="5" fillId="4" borderId="0" xfId="0" applyNumberFormat="1" applyFont="1" applyFill="1" applyBorder="1" applyAlignment="1">
      <x:alignment horizontal="center" vertical="center" wrapText="1"/>
    </x:xf>
    <x:xf numFmtId="0" fontId="5" fillId="7" xfId="0" applyNumberFormat="1" applyFont="1" applyFill="1" applyBorder="0" applyAlignment="1">
      <x:alignment vertical="top" wrapText="1"/>
    </x:xf>
    <x:xf numFmtId="0" fontId="5" fillId="4" xfId="0" applyNumberFormat="1" applyFont="1" applyFill="1" applyBorder="0" applyAlignment="1">
      <x:alignment horizontal="center" vertical="center" wrapText="1"/>
    </x:xf>
    <x:xf numFmtId="0" fontId="5" fillId="4" xfId="0" applyNumberFormat="1" applyFont="1" applyFill="1" applyBorder="0" applyAlignment="1">
      <x:alignment horizontal="center" vertical="top" wrapText="1"/>
    </x:xf>
    <x:xf numFmtId="0" fontId="5" fillId="23" xfId="0" applyNumberFormat="1" applyFont="1" applyFill="1" applyBorder="0" applyAlignment="1">
      <x:alignment vertical="top" wrapText="1"/>
    </x:xf>
    <x:xf numFmtId="0" fontId="5" fillId="23" xfId="0" applyNumberFormat="1" applyFont="1" applyFill="1" applyBorder="0" applyAlignment="1">
      <x:alignment horizontal="center" vertical="top" wrapText="1"/>
    </x:xf>
  </x:cellXfs>
  <x:cellStyles count="1">
    <x:cellStyle name="Normal" xfId="0"/>
  </x:cellStyles>
  <x:dxfs count="17">
    <x:dxf>
      <x:font>
        <x:b/>
      </x:font>
      <x:fill>
        <x:patternFill>
          <x:bgColor rgb="FFFFF2CC"/>
        </x:patternFill>
      </x:fill>
    </x:dxf>
    <x:dxf>
      <x:fill>
        <x:patternFill>
          <x:bgColor rgb="FFE2F0D9"/>
        </x:patternFill>
      </x:fill>
    </x:dxf>
    <x:dxf>
      <x:fill>
        <x:patternFill>
          <x:bgColor rgb="FFFCE4D6"/>
        </x:patternFill>
      </x:fill>
    </x:dxf>
    <x:dxf>
      <x:font>
        <x:b/>
      </x:font>
      <x:fill>
        <x:patternFill>
          <x:bgColor rgb="FFFFF2CC"/>
        </x:patternFill>
      </x:fill>
    </x:dxf>
    <x:dxf>
      <x:fill>
        <x:patternFill>
          <x:bgColor rgb="FFE2F0D9"/>
        </x:patternFill>
      </x:fill>
    </x:dxf>
    <x:dxf>
      <x:fill>
        <x:patternFill>
          <x:bgColor rgb="FFFCE4D6"/>
        </x:patternFill>
      </x:fill>
    </x:dxf>
    <x:dxf>
      <x:fill>
        <x:patternFill>
          <x:bgColor rgb="FFE2F0D9"/>
        </x:patternFill>
      </x:fill>
    </x:dxf>
    <x:dxf>
      <x:fill>
        <x:patternFill>
          <x:bgColor rgb="FFFCE4D6"/>
        </x:patternFill>
      </x:fill>
    </x:dxf>
    <x:dxf>
      <x:fill>
        <x:patternFill>
          <x:bgColor rgb="FFFCE4D6"/>
        </x:patternFill>
      </x:fill>
    </x:dxf>
    <x:dxf>
      <x:font>
        <x:b/>
      </x:font>
      <x:fill>
        <x:patternFill>
          <x:bgColor rgb="FFE2F0D9"/>
        </x:patternFill>
      </x:fill>
    </x:dxf>
    <x:dxf>
      <x:fill>
        <x:patternFill>
          <x:bgColor rgb="FFEEF5FB"/>
        </x:patternFill>
      </x:fill>
    </x:dxf>
    <x:dxf>
      <x:font>
        <x:b/>
      </x:font>
      <x:fill>
        <x:patternFill>
          <x:bgColor rgb="FFFFF2CC"/>
        </x:patternFill>
      </x:fill>
    </x:dxf>
    <x:dxf>
      <x:font>
        <x:b/>
      </x:font>
      <x:fill>
        <x:patternFill>
          <x:bgColor rgb="FFFCE4D6"/>
        </x:patternFill>
      </x:fill>
    </x:dxf>
    <x:dxf>
      <x:font>
        <x:b/>
      </x:font>
      <x:fill>
        <x:patternFill>
          <x:bgColor rgb="FFFCE4D6"/>
        </x:patternFill>
      </x:fill>
    </x:dxf>
    <x:dxf>
      <x:font>
        <x:b/>
      </x:font>
      <x:fill>
        <x:patternFill>
          <x:bgColor rgb="FFFFF2CC"/>
        </x:patternFill>
      </x:fill>
    </x:dxf>
    <x:dxf>
      <x:font>
        <x:b/>
      </x:font>
      <x:fill>
        <x:patternFill>
          <x:bgColor rgb="FFFCE4D6"/>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5425c48fe648dc" /><Relationship Type="http://schemas.openxmlformats.org/officeDocument/2006/relationships/theme" Target="/xl/theme/theme1.xml" Id="R6bca5c52a6a347d4" /><Relationship Type="http://schemas.openxmlformats.org/officeDocument/2006/relationships/sharedStrings" Target="/xl/sharedStrings.xml" Id="R8b61259a2a4449aa" /><Relationship Type="http://schemas.openxmlformats.org/officeDocument/2006/relationships/worksheet" Target="/xl/worksheets/sheet1.xml" Id="Rfaa7d9ed3c0e4cb4" /><Relationship Type="http://schemas.openxmlformats.org/officeDocument/2006/relationships/worksheet" Target="/xl/worksheets/sheet2.xml" Id="R67db5f9d1b0c4aba" /><Relationship Type="http://schemas.openxmlformats.org/officeDocument/2006/relationships/worksheet" Target="/xl/worksheets/sheet3.xml" Id="R694131f326c54e94" /><Relationship Type="http://schemas.openxmlformats.org/officeDocument/2006/relationships/worksheet" Target="/xl/worksheets/sheet4.xml" Id="R24c2e9cdc7024c61" /><Relationship Type="http://schemas.openxmlformats.org/officeDocument/2006/relationships/worksheet" Target="/xl/worksheets/sheet5.xml" Id="R34f01ab0b8dc463f" /><Relationship Type="http://schemas.openxmlformats.org/officeDocument/2006/relationships/worksheet" Target="/xl/worksheets/sheet6.xml" Id="R095fa6ba5fbc4cd4" /><Relationship Type="http://schemas.openxmlformats.org/officeDocument/2006/relationships/worksheet" Target="/xl/worksheets/sheet7.xml" Id="R06c7953c547b4c9d" /><Relationship Type="http://schemas.openxmlformats.org/officeDocument/2006/relationships/worksheet" Target="/xl/worksheets/sheet8.xml" Id="Rf6e3ebd1620f45eb" /><Relationship Type="http://schemas.openxmlformats.org/officeDocument/2006/relationships/worksheet" Target="/xl/worksheets/sheet9.xml" Id="Rd31eef942d574f41" /><Relationship Type="http://schemas.openxmlformats.org/officeDocument/2006/relationships/worksheet" Target="/xl/worksheets/sheet10.xml" Id="Rda05aef2838a4a41" /><Relationship Type="http://schemas.openxmlformats.org/officeDocument/2006/relationships/worksheet" Target="/xl/worksheets/sheet11.xml" Id="R55aa53abbe0f43ef" /><Relationship Type="http://schemas.openxmlformats.org/officeDocument/2006/relationships/worksheet" Target="/xl/worksheets/sheet12.xml" Id="R7f7e09b5ab724677" /><Relationship Type="http://schemas.openxmlformats.org/officeDocument/2006/relationships/worksheet" Target="/xl/worksheets/sheet13.xml" Id="R736f46f208f54f22" /><Relationship Type="http://schemas.openxmlformats.org/officeDocument/2006/relationships/worksheet" Target="/xl/worksheets/sheet14.xml" Id="R2f122efc4a894099" /><Relationship Type="http://schemas.openxmlformats.org/officeDocument/2006/relationships/worksheet" Target="/xl/worksheets/sheet15.xml" Id="Rc7b00453fd824929" /><Relationship Type="http://schemas.openxmlformats.org/officeDocument/2006/relationships/worksheet" Target="/xl/worksheets/sheet16.xml" Id="Rbcd813f9922740ff" /><Relationship Type="http://schemas.openxmlformats.org/officeDocument/2006/relationships/worksheet" Target="/xl/worksheets/sheet17.xml" Id="R960c44464bf04340" /><Relationship Type="http://schemas.openxmlformats.org/officeDocument/2006/relationships/worksheet" Target="/xl/worksheets/sheet18.xml" Id="R26269c84220c434e" /><Relationship Type="http://schemas.openxmlformats.org/officeDocument/2006/relationships/worksheet" Target="/xl/worksheets/sheet19.xml" Id="Rab149b8282894a06" /><Relationship Type="http://schemas.openxmlformats.org/officeDocument/2006/relationships/worksheet" Target="/xl/worksheets/sheet20.xml" Id="R4e8e86497e0746b0" /><Relationship Type="http://schemas.openxmlformats.org/officeDocument/2006/relationships/worksheet" Target="/xl/worksheets/sheet21.xml" Id="R834a2b1ee5ef41dd" /><Relationship Type="http://schemas.openxmlformats.org/officeDocument/2006/relationships/worksheet" Target="/xl/worksheets/sheet22.xml" Id="R1e643edb949d4eb8" /></Relationships>
</file>

<file path=xl/drawings/_rels/drawing1.xml.rels>&#65279;<?xml version="1.0" encoding="utf-8"?><Relationships xmlns="http://schemas.openxmlformats.org/package/2006/relationships"><Relationship Type="http://schemas.openxmlformats.org/officeDocument/2006/relationships/chart" Target="/xl/drawings/charts/chart1.xml" Id="Ra13c19aa0b1a490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Average decision-support score by architecture layer</a:t>
            </a:r>
          </a:p>
        </c:rich>
      </c:tx>
      <c:overlay val="0"/>
    </c:title>
    <c:autoTitleDeleted val="0"/>
    <c:plotArea>
      <c:layout/>
      <c:barChart>
        <c:barDir val="col"/>
        <c:varyColors val="0"/>
        <c:ser>
          <c:idx val="0"/>
          <c:order val="0"/>
          <c:tx>
            <c:v>AWS average</c:v>
          </c:tx>
          <c:cat>
            <c:strRef>
              <c:f>'Provider Guide'!$A$5:$A$14</c:f>
              <c:strCache>
                <c:ptCount val="0"/>
              </c:strCache>
            </c:strRef>
          </c:cat>
          <c:val>
            <c:numRef>
              <c:f>'Provider Guide'!$B$5:$B$14</c:f>
              <c:numCache>
                <c:formatCode>General</c:formatCode>
                <c:ptCount val="0"/>
              </c:numCache>
            </c:numRef>
          </c:val>
        </c:ser>
        <c:ser>
          <c:idx val="1"/>
          <c:order val="1"/>
          <c:tx>
            <c:v>Azure average</c:v>
          </c:tx>
          <c:cat>
            <c:strRef>
              <c:f>'Provider Guide'!$A$5:$A$14</c:f>
              <c:strCache>
                <c:ptCount val="0"/>
              </c:strCache>
            </c:strRef>
          </c:cat>
          <c:val>
            <c:numRef>
              <c:f>'Provider Guide'!$C$5:$C$14</c:f>
              <c:numCache>
                <c:formatCode>General</c:formatCode>
                <c:ptCount val="0"/>
              </c:numCache>
            </c:numRef>
          </c:val>
        </c:ser>
        <c:ser>
          <c:idx val="2"/>
          <c:order val="2"/>
          <c:tx>
            <c:v>GCP average</c:v>
          </c:tx>
          <c:cat>
            <c:strRef>
              <c:f>'Provider Guide'!$A$5:$A$14</c:f>
              <c:strCache>
                <c:ptCount val="0"/>
              </c:strCache>
            </c:strRef>
          </c:cat>
          <c:val>
            <c:numRef>
              <c:f>'Provider Guide'!$D$5:$D$14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16</xdr:row>
      <xdr:rowOff>0</xdr:rowOff>
    </xdr:from>
    <xdr:to>
      <xdr:col>7</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3c19aa0b1a4903"/>
        </a:graphicData>
      </a:graphic>
    </xdr:graphicFrame>
    <xdr:clientData/>
  </xdr:twoCellAnchor>
</xdr:wsDr>
</file>

<file path=xl/tables/table1.xml><?xml version="1.0" encoding="utf-8"?>
<x:table xmlns:x="http://schemas.openxmlformats.org/spreadsheetml/2006/main" id="4" name="ArchitectureMapTable" displayName="ArchitectureMapTable" ref="A4:F14" headerRowCount="1">
  <x:tableColumns count="6">
    <x:tableColumn id="1" name="Layer"/>
    <x:tableColumn id="2" name="Purpose"/>
    <x:tableColumn id="3" name="Subcategories"/>
    <x:tableColumn id="4" name="Primary decision question"/>
    <x:tableColumn id="5" name="Typical solution-engineering outputs"/>
    <x:tableColumn id="6" name="Stop rule"/>
  </x:tableColumns>
  <x:tableStyleInfo name="TableStyleMedium2" showRowStripes="1"/>
</x:table>
</file>

<file path=xl/tables/table2.xml><?xml version="1.0" encoding="utf-8"?>
<x:table xmlns:x="http://schemas.openxmlformats.org/spreadsheetml/2006/main" id="5" name="QuickPicksTable" displayName="QuickPicksTable" ref="A4:L37" headerRowCount="1">
  <x:tableColumns count="12">
    <x:tableColumn id="1" name="Scenario"/>
    <x:tableColumn id="2" name="Architecture layer"/>
    <x:tableColumn id="3" name="Subcategory"/>
    <x:tableColumn id="4" name="Use when / trigger"/>
    <x:tableColumn id="5" name="AWS option"/>
    <x:tableColumn id="6" name="Azure option"/>
    <x:tableColumn id="7" name="Google Cloud option"/>
    <x:tableColumn id="8" name="Default first choice"/>
    <x:tableColumn id="9" name="Choose AWS when"/>
    <x:tableColumn id="10" name="Choose Azure when"/>
    <x:tableColumn id="11" name="Choose Google Cloud when"/>
    <x:tableColumn id="12" name="Complexity / caution"/>
  </x:tableColumns>
  <x:tableStyleInfo name="TableStyleMedium2" showRowStripes="1"/>
</x:table>
</file>

<file path=xl/tables/table3.xml><?xml version="1.0" encoding="utf-8"?>
<x:table xmlns:x="http://schemas.openxmlformats.org/spreadsheetml/2006/main" id="6" name="ProviderGuideTable" displayName="ProviderGuideTable" ref="A4:G14" headerRowCount="1">
  <x:tableColumns count="7">
    <x:tableColumn id="1" name="Architecture layer"/>
    <x:tableColumn id="2" name="AWS average"/>
    <x:tableColumn id="3" name="Azure average"/>
    <x:tableColumn id="4" name="GCP average"/>
    <x:tableColumn id="5" name="Default leader"/>
    <x:tableColumn id="6" name="What usually decides the outcome"/>
    <x:tableColumn id="7" name="Caution"/>
  </x:tableColumns>
  <x:tableStyleInfo name="TableStyleMedium2" showRowStripes="1"/>
</x:table>
</file>

<file path=xl/tables/table4.xml><?xml version="1.0" encoding="utf-8"?>
<x:table xmlns:x="http://schemas.openxmlformats.org/spreadsheetml/2006/main" id="3" name="ServiceDecisionMatrixTable" displayName="ServiceDecisionMatrixTable" ref="A4:Y272" headerRowCount="1">
  <x:tableColumns count="25">
    <x:tableColumn id="1" name="Architecture layer"/>
    <x:tableColumn id="2" name="Domain"/>
    <x:tableColumn id="3" name="Subcategory"/>
    <x:tableColumn id="4" name="Decision level"/>
    <x:tableColumn id="5" name="Original category"/>
    <x:tableColumn id="6" name="Generic capability"/>
    <x:tableColumn id="7" name="Plain-English purpose"/>
    <x:tableColumn id="8" name="Use when"/>
    <x:tableColumn id="9" name="Key decision question"/>
    <x:tableColumn id="10" name="Key trade-off"/>
    <x:tableColumn id="11" name="Adoption ease score"/>
    <x:tableColumn id="12" name="Ease"/>
    <x:tableColumn id="13" name="Time to first value"/>
    <x:tableColumn id="14" name="Lock-in risk"/>
    <x:tableColumn id="15" name="AWS alternative(s)"/>
    <x:tableColumn id="16" name="Azure alternative(s)"/>
    <x:tableColumn id="17" name="Google Cloud alternative(s)"/>
    <x:tableColumn id="18" name="AWS score"/>
    <x:tableColumn id="19" name="Azure score"/>
    <x:tableColumn id="20" name="GCP score"/>
    <x:tableColumn id="21" name="Default best fit"/>
    <x:tableColumn id="22" name="Recommendation"/>
    <x:tableColumn id="23" name="Equivalence"/>
    <x:tableColumn id="24" name="Mapping notes"/>
    <x:tableColumn id="25" name="Verified date"/>
  </x:tableColumns>
  <x:tableStyleInfo name="TableStyleMedium2" showRowStripes="1"/>
</x:table>
</file>

<file path=xl/tables/table5.xml><?xml version="1.0" encoding="utf-8"?>
<x:table xmlns:x="http://schemas.openxmlformats.org/spreadsheetml/2006/main" id="2" name="ProviderRatingsTable" displayName="ProviderRatingsTable" ref="A4:AJ272" headerRowCount="1">
  <x:tableColumns count="36">
    <x:tableColumn id="1" name="Generic capability"/>
    <x:tableColumn id="2" name="Architecture layer"/>
    <x:tableColumn id="3" name="Subcategory"/>
    <x:tableColumn id="4" name="Decision level"/>
    <x:tableColumn id="5" name="Decision question"/>
    <x:tableColumn id="6" name="AWS service(s)"/>
    <x:tableColumn id="7" name="Azure service(s)"/>
    <x:tableColumn id="8" name="Google Cloud service(s)"/>
    <x:tableColumn id="9" name="AWS Depth"/>
    <x:tableColumn id="10" name="AWS Ease"/>
    <x:tableColumn id="11" name="AWS Enterprise"/>
    <x:tableColumn id="12" name="AWS Data &amp; AI"/>
    <x:tableColumn id="13" name="AWS Portability"/>
    <x:tableColumn id="14" name="AWS Operations"/>
    <x:tableColumn id="15" name="AWS Cost"/>
    <x:tableColumn id="16" name="Azure Depth"/>
    <x:tableColumn id="17" name="Azure Ease"/>
    <x:tableColumn id="18" name="Azure Enterprise"/>
    <x:tableColumn id="19" name="Azure Data &amp; AI"/>
    <x:tableColumn id="20" name="Azure Portability"/>
    <x:tableColumn id="21" name="Azure Operations"/>
    <x:tableColumn id="22" name="Azure Cost"/>
    <x:tableColumn id="23" name="GCP Depth"/>
    <x:tableColumn id="24" name="GCP Ease"/>
    <x:tableColumn id="25" name="GCP Enterprise"/>
    <x:tableColumn id="26" name="GCP Data &amp; AI"/>
    <x:tableColumn id="27" name="GCP Portability"/>
    <x:tableColumn id="28" name="GCP Operations"/>
    <x:tableColumn id="29" name="GCP Cost"/>
    <x:tableColumn id="30" name="AWS Overall"/>
    <x:tableColumn id="31" name="Azure Overall"/>
    <x:tableColumn id="32" name="GCP Overall"/>
    <x:tableColumn id="33" name="Default best fit"/>
    <x:tableColumn id="34" name="Recommendation logic"/>
    <x:tableColumn id="35" name="Confidence"/>
    <x:tableColumn id="36" name="Verified date"/>
  </x:tableColumns>
  <x:tableStyleInfo name="TableStyleMedium2" showRowStripes="1"/>
</x:table>
</file>

<file path=xl/tables/table6.xml><?xml version="1.0" encoding="utf-8"?>
<x:table xmlns:x="http://schemas.openxmlformats.org/spreadsheetml/2006/main" id="7" name="CrossCloudCatalogueTable" displayName="CrossCloudCatalogueTable" ref="A4:M272" headerRowCount="1">
  <x:tableColumns count="13">
    <x:tableColumn id="1" name="Domain"/>
    <x:tableColumn id="2" name="Category"/>
    <x:tableColumn id="3" name="Generic capability"/>
    <x:tableColumn id="4" name="Short description"/>
    <x:tableColumn id="5" name="AWS alternative(s)"/>
    <x:tableColumn id="6" name="Microsoft Azure alternative(s)"/>
    <x:tableColumn id="7" name="Google Cloud alternative(s)"/>
    <x:tableColumn id="8" name="Equivalence"/>
    <x:tableColumn id="9" name="Mapping notes"/>
    <x:tableColumn id="10" name="AWS official catalogue"/>
    <x:tableColumn id="11" name="Azure official catalogue"/>
    <x:tableColumn id="12" name="Google Cloud official catalogue"/>
    <x:tableColumn id="13" name="Verified date"/>
  </x:tableColumns>
  <x:tableStyleInfo name="TableStyleMedium2" showRowStripes="1"/>
</x:table>
</file>

<file path=xl/tables/table7.xml><?xml version="1.0" encoding="utf-8"?>
<x:table xmlns:x="http://schemas.openxmlformats.org/spreadsheetml/2006/main" id="8" name="AWSCatalogueDecisionTable" displayName="AWSCatalogueDecisionTable" ref="A4:K321" headerRowCount="1">
  <x:tableColumns count="11">
    <x:tableColumn id="1" name="Provider"/>
    <x:tableColumn id="2" name="Service or product family"/>
    <x:tableColumn id="3" name="Entry type"/>
    <x:tableColumn id="4" name="Domain(s)"/>
    <x:tableColumn id="5" name="Category / categories"/>
    <x:tableColumn id="6" name="Mapped generic capability / capabilities"/>
    <x:tableColumn id="7" name="Short description"/>
    <x:tableColumn id="8" name="Mapping confidence"/>
    <x:tableColumn id="9" name="Notes"/>
    <x:tableColumn id="10" name="Official catalogue"/>
    <x:tableColumn id="11" name="Verified date"/>
  </x:tableColumns>
  <x:tableStyleInfo name="TableStyleMedium2" showRowStripes="1"/>
</x:table>
</file>

<file path=xl/tables/table8.xml><?xml version="1.0" encoding="utf-8"?>
<x:table xmlns:x="http://schemas.openxmlformats.org/spreadsheetml/2006/main" id="9" name="AzureCatalogueDecisionTable" displayName="AzureCatalogueDecisionTable" ref="A4:K308" headerRowCount="1">
  <x:tableColumns count="11">
    <x:tableColumn id="1" name="Provider"/>
    <x:tableColumn id="2" name="Service or product family"/>
    <x:tableColumn id="3" name="Entry type"/>
    <x:tableColumn id="4" name="Domain(s)"/>
    <x:tableColumn id="5" name="Category / categories"/>
    <x:tableColumn id="6" name="Mapped generic capability / capabilities"/>
    <x:tableColumn id="7" name="Short description"/>
    <x:tableColumn id="8" name="Mapping confidence"/>
    <x:tableColumn id="9" name="Notes"/>
    <x:tableColumn id="10" name="Official catalogue"/>
    <x:tableColumn id="11" name="Verified date"/>
  </x:tableColumns>
  <x:tableStyleInfo name="TableStyleMedium2" showRowStripes="1"/>
</x:table>
</file>

<file path=xl/tables/table9.xml><?xml version="1.0" encoding="utf-8"?>
<x:table xmlns:x="http://schemas.openxmlformats.org/spreadsheetml/2006/main" id="10" name="GCPCatalogueDecisionTable" displayName="GCPCatalogueDecisionTable" ref="A4:K305" headerRowCount="1">
  <x:tableColumns count="11">
    <x:tableColumn id="1" name="Provider"/>
    <x:tableColumn id="2" name="Service or product family"/>
    <x:tableColumn id="3" name="Entry type"/>
    <x:tableColumn id="4" name="Domain(s)"/>
    <x:tableColumn id="5" name="Category / categories"/>
    <x:tableColumn id="6" name="Mapped generic capability / capabilities"/>
    <x:tableColumn id="7" name="Short description"/>
    <x:tableColumn id="8" name="Mapping confidence"/>
    <x:tableColumn id="9" name="Notes"/>
    <x:tableColumn id="10" name="Official catalogue"/>
    <x:tableColumn id="11" name="Verified date"/>
  </x:tableColumns>
  <x:tableStyleInfo name="TableStyleMedium2" showRowStripes="1"/>
</x:table>
</file>

<file path=xl/tables/table10.xml><?xml version="1.0" encoding="utf-8"?>
<x:table xmlns:x="http://schemas.openxmlformats.org/spreadsheetml/2006/main" id="1" name="CriteriaTable" displayName="CriteriaTable" ref="A4:E11" headerRowCount="1">
  <x:tableColumns count="5">
    <x:tableColumn id="1" name="Criterion"/>
    <x:tableColumn id="2" name="Default weight"/>
    <x:tableColumn id="3" name="What it measures"/>
    <x:tableColumn id="4" name="High score means"/>
    <x:tableColumn id="5" name="Architect check"/>
  </x:tableColumns>
  <x:tableStyleInfo name="TableStyleMedium2" showRowStripes="1"/>
</x:table>
</file>

<file path=xl/tables/table11.xml><?xml version="1.0" encoding="utf-8"?>
<x:table xmlns:x="http://schemas.openxmlformats.org/spreadsheetml/2006/main" id="11" name="SourceRegisterDecisionTable" displayName="SourceRegisterDecisionTable" ref="A4:F15" headerRowCount="1">
  <x:tableColumns count="6">
    <x:tableColumn id="1" name="Provider / type"/>
    <x:tableColumn id="2" name="Official source"/>
    <x:tableColumn id="3" name="Purpose"/>
    <x:tableColumn id="4" name="Checked date"/>
    <x:tableColumn id="5" name="Use in workbook"/>
    <x:tableColumn id="6" name="Important note"/>
  </x:tableColumns>
  <x:tableStyleInfo name="TableStyleMedium2" showRowStripes="1"/>
</x:table>
</file>

<file path=xl/tables/table12.xml><?xml version="1.0" encoding="utf-8"?>
<x:table xmlns:x="http://schemas.openxmlformats.org/spreadsheetml/2006/main" id="21" name="DeepDiveSourcesTable" displayName="DeepDiveSourcesTable" ref="A20:F34" headerRowCount="1">
  <x:tableColumns count="6">
    <x:tableColumn id="1" name="Provider / type"/>
    <x:tableColumn id="2" name="Official source"/>
    <x:tableColumn id="3" name="Purpose"/>
    <x:tableColumn id="4" name="Checked date"/>
    <x:tableColumn id="5" name="Use in workbook"/>
    <x:tableColumn id="6" name="Important note"/>
  </x:tableColumns>
  <x:tableStyleInfo name="TableStyleMedium2" showRowStripes="1"/>
</x:table>
</file>

<file path=xl/tables/table13.xml><?xml version="1.0" encoding="utf-8"?>
<x:table xmlns:x="http://schemas.openxmlformats.org/spreadsheetml/2006/main" id="12" name="MasterTaxonomyTable" displayName="MasterTaxonomyTable" ref="A4:J311" headerRowCount="1">
  <x:tableColumns count="10">
    <x:tableColumn id="1" name="Super-domain"/>
    <x:tableColumn id="2" name="Architecture domain"/>
    <x:tableColumn id="3" name="Domain purpose"/>
    <x:tableColumn id="4" name="Capability family"/>
    <x:tableColumn id="5" name="Decision focus"/>
    <x:tableColumn id="6" name="Lifecycle stage"/>
    <x:tableColumn id="7" name="AWS official category"/>
    <x:tableColumn id="8" name="Microsoft Azure official category"/>
    <x:tableColumn id="9" name="Google Cloud official category"/>
    <x:tableColumn id="10" name="Official source"/>
  </x:tableColumns>
  <x:tableStyleInfo name="TableStyleMedium2" showRowStripes="1"/>
</x:table>
</file>

<file path=xl/tables/table14.xml><?xml version="1.0" encoding="utf-8"?>
<x:table xmlns:x="http://schemas.openxmlformats.org/spreadsheetml/2006/main" id="13" name="ExhaustiveDecisionMatrixTable" displayName="ExhaustiveDecisionMatrixTable" ref="A4:AD272" headerRowCount="1">
  <x:tableColumns count="30">
    <x:tableColumn id="1" name="Super-domain"/>
    <x:tableColumn id="2" name="Architecture domain"/>
    <x:tableColumn id="3" name="Capability family"/>
    <x:tableColumn id="4" name="Lifecycle stage"/>
    <x:tableColumn id="5" name="Primary decision lenses"/>
    <x:tableColumn id="6" name="Prior architecture layer"/>
    <x:tableColumn id="7" name="Original cloud domain"/>
    <x:tableColumn id="8" name="Original category"/>
    <x:tableColumn id="9" name="Generic capability"/>
    <x:tableColumn id="10" name="Plain-English purpose"/>
    <x:tableColumn id="11" name="Use when"/>
    <x:tableColumn id="12" name="Key decision question"/>
    <x:tableColumn id="13" name="Key trade-off"/>
    <x:tableColumn id="14" name="Adoption ease score"/>
    <x:tableColumn id="15" name="Ease"/>
    <x:tableColumn id="16" name="Time to first value"/>
    <x:tableColumn id="17" name="Lock-in risk"/>
    <x:tableColumn id="18" name="AWS alternative(s)"/>
    <x:tableColumn id="19" name="Azure alternative(s)"/>
    <x:tableColumn id="20" name="Google Cloud alternative(s)"/>
    <x:tableColumn id="21" name="AWS score"/>
    <x:tableColumn id="22" name="Azure score"/>
    <x:tableColumn id="23" name="GCP score"/>
    <x:tableColumn id="24" name="Default best fit"/>
    <x:tableColumn id="25" name="Recommendation"/>
    <x:tableColumn id="26" name="Equivalence"/>
    <x:tableColumn id="27" name="Mapping notes"/>
    <x:tableColumn id="28" name="Verified date"/>
    <x:tableColumn id="29" name="Coverage state"/>
    <x:tableColumn id="30" name="Taxonomy source"/>
  </x:tableColumns>
  <x:tableStyleInfo name="TableStyleMedium2" showRowStripes="1"/>
</x:table>
</file>

<file path=xl/tables/table15.xml><?xml version="1.0" encoding="utf-8"?>
<x:table xmlns:x="http://schemas.openxmlformats.org/spreadsheetml/2006/main" id="14" name="CoverageAuditTable" displayName="CoverageAuditTable" ref="A4:L28" headerRowCount="1">
  <x:tableColumns count="12">
    <x:tableColumn id="1" name="Super-domain"/>
    <x:tableColumn id="2" name="Architecture domain"/>
    <x:tableColumn id="3" name="Capability families in taxonomy"/>
    <x:tableColumn id="4" name="Current scored capabilities"/>
    <x:tableColumn id="5" name="Coverage status"/>
    <x:tableColumn id="6" name="Expansion priority"/>
    <x:tableColumn id="7" name="Domain purpose"/>
    <x:tableColumn id="8" name="Known gaps"/>
    <x:tableColumn id="9" name="Next action"/>
    <x:tableColumn id="10" name="AWS category"/>
    <x:tableColumn id="11" name="Azure category"/>
    <x:tableColumn id="12" name="Google Cloud category"/>
  </x:tableColumns>
  <x:tableStyleInfo name="TableStyleMedium2" showRowStripes="1"/>
</x:table>
</file>

<file path=xl/tables/table16.xml><?xml version="1.0" encoding="utf-8"?>
<x:table xmlns:x="http://schemas.openxmlformats.org/spreadsheetml/2006/main" id="15" name="CrossCuttingLensesTable" displayName="CrossCuttingLensesTable" ref="A4:G15" headerRowCount="1">
  <x:tableColumns count="7">
    <x:tableColumn id="1" name="Decision lens"/>
    <x:tableColumn id="2" name="Core question"/>
    <x:tableColumn id="3" name="Required evidence"/>
    <x:tableColumn id="4" name="AWS alignment"/>
    <x:tableColumn id="5" name="Azure alignment"/>
    <x:tableColumn id="6" name="Google Cloud alignment"/>
    <x:tableColumn id="7" name="Apply to"/>
  </x:tableColumns>
  <x:tableStyleInfo name="TableStyleMedium2" showRowStripes="1"/>
</x:table>
</file>

<file path=xl/tables/table17.xml><?xml version="1.0" encoding="utf-8"?>
<x:table xmlns:x="http://schemas.openxmlformats.org/spreadsheetml/2006/main" id="16" name="CapabilityGapBacklogTable" displayName="CapabilityGapBacklogTable" ref="A4:J30" headerRowCount="1">
  <x:tableColumns count="10">
    <x:tableColumn id="1" name="Missing / underrepresented capability"/>
    <x:tableColumn id="2" name="Architecture domain"/>
    <x:tableColumn id="3" name="Priority"/>
    <x:tableColumn id="4" name="Why it matters"/>
    <x:tableColumn id="5" name="AWS starting point"/>
    <x:tableColumn id="6" name="Azure starting point"/>
    <x:tableColumn id="7" name="Google Cloud starting point"/>
    <x:tableColumn id="8" name="Equivalence"/>
    <x:tableColumn id="9" name="Decision note"/>
    <x:tableColumn id="10" name="Official source"/>
  </x:tableColumns>
  <x:tableStyleInfo name="TableStyleMedium2" showRowStripes="1"/>
</x:table>
</file>

<file path=xl/tables/table18.xml><?xml version="1.0" encoding="utf-8"?>
<x:table xmlns:x="http://schemas.openxmlformats.org/spreadsheetml/2006/main" id="17" name="AIPlatformComponentsTable" displayName="AIPlatformComponentsTable" ref="A4:L59" headerRowCount="1">
  <x:tableColumns count="12">
    <x:tableColumn id="1" name="Lifecycle domain"/>
    <x:tableColumn id="2" name="Detailed capability"/>
    <x:tableColumn id="3" name="Control or engineering purpose"/>
    <x:tableColumn id="4" name="Databricks Unity Catalog / Unity AI Gateway / MLflow"/>
    <x:tableColumn id="5" name="Microsoft Foundry / Azure ML / Purview"/>
    <x:tableColumn id="6" name="AWS SageMaker AI"/>
    <x:tableColumn id="7" name="Amazon Bedrock"/>
    <x:tableColumn id="8" name="Gemini Enterprise Agent Platform"/>
    <x:tableColumn id="9" name="Complementary Google Cloud services"/>
    <x:tableColumn id="10" name="Important distinction / caveat"/>
    <x:tableColumn id="11" name="Primary official source"/>
    <x:tableColumn id="12" name="Verified date"/>
  </x:tableColumns>
  <x:tableStyleInfo name="TableStyleMedium2" showRowStripes="1"/>
</x:table>
</file>

<file path=xl/tables/table19.xml><?xml version="1.0" encoding="utf-8"?>
<x:table xmlns:x="http://schemas.openxmlformats.org/spreadsheetml/2006/main" id="18" name="AIGovernanceControlsTable" displayName="AIGovernanceControlsTable" ref="A4:Q37" headerRowCount="1">
  <x:tableColumns count="17">
    <x:tableColumn id="1" name="Control ID"/>
    <x:tableColumn id="2" name="Control domain"/>
    <x:tableColumn id="3" name="Governance control objective"/>
    <x:tableColumn id="4" name="Minimum implementation"/>
    <x:tableColumn id="5" name="Required evidence"/>
    <x:tableColumn id="6" name="Lifecycle gate"/>
    <x:tableColumn id="7" name="Databricks implementation"/>
    <x:tableColumn id="8" name="Microsoft implementation"/>
    <x:tableColumn id="9" name="AWS implementation"/>
    <x:tableColumn id="10" name="Google Cloud implementation"/>
    <x:tableColumn id="11" name="NIST AI RMF alignment"/>
    <x:tableColumn id="12" name="EU AI Act / GDPR relevance"/>
    <x:tableColumn id="13" name="ISO/IEC 42001 theme"/>
    <x:tableColumn id="14" name="Control owner"/>
    <x:tableColumn id="15" name="Important note"/>
    <x:tableColumn id="16" name="Primary source"/>
    <x:tableColumn id="17" name="Verified date"/>
  </x:tableColumns>
  <x:tableStyleInfo name="TableStyleMedium2" showRowStripes="1"/>
</x:table>
</file>

<file path=xl/tables/table20.xml><?xml version="1.0" encoding="utf-8"?>
<x:table xmlns:x="http://schemas.openxmlformats.org/spreadsheetml/2006/main" id="19" name="AIComplianceEvidenceTable" displayName="AIComplianceEvidenceTable" ref="A4:P32" headerRowCount="1">
  <x:tableColumns count="16">
    <x:tableColumn id="1" name="Evidence ID"/>
    <x:tableColumn id="2" name="Evidence artifact"/>
    <x:tableColumn id="3" name="What it demonstrates"/>
    <x:tableColumn id="4" name="Primary owner"/>
    <x:tableColumn id="5" name="Review frequency"/>
    <x:tableColumn id="6" name="Lifecycle gate"/>
    <x:tableColumn id="7" name="NIST AI RMF relevance"/>
    <x:tableColumn id="8" name="EU AI Act / GDPR relevance"/>
    <x:tableColumn id="9" name="ISO/IEC 42001 relevance"/>
    <x:tableColumn id="10" name="Databricks evidence location"/>
    <x:tableColumn id="11" name="Microsoft evidence location"/>
    <x:tableColumn id="12" name="AWS evidence location"/>
    <x:tableColumn id="13" name="Google Cloud evidence location"/>
    <x:tableColumn id="14" name="Minimum acceptance criteria"/>
    <x:tableColumn id="15" name="Primary source"/>
    <x:tableColumn id="16" name="Verified date"/>
  </x:tableColumns>
  <x:tableStyleInfo name="TableStyleMedium2" showRowStripes="1"/>
</x:table>
</file>

<file path=xl/tables/table21.xml><?xml version="1.0" encoding="utf-8"?>
<x:table xmlns:x="http://schemas.openxmlformats.org/spreadsheetml/2006/main" id="20" name="DatabaseDeepDiveTable" displayName="DatabaseDeepDiveTable" ref="A4:S35" headerRowCount="1">
  <x:tableColumns count="19">
    <x:tableColumn id="1" name="Data-store family"/>
    <x:tableColumn id="2" name="Database model / capability"/>
    <x:tableColumn id="3" name="Use when"/>
    <x:tableColumn id="4" name="Avoid when"/>
    <x:tableColumn id="5" name="Transaction and consistency profile"/>
    <x:tableColumn id="6" name="Primary access pattern"/>
    <x:tableColumn id="7" name="Scale pattern"/>
    <x:tableColumn id="8" name="AWS services"/>
    <x:tableColumn id="9" name="Microsoft Azure services"/>
    <x:tableColumn id="10" name="Google Cloud services"/>
    <x:tableColumn id="11" name="Vector / AI capability"/>
    <x:tableColumn id="12" name="Governance and security focus"/>
    <x:tableColumn id="13" name="Relative ease"/>
    <x:tableColumn id="14" name="Portability / lock-in"/>
    <x:tableColumn id="15" name="Solution-engineer decision rule"/>
    <x:tableColumn id="16" name="Equivalence"/>
    <x:tableColumn id="17" name="Important lifecycle note"/>
    <x:tableColumn id="18" name="Primary official source"/>
    <x:tableColumn id="19" name="Verified da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a702a9756e44f0f" /></Relationships>
</file>

<file path=xl/worksheets/_rels/sheet3.xml.rels>&#65279;<?xml version="1.0" encoding="utf-8"?><Relationships xmlns="http://schemas.openxmlformats.org/package/2006/relationships"><Relationship Type="http://schemas.openxmlformats.org/officeDocument/2006/relationships/table" Target="/xl/tables/table2.xml" Id="Ra0e1cc4555624706" /></Relationships>
</file>

<file path=xl/worksheets/_rels/sheet5.xml.rels>&#65279;<?xml version="1.0" encoding="utf-8"?><Relationships xmlns="http://schemas.openxmlformats.org/package/2006/relationships"><Relationship Type="http://schemas.openxmlformats.org/officeDocument/2006/relationships/drawing" Target="/xl/drawings/drawing1.xml" Id="Ra6c1ff6a30684829" /><Relationship Type="http://schemas.openxmlformats.org/officeDocument/2006/relationships/table" Target="/xl/tables/table3.xml" Id="Rb212a2791ad8443e" /></Relationships>
</file>

<file path=xl/worksheets/_rels/sheet6.xml.rels>&#65279;<?xml version="1.0" encoding="utf-8"?><Relationships xmlns="http://schemas.openxmlformats.org/package/2006/relationships"><Relationship Type="http://schemas.openxmlformats.org/officeDocument/2006/relationships/table" Target="/xl/tables/table4.xml" Id="R8a2cb86839ec413f" /></Relationships>
</file>

<file path=xl/worksheets/_rels/sheet7.xml.rels>&#65279;<?xml version="1.0" encoding="utf-8"?><Relationships xmlns="http://schemas.openxmlformats.org/package/2006/relationships"><Relationship Type="http://schemas.openxmlformats.org/officeDocument/2006/relationships/table" Target="/xl/tables/table5.xml" Id="Rb39937f0fea244a1" /></Relationships>
</file>

<file path=xl/worksheets/_rels/sheet8.xml.rels>&#65279;<?xml version="1.0" encoding="utf-8"?><Relationships xmlns="http://schemas.openxmlformats.org/package/2006/relationships"><Relationship Type="http://schemas.openxmlformats.org/officeDocument/2006/relationships/table" Target="/xl/tables/table6.xml" Id="Rd8d748d7246d4f5f" /></Relationships>
</file>

<file path=xl/worksheets/_rels/sheet9.xml.rels>&#65279;<?xml version="1.0" encoding="utf-8"?><Relationships xmlns="http://schemas.openxmlformats.org/package/2006/relationships"><Relationship Type="http://schemas.openxmlformats.org/officeDocument/2006/relationships/table" Target="/xl/tables/table7.xml" Id="R88269a4299a4458f" /></Relationships>
</file>

<file path=xl/worksheets/_rels/sheet10.xml.rels>&#65279;<?xml version="1.0" encoding="utf-8"?><Relationships xmlns="http://schemas.openxmlformats.org/package/2006/relationships"><Relationship Type="http://schemas.openxmlformats.org/officeDocument/2006/relationships/table" Target="/xl/tables/table8.xml" Id="R1d0621362c294a7d" /></Relationships>
</file>

<file path=xl/worksheets/_rels/sheet11.xml.rels>&#65279;<?xml version="1.0" encoding="utf-8"?><Relationships xmlns="http://schemas.openxmlformats.org/package/2006/relationships"><Relationship Type="http://schemas.openxmlformats.org/officeDocument/2006/relationships/table" Target="/xl/tables/table9.xml" Id="R5093a924de534fc1" /></Relationships>
</file>

<file path=xl/worksheets/_rels/sheet12.xml.rels>&#65279;<?xml version="1.0" encoding="utf-8"?><Relationships xmlns="http://schemas.openxmlformats.org/package/2006/relationships"><Relationship Type="http://schemas.openxmlformats.org/officeDocument/2006/relationships/table" Target="/xl/tables/table10.xml" Id="Rc931dfadee334fa0" /></Relationships>
</file>

<file path=xl/worksheets/_rels/sheet13.xml.rels>&#65279;<?xml version="1.0" encoding="utf-8"?><Relationships xmlns="http://schemas.openxmlformats.org/package/2006/relationships"><Relationship Type="http://schemas.openxmlformats.org/officeDocument/2006/relationships/table" Target="/xl/tables/table11.xml" Id="R94614a9f767a4074" /><Relationship Type="http://schemas.openxmlformats.org/officeDocument/2006/relationships/table" Target="/xl/tables/table12.xml" Id="R6cfebcad981c4200" /></Relationships>
</file>

<file path=xl/worksheets/_rels/sheet14.xml.rels>&#65279;<?xml version="1.0" encoding="utf-8"?><Relationships xmlns="http://schemas.openxmlformats.org/package/2006/relationships"><Relationship Type="http://schemas.openxmlformats.org/officeDocument/2006/relationships/table" Target="/xl/tables/table13.xml" Id="Re8d3554971934b8e" /></Relationships>
</file>

<file path=xl/worksheets/_rels/sheet15.xml.rels>&#65279;<?xml version="1.0" encoding="utf-8"?><Relationships xmlns="http://schemas.openxmlformats.org/package/2006/relationships"><Relationship Type="http://schemas.openxmlformats.org/officeDocument/2006/relationships/table" Target="/xl/tables/table14.xml" Id="R316d51b70b4e4a47" /></Relationships>
</file>

<file path=xl/worksheets/_rels/sheet16.xml.rels>&#65279;<?xml version="1.0" encoding="utf-8"?><Relationships xmlns="http://schemas.openxmlformats.org/package/2006/relationships"><Relationship Type="http://schemas.openxmlformats.org/officeDocument/2006/relationships/table" Target="/xl/tables/table15.xml" Id="R3b4fba6910af47b7" /></Relationships>
</file>

<file path=xl/worksheets/_rels/sheet17.xml.rels>&#65279;<?xml version="1.0" encoding="utf-8"?><Relationships xmlns="http://schemas.openxmlformats.org/package/2006/relationships"><Relationship Type="http://schemas.openxmlformats.org/officeDocument/2006/relationships/table" Target="/xl/tables/table16.xml" Id="R8674363311ac42ce" /></Relationships>
</file>

<file path=xl/worksheets/_rels/sheet18.xml.rels>&#65279;<?xml version="1.0" encoding="utf-8"?><Relationships xmlns="http://schemas.openxmlformats.org/package/2006/relationships"><Relationship Type="http://schemas.openxmlformats.org/officeDocument/2006/relationships/table" Target="/xl/tables/table17.xml" Id="R71d37add1a984090" /></Relationships>
</file>

<file path=xl/worksheets/_rels/sheet19.xml.rels>&#65279;<?xml version="1.0" encoding="utf-8"?><Relationships xmlns="http://schemas.openxmlformats.org/package/2006/relationships"><Relationship Type="http://schemas.openxmlformats.org/officeDocument/2006/relationships/table" Target="/xl/tables/table18.xml" Id="Rc0f13b622672450c" /></Relationships>
</file>

<file path=xl/worksheets/_rels/sheet20.xml.rels>&#65279;<?xml version="1.0" encoding="utf-8"?><Relationships xmlns="http://schemas.openxmlformats.org/package/2006/relationships"><Relationship Type="http://schemas.openxmlformats.org/officeDocument/2006/relationships/table" Target="/xl/tables/table19.xml" Id="Rfb3147a2ba714e2a" /></Relationships>
</file>

<file path=xl/worksheets/_rels/sheet21.xml.rels>&#65279;<?xml version="1.0" encoding="utf-8"?><Relationships xmlns="http://schemas.openxmlformats.org/package/2006/relationships"><Relationship Type="http://schemas.openxmlformats.org/officeDocument/2006/relationships/table" Target="/xl/tables/table20.xml" Id="Rc25c26c8a95f44b4" /></Relationships>
</file>

<file path=xl/worksheets/_rels/sheet22.xml.rels>&#65279;<?xml version="1.0" encoding="utf-8"?><Relationships xmlns="http://schemas.openxmlformats.org/package/2006/relationships"><Relationship Type="http://schemas.openxmlformats.org/officeDocument/2006/relationships/table" Target="/xl/tables/table21.xml" Id="Rf36fabe592644689" /></Relationships>
</file>

<file path=xl/worksheets/sheet1.xml><?xml version="1.0" encoding="utf-8"?>
<x:worksheet xmlns:x="http://schemas.openxmlformats.org/spreadsheetml/2006/main">
  <x:sheetFormatPr defaultRowHeight="15"/>
  <x:cols>
    <x:col min="1" max="1" width="30" hidden="0" customWidth="1"/>
    <x:col min="2" max="2" width="70" hidden="0" customWidth="1"/>
    <x:col min="3" max="3" width="62"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5" t="str">
        <x:v>Cross-Cloud Service Selection Workbook</x:v>
      </x:c>
      <x:c r="B1" s="5"/>
      <x:c r="C1" s="5"/>
      <x:c r="D1" s="5"/>
      <x:c r="E1" s="5"/>
      <x:c r="F1" s="5"/>
      <x:c r="G1" s="5"/>
      <x:c r="H1" s="5"/>
    </x:row>
    <x:row r="2" ht="34" customHeight="1">
      <x:c r="A2" s="14" t="str">
        <x:v>A solution-engineering decision system for AWS, Microsoft Azure and Google Cloud. Snapshot and service names verified to 12 July 2026.</x:v>
      </x:c>
      <x:c r="B2" s="14"/>
      <x:c r="C2" s="14"/>
      <x:c r="D2" s="14"/>
      <x:c r="E2" s="14"/>
      <x:c r="F2" s="14"/>
      <x:c r="G2" s="14"/>
      <x:c r="H2" s="14"/>
    </x:row>
    <x:row r="4">
      <x:c r="A4" s="24" t="str">
        <x:v>Use the workbook in five steps</x:v>
      </x:c>
      <x:c r="B4" s="24"/>
      <x:c r="C4" s="24"/>
      <x:c r="D4" s="24"/>
      <x:c r="E4" s="24"/>
      <x:c r="F4" s="24"/>
      <x:c r="G4" s="24"/>
      <x:c r="H4" s="24"/>
    </x:row>
    <x:row r="5">
      <x:c r="A5" s="75" t="str">
        <x:v>1</x:v>
      </x:c>
      <x:c r="B5" s="49" t="str">
        <x:v>Frame the outcome</x:v>
      </x:c>
      <x:c r="C5" s="32" t="str">
        <x:v>Write the business outcome, users, data, scale, security, SLA and budget constraints.</x:v>
      </x:c>
      <x:c r="D5" s="79" t="str">
        <x:v>Do not begin with a product name.</x:v>
      </x:c>
      <x:c r="E5" s="80"/>
      <x:c r="F5" s="80"/>
      <x:c r="G5" s="80"/>
      <x:c r="H5" s="80"/>
    </x:row>
    <x:row r="6">
      <x:c r="A6" s="75" t="str">
        <x:v>2</x:v>
      </x:c>
      <x:c r="B6" s="49" t="str">
        <x:v>Locate the layer</x:v>
      </x:c>
      <x:c r="C6" s="32" t="str">
        <x:v>Use Architecture Map to identify the layer and subcategory.</x:v>
      </x:c>
      <x:c r="D6" s="79" t="str">
        <x:v>This reduces hundreds of services into a small decision set.</x:v>
      </x:c>
      <x:c r="E6" s="80"/>
      <x:c r="F6" s="80"/>
      <x:c r="G6" s="80"/>
      <x:c r="H6" s="80"/>
    </x:row>
    <x:row r="7">
      <x:c r="A7" s="75" t="str">
        <x:v>3</x:v>
      </x:c>
      <x:c r="B7" s="49" t="str">
        <x:v>Start from a default</x:v>
      </x:c>
      <x:c r="C7" s="32" t="str">
        <x:v>Use Quick Picks for common scenarios, or filter Service Decision Matrix.</x:v>
      </x:c>
      <x:c r="D7" s="79" t="str">
        <x:v>Defaults reduce analysis paralysis but remain challengeable.</x:v>
      </x:c>
      <x:c r="E7" s="80"/>
      <x:c r="F7" s="80"/>
      <x:c r="G7" s="80"/>
      <x:c r="H7" s="80"/>
    </x:row>
    <x:row r="8">
      <x:c r="A8" s="75" t="str">
        <x:v>4</x:v>
      </x:c>
      <x:c r="B8" s="49" t="str">
        <x:v>Compare trade-offs</x:v>
      </x:c>
      <x:c r="C8" s="32" t="str">
        <x:v>Use Decision Assistant and adjust criteria weights and ecosystem context.</x:v>
      </x:c>
      <x:c r="D8" s="79" t="str">
        <x:v>A small score difference means context matters more than the rating.</x:v>
      </x:c>
      <x:c r="E8" s="80"/>
      <x:c r="F8" s="80"/>
      <x:c r="G8" s="80"/>
      <x:c r="H8" s="80"/>
    </x:row>
    <x:row r="9">
      <x:c r="A9" s="75" t="str">
        <x:v>5</x:v>
      </x:c>
      <x:c r="B9" s="49" t="str">
        <x:v>Validate and record</x:v>
      </x:c>
      <x:c r="C9" s="32" t="str">
        <x:v>Check region, SLA, security, price, quotas and proof of value; record an ADR.</x:v>
      </x:c>
      <x:c r="D9" s="79" t="str">
        <x:v>A recommendation is not an approval.</x:v>
      </x:c>
      <x:c r="E9" s="80"/>
      <x:c r="F9" s="80"/>
      <x:c r="G9" s="80"/>
      <x:c r="H9" s="80"/>
    </x:row>
    <x:row r="12">
      <x:c r="A12" s="24" t="str">
        <x:v>Which sheet should I use?</x:v>
      </x:c>
      <x:c r="B12" s="24"/>
      <x:c r="C12" s="24"/>
      <x:c r="D12" s="24"/>
      <x:c r="E12" s="24"/>
      <x:c r="F12" s="24"/>
      <x:c r="G12" s="24"/>
      <x:c r="H12" s="24"/>
    </x:row>
    <x:row r="13">
      <x:c r="A13" s="164" t="str">
        <x:v>MASTER TAXONOMY</x:v>
      </x:c>
      <x:c r="B13" s="115" t="str">
        <x:v>Browse 24 architecture domains and 307 capability families.</x:v>
      </x:c>
      <x:c r="C13" s="115" t="str">
        <x:v>Begin here when defining scope or checking whether a category is missing.</x:v>
      </x:c>
    </x:row>
    <x:row r="14">
      <x:c r="A14" s="164" t="str">
        <x:v>AI Platform Components</x:v>
      </x:c>
      <x:c r="B14" s="115" t="str">
        <x:v>Decompose Unity Catalog, Microsoft Foundry, SageMaker, Bedrock and Gemini Enterprise into 55 internal capabilities.</x:v>
      </x:c>
      <x:c r="C14" s="115" t="str">
        <x:v>Use when designing AI platforms, agents, RAG, MLOps or AI governance.</x:v>
      </x:c>
    </x:row>
    <x:row r="15">
      <x:c r="A15" s="164" t="str">
        <x:v>AI Governance Controls</x:v>
      </x:c>
      <x:c r="B15" s="115" t="str">
        <x:v>Apply 33 lifecycle controls across ownership, data, identity, safety, evaluation, monitoring and incident response.</x:v>
      </x:c>
      <x:c r="C15" s="115" t="str">
        <x:v>Use for governance workshops, control design and architecture assurance.</x:v>
      </x:c>
    </x:row>
    <x:row r="16">
      <x:c r="A16" s="164" t="str">
        <x:v>AI Compliance Evidence</x:v>
      </x:c>
      <x:c r="B16" s="115" t="str">
        <x:v>Use 28 reusable evidence artifacts for audits, AI Act/GDPR readiness, NIST AI RMF and ISO/IEC 42001 alignment.</x:v>
      </x:c>
      <x:c r="C16" s="115" t="str">
        <x:v>Use to build the AI assurance evidence pack.</x:v>
      </x:c>
    </x:row>
    <x:row r="17">
      <x:c r="A17" s="164" t="str">
        <x:v>Database Deep Dive</x:v>
      </x:c>
      <x:c r="B17" s="115" t="str">
        <x:v>Compare 31 SQL, NoSQL, vector, graph, cache, ledger and analytical data-store decisions.</x:v>
      </x:c>
      <x:c r="C17" s="115" t="str">
        <x:v>Use before selecting RDS, Cosmos DB, Spanner, DynamoDB, Firestore and related services.</x:v>
      </x:c>
    </x:row>
    <x:row r="18">
      <x:c r="A18" s="164" t="str">
        <x:v>Exhaustive Decision Matrix</x:v>
      </x:c>
      <x:c r="B18" s="115" t="str">
        <x:v>Filter the 268 scored capabilities using the expanded taxonomy.</x:v>
      </x:c>
      <x:c r="C18" s="115" t="str">
        <x:v>Use for detailed AWS, Azure and Google Cloud service selection.</x:v>
      </x:c>
    </x:row>
    <x:row r="19">
      <x:c r="A19" s="164" t="str">
        <x:v>Coverage Audit</x:v>
      </x:c>
      <x:c r="B19" s="115" t="str">
        <x:v>See which domains are strong, partial, limited or missing.</x:v>
      </x:c>
      <x:c r="C19" s="115" t="str">
        <x:v>Use to prevent false confidence in incomplete areas.</x:v>
      </x:c>
    </x:row>
    <x:row r="20">
      <x:c r="A20" s="164" t="str">
        <x:v>Gap Backlog</x:v>
      </x:c>
      <x:c r="B20" s="115" t="str">
        <x:v>Review unscored capabilities that still need detailed provider decisions.</x:v>
      </x:c>
      <x:c r="C20" s="115" t="str">
        <x:v>Use before calling a domain decision-complete.</x:v>
      </x:c>
    </x:row>
    <x:row r="21">
      <x:c r="A21" s="164" t="str">
        <x:v>Cross-Cutting Lenses</x:v>
      </x:c>
      <x:c r="B21" s="115" t="str">
        <x:v>Apply reliability, security, cost, performance, data and responsible-AI lenses.</x:v>
      </x:c>
      <x:c r="C21" s="115" t="str">
        <x:v>Use during architecture reviews and client decision workshops.</x:v>
      </x:c>
    </x:row>
    <x:row r="22">
      <x:c r="A22" s="165" t="str">
        <x:v>Decision Assistant / Quick Picks</x:v>
      </x:c>
      <x:c r="B22" s="163" t="str">
        <x:v>Calculate a context-adjusted recommendation or start from a common scenario.</x:v>
      </x:c>
      <x:c r="C22" s="163" t="str">
        <x:v>Use only after confirming the correct capability and sub-capability.</x:v>
      </x:c>
      <x:c r="D22" s="24"/>
      <x:c r="E22" s="24"/>
      <x:c r="F22" s="24"/>
      <x:c r="G22" s="24"/>
      <x:c r="H22" s="24"/>
    </x:row>
    <x:row r="23">
      <x:c r="A23" s="87" t="str">
        <x:v>Progressive disclosure</x:v>
      </x:c>
      <x:c r="B23" s="32" t="str">
        <x:v>Start with the map and quick picks; expose detailed ratings only when needed.</x:v>
      </x:c>
    </x:row>
    <x:row r="24">
      <x:c r="A24" s="87" t="str">
        <x:v>Recognition over recall</x:v>
      </x:c>
      <x:c r="B24" s="32" t="str">
        <x:v>Plain-English purposes, decision questions and scenario triggers reduce memory load.</x:v>
      </x:c>
    </x:row>
    <x:row r="25">
      <x:c r="A25" s="87" t="str">
        <x:v>Chunking</x:v>
      </x:c>
      <x:c r="B25" s="32" t="str">
        <x:v>Hundreds of products are grouped into six super-domains, 24 architecture domains and detailed product components.</x:v>
      </x:c>
    </x:row>
    <x:row r="26">
      <x:c r="A26" s="87" t="str">
        <x:v>Consistent comparison</x:v>
      </x:c>
      <x:c r="B26" s="32" t="str">
        <x:v>Every provider is evaluated against the same seven criteria and scale.</x:v>
      </x:c>
    </x:row>
    <x:row r="27">
      <x:c r="A27" s="87" t="str">
        <x:v>Decision guardrails</x:v>
      </x:c>
      <x:c r="B27" s="32" t="str">
        <x:v>Stop rules prevent unnecessary Kubernetes, multicloud, distributed-data or specialist complexity.</x:v>
      </x:c>
    </x:row>
    <x:row r="28">
      <x:c r="A28" s="87" t="str">
        <x:v>Externalised reasoning</x:v>
      </x:c>
      <x:c r="B28" s="32" t="str">
        <x:v>Trade-offs and recommendation logic are visible, so decisions can be explained to clients.</x:v>
      </x:c>
    </x:row>
    <x:row r="31">
      <x:c r="A31" s="24" t="str">
        <x:v>Workbook scope and warning</x:v>
      </x:c>
      <x:c r="B31" s="24"/>
      <x:c r="C31" s="24"/>
      <x:c r="D31" s="24"/>
      <x:c r="E31" s="24"/>
      <x:c r="F31" s="24"/>
      <x:c r="G31" s="24"/>
      <x:c r="H31" s="24"/>
    </x:row>
    <x:row r="32">
      <x:c r="A32" s="93" t="str">
        <x:v>Coverage: 268 scored generic capabilities, 307 taxonomy families, 55 detailed AI platform components, 33 AI governance controls, 28 compliance evidence artifacts and 31 database decision patterns. Ratings remain directional and do not include negotiated pricing, regional availability, client contracts or a workload-specific proof of value.</x:v>
      </x:c>
      <x:c r="B32" s="93"/>
      <x:c r="C32" s="93"/>
      <x:c r="D32" s="93"/>
      <x:c r="E32" s="93"/>
      <x:c r="F32" s="93"/>
      <x:c r="G32" s="93"/>
      <x:c r="H32" s="93"/>
    </x:row>
    <x:row r="33">
      <x:c r="A33" s="93"/>
      <x:c r="B33" s="93"/>
      <x:c r="C33" s="93"/>
      <x:c r="D33" s="93"/>
      <x:c r="E33" s="93"/>
      <x:c r="F33" s="93"/>
      <x:c r="G33" s="93"/>
      <x:c r="H33" s="93"/>
    </x:row>
    <x:row r="34">
      <x:c r="A34" s="93"/>
      <x:c r="B34" s="93"/>
      <x:c r="C34" s="93"/>
      <x:c r="D34" s="93"/>
      <x:c r="E34" s="93"/>
      <x:c r="F34" s="93"/>
      <x:c r="G34" s="93"/>
      <x:c r="H34" s="93"/>
    </x:row>
    <x:row r="36">
      <x:c r="A36" s="122" t="str">
        <x:v>Exhaustiveness model</x:v>
      </x:c>
      <x:c r="B36" s="122"/>
      <x:c r="C36" s="122"/>
      <x:c r="D36" s="122"/>
    </x:row>
    <x:row r="37">
      <x:c r="A37" s="126" t="str">
        <x:v>The workbook now distinguishes taxonomy completeness from scored-service completeness. The Master Taxonomy is broad and exhaustive at capability-family level. The Exhaustive Decision Matrix contains the currently scored mappings. Coverage Audit and Gap Backlog explicitly show where further provider-specific research and ratings are still required.</x:v>
      </x:c>
      <x:c r="B37" s="126"/>
      <x:c r="C37" s="126"/>
      <x:c r="D37" s="126"/>
    </x:row>
    <x:row r="38">
      <x:c r="A38" s="126"/>
      <x:c r="B38" s="126"/>
      <x:c r="C38" s="126"/>
      <x:c r="D38" s="126"/>
    </x:row>
    <x:row r="39">
      <x:c r="A39" s="126"/>
      <x:c r="B39" s="126"/>
      <x:c r="C39" s="126"/>
      <x:c r="D39" s="126"/>
    </x:row>
    <x:row r="40">
      <x:c r="A40" s="126"/>
      <x:c r="B40" s="126"/>
      <x:c r="C40" s="126"/>
      <x:c r="D40" s="126"/>
    </x:row>
  </x:sheetData>
  <x:mergeCells>
    <x:mergeCell ref="A1:H1"/>
    <x:mergeCell ref="A2:H2"/>
    <x:mergeCell ref="A4:H4"/>
    <x:mergeCell ref="D5:H5"/>
    <x:mergeCell ref="D6:H6"/>
    <x:mergeCell ref="D7:H7"/>
    <x:mergeCell ref="D8:H8"/>
    <x:mergeCell ref="D9:H9"/>
    <x:mergeCell ref="A12:H12"/>
    <x:mergeCell ref="A22:H22"/>
    <x:mergeCell ref="A31:H31"/>
    <x:mergeCell ref="A32:H34"/>
    <x:mergeCell ref="A36:D36"/>
    <x:mergeCell ref="A37:D40"/>
  </x:mergeCell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49" hidden="0" customWidth="1"/>
    <x:col min="3" max="3" width="52" hidden="0" customWidth="1"/>
    <x:col min="4" max="4" width="55" hidden="0" customWidth="1"/>
    <x:col min="5" max="5" width="55" hidden="0" customWidth="1"/>
    <x:col min="6" max="6" width="55" hidden="0" customWidth="1"/>
  </x:cols>
  <x:sheetData>
    <x:row r="1" ht="30" customHeight="1">
      <x:c r="A1" s="5" t="str">
        <x:v>Architecture Capability Map</x:v>
      </x:c>
      <x:c r="B1" s="5"/>
      <x:c r="C1" s="5"/>
      <x:c r="D1" s="5"/>
      <x:c r="E1" s="5"/>
      <x:c r="F1" s="5"/>
    </x:row>
    <x:row r="2" ht="34" customHeight="1">
      <x:c r="A2" s="14" t="str">
        <x:v>Think from top to bottom. Foundation decisions constrain platform decisions; platform decisions constrain workload services.</x:v>
      </x:c>
      <x:c r="B2" s="14"/>
      <x:c r="C2" s="14"/>
      <x:c r="D2" s="14"/>
      <x:c r="E2" s="14"/>
      <x:c r="F2" s="14"/>
    </x:row>
    <x:row r="4" ht="34" customHeight="1">
      <x:c r="A4" s="24" t="str">
        <x:v>Layer</x:v>
      </x:c>
      <x:c r="B4" s="24" t="str">
        <x:v>Purpose</x:v>
      </x:c>
      <x:c r="C4" s="24" t="str">
        <x:v>Subcategories</x:v>
      </x:c>
      <x:c r="D4" s="24" t="str">
        <x:v>Primary decision question</x:v>
      </x:c>
      <x:c r="E4" s="24" t="str">
        <x:v>Typical solution-engineering outputs</x:v>
      </x:c>
      <x:c r="F4" s="24" t="str">
        <x:v>Stop rule</x:v>
      </x:c>
    </x:row>
    <x:row r="5">
      <x:c r="A5" s="40" t="str">
        <x:v>01 Strategy, Governance &amp; FinOps</x:v>
      </x:c>
      <x:c r="B5" s="32" t="str">
        <x:v>Set organisational guardrails before choosing workload services.</x:v>
      </x:c>
      <x:c r="C5" s="32" t="str">
        <x:v>Cloud Foundation &amp; Governance
FinOps, Cost &amp; Sustainability
Cloud Operations &amp; Management
Architecture Assurance &amp; Service Health</x:v>
      </x:c>
      <x:c r="D5" s="32" t="str">
        <x:v>What operating model, account hierarchy, policy, budget and ownership model will govern the solution?</x:v>
      </x:c>
      <x:c r="E5" s="32" t="str">
        <x:v>Landing zone, tagging, policy baseline, budget, RACI and architecture principles.</x:v>
      </x:c>
      <x:c r="F5" s="46" t="str">
        <x:v>Do not select workload services before ownership, policy, tagging and budget are clear.</x:v>
      </x:c>
    </x:row>
    <x:row r="6">
      <x:c r="A6" s="40" t="str">
        <x:v>02 Security, Identity &amp; Compliance</x:v>
      </x:c>
      <x:c r="B6" s="32" t="str">
        <x:v>Establish identity, security, privacy and compliance controls.</x:v>
      </x:c>
      <x:c r="C6" s="32" t="str">
        <x:v>Identity &amp; Access
Cryptography, Keys &amp; Secrets
Network &amp; Application Security
Data Protection &amp; Privacy
Threat Detection &amp; Security Operations
Governance, Posture &amp; Compliance</x:v>
      </x:c>
      <x:c r="D6" s="32" t="str">
        <x:v>Who can access what, how is data protected, and how will threats and evidence be managed?</x:v>
      </x:c>
      <x:c r="E6" s="32" t="str">
        <x:v>Identity model, threat model, control matrix, logging plan and compliance evidence.</x:v>
      </x:c>
      <x:c r="F6" s="46" t="str">
        <x:v>Do not treat a product name as a security design; define identities, threats and evidence.</x:v>
      </x:c>
    </x:row>
    <x:row r="7">
      <x:c r="A7" s="40" t="str">
        <x:v>03 Network &amp; Connectivity</x:v>
      </x:c>
      <x:c r="B7" s="32" t="str">
        <x:v>Design boundaries, connectivity, routing and delivery paths.</x:v>
      </x:c>
      <x:c r="C7" s="32" t="str">
        <x:v>Virtual Networks &amp; Segmentation
Traffic Management &amp; Content Delivery
DNS &amp; Naming
Hybrid &amp; Private Connectivity
Service Networking &amp; Private Access
Network Operations</x:v>
      </x:c>
      <x:c r="D7" s="32" t="str">
        <x:v>Where does traffic flow, which paths are private, and what resilience and latency are required?</x:v>
      </x:c>
      <x:c r="E7" s="32" t="str">
        <x:v>Network topology, IP plan, ingress/egress design, DNS and connectivity pattern.</x:v>
      </x:c>
      <x:c r="F7" s="46" t="str">
        <x:v>Avoid unnecessary public paths and duplicated network appliances.</x:v>
      </x:c>
    </x:row>
    <x:row r="8">
      <x:c r="A8" s="40" t="str">
        <x:v>04 Compute, Containers &amp; Runtime</x:v>
      </x:c>
      <x:c r="B8" s="32" t="str">
        <x:v>Choose the execution model with the least necessary operational burden.</x:v>
      </x:c>
      <x:c r="C8" s="32" t="str">
        <x:v>Virtual Machines &amp; Core Compute
Serverless Compute
Containers &amp; Kubernetes
Managed Application Platforms
Specialised &amp; High-Performance Compute
Hybrid, Multicloud &amp; Edge Runtime</x:v>
      </x:c>
      <x:c r="D8" s="32" t="str">
        <x:v>How much control is truly required versus managed simplicity?</x:v>
      </x:c>
      <x:c r="E8" s="32" t="str">
        <x:v>Runtime decision, scaling model, availability design and operations ownership.</x:v>
      </x:c>
      <x:c r="F8" s="46" t="str">
        <x:v>Use the least operationally complex runtime that meets the requirement.</x:v>
      </x:c>
    </x:row>
    <x:row r="9">
      <x:c r="A9" s="40" t="str">
        <x:v>05 Data Infrastructure</x:v>
      </x:c>
      <x:c r="B9" s="32" t="str">
        <x:v>Select storage and operational databases from access patterns.</x:v>
      </x:c>
      <x:c r="C9" s="32" t="str">
        <x:v>Object &amp; Archive Storage
Block &amp; Local Storage
File &amp; High-Performance Storage
Relational Databases
Distributed &amp; Cloud-Native SQL
NoSQL Databases
Caching &amp; In-Memory Data
Specialised Databases
Backup &amp; Disaster Recovery
Data Transfer &amp; Hybrid Storage</x:v>
      </x:c>
      <x:c r="D9" s="32" t="str">
        <x:v>What data model, consistency, latency, durability, retention and recovery requirements apply?</x:v>
      </x:c>
      <x:c r="E9" s="32" t="str">
        <x:v>Data-store selection, backup/DR, migration and lifecycle policy.</x:v>
      </x:c>
      <x:c r="F9" s="46" t="str">
        <x:v>Choose from access patterns and recovery needs—not database popularity.</x:v>
      </x:c>
    </x:row>
    <x:row r="10">
      <x:c r="A10" s="40" t="str">
        <x:v>06 Data Platform, Analytics &amp; BI</x:v>
      </x:c>
      <x:c r="B10" s="32" t="str">
        <x:v>Build governed pipelines from raw data to business insight.</x:v>
      </x:c>
      <x:c r="C10" s="32" t="str">
        <x:v>Data Lake, Warehouse &amp; Lakehouse
Data Engineering &amp; Orchestration
Streaming &amp; Real-Time Data
Data Governance, Sharing &amp; Quality
Analytics, BI &amp; Search</x:v>
      </x:c>
      <x:c r="D10" s="32" t="str">
        <x:v>How will data be ingested, governed, transformed, served and consumed?</x:v>
      </x:c>
      <x:c r="E10" s="32" t="str">
        <x:v>Data architecture, ingestion pattern, semantic model, governance and BI platform.</x:v>
      </x:c>
      <x:c r="F10" s="46" t="str">
        <x:v>Avoid duplicating warehouse, lakehouse and BI responsibilities.</x:v>
      </x:c>
    </x:row>
    <x:row r="11">
      <x:c r="A11" s="40" t="str">
        <x:v>07 AI &amp; Intelligent Systems</x:v>
      </x:c>
      <x:c r="B11" s="32" t="str">
        <x:v>Select AI capabilities only after data, risk and evaluation requirements are clear.</x:v>
      </x:c>
      <x:c r="C11" s="32" t="str">
        <x:v>Foundation Models &amp; GenAI
Agents, RAG &amp; Enterprise Search
ML Platform &amp; MLOps
Responsible AI, Safety &amp; Governance
Prebuilt Cognitive AI Services
Industry &amp; Applied AI</x:v>
      </x:c>
      <x:c r="D11" s="32" t="str">
        <x:v>What intelligence is needed, what evidence proves quality, and what risks require controls?</x:v>
      </x:c>
      <x:c r="E11" s="32" t="str">
        <x:v>Model/platform decision, RAG/agent design, evaluation plan and AI control framework.</x:v>
      </x:c>
      <x:c r="F11" s="46" t="str">
        <x:v>Do not scale an AI prototype without evaluation, governance and operating controls.</x:v>
      </x:c>
    </x:row>
    <x:row r="12">
      <x:c r="A12" s="40" t="str">
        <x:v>08 Applications, APIs &amp; Integration</x:v>
      </x:c>
      <x:c r="B12" s="32" t="str">
        <x:v>Compose user experiences, APIs, events and enterprise workflows.</x:v>
      </x:c>
      <x:c r="C12" s="32" t="str">
        <x:v>Messaging &amp; Eventing
Workflow &amp; Orchestration
Enterprise Integration &amp; iPaaS
Application Communications
End-User, Collaboration &amp; Contact Centre</x:v>
      </x:c>
      <x:c r="D12" s="32" t="str">
        <x:v>How will users and systems interact, integrate and exchange data reliably?</x:v>
      </x:c>
      <x:c r="E12" s="32" t="str">
        <x:v>Application architecture, API contract, integration pattern and channel design.</x:v>
      </x:c>
      <x:c r="F12" s="46" t="str">
        <x:v>Choose the integration semantic first: request, event, queue, stream or workflow.</x:v>
      </x:c>
    </x:row>
    <x:row r="13">
      <x:c r="A13" s="40" t="str">
        <x:v>09 Engineering, Operations &amp; Migration</x:v>
      </x:c>
      <x:c r="B13" s="32" t="str">
        <x:v>Create repeatable delivery, observability and change mechanisms.</x:v>
      </x:c>
      <x:c r="C13" s="32" t="str">
        <x:v>Software Delivery &amp; Supply Chain
Developer Experience &amp; Platform Engineering
Testing &amp; Resilience Engineering
Observability &amp; Application Performance
Reliability, SRE &amp; Service Health
Migration, Modernisation &amp; Transformation</x:v>
      </x:c>
      <x:c r="D13" s="32" t="str">
        <x:v>How will the solution be built, released, observed, supported and evolved?</x:v>
      </x:c>
      <x:c r="E13" s="32" t="str">
        <x:v>CI/CD, golden path, SLOs, runbooks, migration plan and support model.</x:v>
      </x:c>
      <x:c r="F13" s="46" t="str">
        <x:v>No production approval without CI/CD, observability, runbooks and support ownership.</x:v>
      </x:c>
    </x:row>
    <x:row r="14">
      <x:c r="A14" s="40" t="str">
        <x:v>10 Edge, IoT &amp; Industry</x:v>
      </x:c>
      <x:c r="B14" s="32" t="str">
        <x:v>Use specialist capabilities only where the industry requirement justifies them.</x:v>
      </x:c>
      <x:c r="C14" s="32" t="str">
        <x:v>IoT, Devices &amp; Industrial Edge
Media, Communications &amp; Location
Industry &amp; Sovereign Solutions</x:v>
      </x:c>
      <x:c r="D14" s="32" t="str">
        <x:v>Which physical, edge, media, sovereign or industry constraints cannot be met by general services?</x:v>
      </x:c>
      <x:c r="E14" s="32" t="str">
        <x:v>Edge topology, device model, specialist service selection and industry controls.</x:v>
      </x:c>
      <x:c r="F14" s="46" t="str">
        <x:v>Use specialist services only when a real edge, media, sovereign or industry constraint exists.</x:v>
      </x:c>
    </x:row>
  </x:sheetData>
  <x:mergeCells>
    <x:mergeCell ref="A1:F1"/>
    <x:mergeCell ref="A2:F2"/>
  </x:mergeCells>
  <x:pageMargins left="0.7" right="0.7" top="0.75" bottom="0.75" header="0.3" footer="0.3"/>
  <x:tableParts count="1">
    <x:tablePart xmlns:r="http://schemas.openxmlformats.org/officeDocument/2006/relationships" r:id="R2a702a9756e44f0f"/>
  </x:tableParts>
</x:worksheet>
</file>

<file path=xl/worksheets/sheet3.xml><?xml version="1.0" encoding="utf-8"?>
<x:worksheet xmlns:x="http://schemas.openxmlformats.org/spreadsheetml/2006/main">
  <x:sheetFormatPr defaultRowHeight="15"/>
  <x:cols>
    <x:col min="1" max="1" width="38" hidden="0" customWidth="1"/>
    <x:col min="2" max="2" width="31" hidden="0" customWidth="1"/>
    <x:col min="3" max="3" width="32" hidden="0" customWidth="1"/>
    <x:col min="4" max="4" width="48" hidden="0" customWidth="1"/>
    <x:col min="5" max="5" width="38" hidden="0" customWidth="1"/>
    <x:col min="6" max="6" width="40" hidden="0" customWidth="1"/>
    <x:col min="7" max="7" width="40" hidden="0" customWidth="1"/>
    <x:col min="8" max="8" width="22" hidden="0" customWidth="1"/>
    <x:col min="9" max="9" width="44" hidden="0" customWidth="1"/>
    <x:col min="10" max="10" width="44" hidden="0" customWidth="1"/>
    <x:col min="11" max="11" width="44" hidden="0" customWidth="1"/>
    <x:col min="12" max="12" width="55" hidden="0" customWidth="1"/>
  </x:cols>
  <x:sheetData>
    <x:row r="1" ht="30" customHeight="1">
      <x:c r="A1" s="5" t="str">
        <x:v>Quick Picks for Common Architecture Decisions</x:v>
      </x:c>
      <x:c r="B1" s="5"/>
      <x:c r="C1" s="5"/>
      <x:c r="D1" s="5"/>
      <x:c r="E1" s="5"/>
      <x:c r="F1" s="5"/>
      <x:c r="G1" s="5"/>
      <x:c r="H1" s="5"/>
      <x:c r="I1" s="5"/>
      <x:c r="J1" s="5"/>
      <x:c r="K1" s="5"/>
      <x:c r="L1" s="5"/>
    </x:row>
    <x:row r="2" ht="34" customHeight="1">
      <x:c r="A2" s="14" t="str">
        <x:v>Use these scenario defaults to reduce search time. Then open the Decision Assistant or Service Decision Matrix for the detailed trade-off.</x:v>
      </x:c>
      <x:c r="B2" s="14"/>
      <x:c r="C2" s="14"/>
      <x:c r="D2" s="14"/>
      <x:c r="E2" s="14"/>
      <x:c r="F2" s="14"/>
      <x:c r="G2" s="14"/>
      <x:c r="H2" s="14"/>
      <x:c r="I2" s="14"/>
      <x:c r="J2" s="14"/>
      <x:c r="K2" s="14"/>
      <x:c r="L2" s="14"/>
    </x:row>
    <x:row r="4" ht="34" customHeight="1">
      <x:c r="A4" s="24" t="str">
        <x:v>Scenario</x:v>
      </x:c>
      <x:c r="B4" s="24" t="str">
        <x:v>Architecture layer</x:v>
      </x:c>
      <x:c r="C4" s="24" t="str">
        <x:v>Subcategory</x:v>
      </x:c>
      <x:c r="D4" s="24" t="str">
        <x:v>Use when / trigger</x:v>
      </x:c>
      <x:c r="E4" s="24" t="str">
        <x:v>AWS option</x:v>
      </x:c>
      <x:c r="F4" s="24" t="str">
        <x:v>Azure option</x:v>
      </x:c>
      <x:c r="G4" s="24" t="str">
        <x:v>Google Cloud option</x:v>
      </x:c>
      <x:c r="H4" s="24" t="str">
        <x:v>Default first choice</x:v>
      </x:c>
      <x:c r="I4" s="24" t="str">
        <x:v>Choose AWS when</x:v>
      </x:c>
      <x:c r="J4" s="24" t="str">
        <x:v>Choose Azure when</x:v>
      </x:c>
      <x:c r="K4" s="24" t="str">
        <x:v>Choose Google Cloud when</x:v>
      </x:c>
      <x:c r="L4" s="24" t="str">
        <x:v>Complexity / caution</x:v>
      </x:c>
    </x:row>
    <x:row r="5">
      <x:c r="A5" s="32" t="str">
        <x:v>Enterprise GenAI assistant on Microsoft estate</x:v>
      </x:c>
      <x:c r="B5" s="32" t="str">
        <x:v>07 AI &amp; Intelligent Systems</x:v>
      </x:c>
      <x:c r="C5" s="32" t="str">
        <x:v>Foundation Models &amp; GenAI</x:v>
      </x:c>
      <x:c r="D5" s="32" t="str">
        <x:v>Microsoft identity, M365, Defender or Fabric are strategic</x:v>
      </x:c>
      <x:c r="E5" s="32" t="str">
        <x:v>Amazon Bedrock / Amazon Q Business</x:v>
      </x:c>
      <x:c r="F5" s="32" t="str">
        <x:v>Microsoft Foundry / Azure OpenAI / Microsoft 365 Copilot</x:v>
      </x:c>
      <x:c r="G5" s="32" t="str">
        <x:v>Vertex AI / Gemini Enterprise</x:v>
      </x:c>
      <x:c r="H5" s="72" t="str">
        <x:v>Azure</x:v>
      </x:c>
      <x:c r="I5" s="32" t="str">
        <x:v>Choose AWS for broad model choice and AWS-native systems.</x:v>
      </x:c>
      <x:c r="J5" s="32" t="str">
        <x:v>Choose Azure for Microsoft identity, security, productivity and data integration.</x:v>
      </x:c>
      <x:c r="K5" s="32" t="str">
        <x:v>Choose GCP for Gemini, multimodal AI and BigQuery/Vertex integration.</x:v>
      </x:c>
      <x:c r="L5" s="46" t="str">
        <x:v>Moderate — Confirm data residency, model availability, content safety and licensing.</x:v>
      </x:c>
    </x:row>
    <x:row r="6">
      <x:c r="A6" s="32" t="str">
        <x:v>Model-diverse generative AI platform</x:v>
      </x:c>
      <x:c r="B6" s="32" t="str">
        <x:v>07 AI &amp; Intelligent Systems</x:v>
      </x:c>
      <x:c r="C6" s="32" t="str">
        <x:v>Foundation Models &amp; GenAI</x:v>
      </x:c>
      <x:c r="D6" s="32" t="str">
        <x:v>You want managed access to many first- and third-party models</x:v>
      </x:c>
      <x:c r="E6" s="32" t="str">
        <x:v>Amazon Bedrock</x:v>
      </x:c>
      <x:c r="F6" s="32" t="str">
        <x:v>Microsoft Foundry Models</x:v>
      </x:c>
      <x:c r="G6" s="32" t="str">
        <x:v>Vertex AI Model Garden</x:v>
      </x:c>
      <x:c r="H6" s="72" t="str">
        <x:v>AWS / Azure / GCP</x:v>
      </x:c>
      <x:c r="I6" s="32" t="str">
        <x:v>Strong breadth and mature Bedrock integration.</x:v>
      </x:c>
      <x:c r="J6" s="32" t="str">
        <x:v>Strong enterprise controls and Microsoft ecosystem integration.</x:v>
      </x:c>
      <x:c r="K6" s="32" t="str">
        <x:v>Strong Google models, AI infrastructure and data integration.</x:v>
      </x:c>
      <x:c r="L6" s="46" t="str">
        <x:v>Moderate — Benchmark model quality, latency and token economics for the actual use case.</x:v>
      </x:c>
    </x:row>
    <x:row r="7">
      <x:c r="A7" s="32" t="str">
        <x:v>RAG over enterprise documents</x:v>
      </x:c>
      <x:c r="B7" s="32" t="str">
        <x:v>07 AI &amp; Intelligent Systems</x:v>
      </x:c>
      <x:c r="C7" s="32" t="str">
        <x:v>Agents, RAG &amp; Enterprise Search</x:v>
      </x:c>
      <x:c r="D7" s="32" t="str">
        <x:v>Answers must be grounded in governed enterprise content</x:v>
      </x:c>
      <x:c r="E7" s="32" t="str">
        <x:v>Knowledge Bases for Amazon Bedrock / Amazon Kendra</x:v>
      </x:c>
      <x:c r="F7" s="32" t="str">
        <x:v>Azure AI Search / Foundry IQ</x:v>
      </x:c>
      <x:c r="G7" s="32" t="str">
        <x:v>Vertex AI Search / Vertex AI RAG Engine</x:v>
      </x:c>
      <x:c r="H7" s="72" t="str">
        <x:v>Context-dependent</x:v>
      </x:c>
      <x:c r="I7" s="32" t="str">
        <x:v>Strong when content and apps already run on AWS.</x:v>
      </x:c>
      <x:c r="J7" s="32" t="str">
        <x:v>Strong for Microsoft 365, Purview and Azure estates.</x:v>
      </x:c>
      <x:c r="K7" s="32" t="str">
        <x:v>Strong for BigQuery, Google Workspace and Vertex AI estates.</x:v>
      </x:c>
      <x:c r="L7" s="46" t="str">
        <x:v>Moderate — Evaluate retrieval quality, ACL propagation, freshness and citation support.</x:v>
      </x:c>
    </x:row>
    <x:row r="8">
      <x:c r="A8" s="32" t="str">
        <x:v>Agentic application platform</x:v>
      </x:c>
      <x:c r="B8" s="32" t="str">
        <x:v>07 AI &amp; Intelligent Systems</x:v>
      </x:c>
      <x:c r="C8" s="32" t="str">
        <x:v>Agents, RAG &amp; Enterprise Search</x:v>
      </x:c>
      <x:c r="D8" s="32" t="str">
        <x:v>Agents must use tools, memory, workflows and enterprise controls</x:v>
      </x:c>
      <x:c r="E8" s="32" t="str">
        <x:v>Bedrock Agents / AgentCore</x:v>
      </x:c>
      <x:c r="F8" s="32" t="str">
        <x:v>Foundry Agent Service</x:v>
      </x:c>
      <x:c r="G8" s="32" t="str">
        <x:v>Vertex AI Agent Engine / ADK</x:v>
      </x:c>
      <x:c r="H8" s="72" t="str">
        <x:v>Context-dependent</x:v>
      </x:c>
      <x:c r="I8" s="32" t="str">
        <x:v>Best for AWS-native tools and operational services.</x:v>
      </x:c>
      <x:c r="J8" s="32" t="str">
        <x:v>Best for Microsoft enterprise integration and governance.</x:v>
      </x:c>
      <x:c r="K8" s="32" t="str">
        <x:v>Best for Gemini, ADK, data and cloud-native agent engineering.</x:v>
      </x:c>
      <x:c r="L8" s="46" t="str">
        <x:v>Advanced — Start with one bounded workflow before multi-agent orchestration.</x:v>
      </x:c>
    </x:row>
    <x:row r="9">
      <x:c r="A9" s="32" t="str">
        <x:v>End-to-end ML platform</x:v>
      </x:c>
      <x:c r="B9" s="32" t="str">
        <x:v>07 AI &amp; Intelligent Systems</x:v>
      </x:c>
      <x:c r="C9" s="32" t="str">
        <x:v>ML Platform &amp; MLOps</x:v>
      </x:c>
      <x:c r="D9" s="32" t="str">
        <x:v>Teams need training, registry, pipelines, deployment and monitoring</x:v>
      </x:c>
      <x:c r="E9" s="32" t="str">
        <x:v>Amazon SageMaker AI</x:v>
      </x:c>
      <x:c r="F9" s="32" t="str">
        <x:v>Azure Machine Learning</x:v>
      </x:c>
      <x:c r="G9" s="32" t="str">
        <x:v>Vertex AI</x:v>
      </x:c>
      <x:c r="H9" s="72" t="str">
        <x:v>GCP / AWS</x:v>
      </x:c>
      <x:c r="I9" s="32" t="str">
        <x:v>Strong mature platform and AWS infrastructure integration.</x:v>
      </x:c>
      <x:c r="J9" s="32" t="str">
        <x:v>Strong enterprise governance and Microsoft data integration.</x:v>
      </x:c>
      <x:c r="K9" s="32" t="str">
        <x:v>Strong unified AI platform, data integration and accelerator ecosystem.</x:v>
      </x:c>
      <x:c r="L9" s="46" t="str">
        <x:v>Advanced — Check team skill, existing notebooks, feature store needs and inference economics.</x:v>
      </x:c>
    </x:row>
    <x:row r="10">
      <x:c r="A10" s="32" t="str">
        <x:v>Enterprise data warehouse</x:v>
      </x:c>
      <x:c r="B10" s="32" t="str">
        <x:v>06 Data Platform, Analytics &amp; BI</x:v>
      </x:c>
      <x:c r="C10" s="32" t="str">
        <x:v>Data Lake, Warehouse &amp; Lakehouse</x:v>
      </x:c>
      <x:c r="D10" s="32" t="str">
        <x:v>Primary need is governed analytical SQL at scale</x:v>
      </x:c>
      <x:c r="E10" s="32" t="str">
        <x:v>Amazon Redshift</x:v>
      </x:c>
      <x:c r="F10" s="32" t="str">
        <x:v>Microsoft Fabric Warehouse / Azure Synapse Analytics</x:v>
      </x:c>
      <x:c r="G10" s="32" t="str">
        <x:v>BigQuery</x:v>
      </x:c>
      <x:c r="H10" s="72" t="str">
        <x:v>GCP</x:v>
      </x:c>
      <x:c r="I10" s="32" t="str">
        <x:v>Strong AWS-native warehouse and S3 integration.</x:v>
      </x:c>
      <x:c r="J10" s="32" t="str">
        <x:v>Strong Power BI/Fabric experience for Microsoft estates.</x:v>
      </x:c>
      <x:c r="K10" s="32" t="str">
        <x:v>Strong serverless analytics and low-operations warehouse experience.</x:v>
      </x:c>
      <x:c r="L10" s="46" t="str">
        <x:v>Moderate — Compare concurrency, workload isolation, data sharing and cost model.</x:v>
      </x:c>
    </x:row>
    <x:row r="11">
      <x:c r="A11" s="32" t="str">
        <x:v>Microsoft-centric lakehouse and BI</x:v>
      </x:c>
      <x:c r="B11" s="32" t="str">
        <x:v>06 Data Platform, Analytics &amp; BI</x:v>
      </x:c>
      <x:c r="C11" s="32" t="str">
        <x:v>Data Lake, Warehouse &amp; Lakehouse</x:v>
      </x:c>
      <x:c r="D11" s="32" t="str">
        <x:v>Power BI, Microsoft 365 and Azure are already strategic</x:v>
      </x:c>
      <x:c r="E11" s="32" t="str">
        <x:v>S3 / Lake Formation / Redshift</x:v>
      </x:c>
      <x:c r="F11" s="32" t="str">
        <x:v>Microsoft Fabric / Azure Databricks / ADLS</x:v>
      </x:c>
      <x:c r="G11" s="32" t="str">
        <x:v>BigQuery Lakehouse</x:v>
      </x:c>
      <x:c r="H11" s="72" t="str">
        <x:v>Azure</x:v>
      </x:c>
      <x:c r="I11" s="32" t="str">
        <x:v>Use AWS when the data platform is already S3-centric.</x:v>
      </x:c>
      <x:c r="J11" s="32" t="str">
        <x:v>Best fit for Power BI, Fabric and Microsoft governance.</x:v>
      </x:c>
      <x:c r="K11" s="32" t="str">
        <x:v>Use GCP when BigQuery and AI are stronger drivers than Microsoft integration.</x:v>
      </x:c>
      <x:c r="L11" s="46" t="str">
        <x:v>Moderate — Avoid duplicating Fabric, Synapse and Databricks responsibilities without clear boundaries.</x:v>
      </x:c>
    </x:row>
    <x:row r="12">
      <x:c r="A12" s="32" t="str">
        <x:v>Cloud-native analytics with minimal operations</x:v>
      </x:c>
      <x:c r="B12" s="32" t="str">
        <x:v>06 Data Platform, Analytics &amp; BI</x:v>
      </x:c>
      <x:c r="C12" s="32" t="str">
        <x:v>Analytics, BI &amp; Search</x:v>
      </x:c>
      <x:c r="D12" s="32" t="str">
        <x:v>Teams want serverless SQL and managed analytics</x:v>
      </x:c>
      <x:c r="E12" s="32" t="str">
        <x:v>Athena / Redshift Serverless</x:v>
      </x:c>
      <x:c r="F12" s="32" t="str">
        <x:v>Fabric / Synapse serverless SQL</x:v>
      </x:c>
      <x:c r="G12" s="32" t="str">
        <x:v>BigQuery</x:v>
      </x:c>
      <x:c r="H12" s="72" t="str">
        <x:v>GCP</x:v>
      </x:c>
      <x:c r="I12" s="32" t="str">
        <x:v>Good for S3 data-lake queries.</x:v>
      </x:c>
      <x:c r="J12" s="32" t="str">
        <x:v>Good for Microsoft data and BI integration.</x:v>
      </x:c>
      <x:c r="K12" s="32" t="str">
        <x:v>Strong serverless data warehouse and analytics operating model.</x:v>
      </x:c>
      <x:c r="L12" s="46" t="str">
        <x:v>Easy — Test representative queries and slot/consumption cost behaviour.</x:v>
      </x:c>
    </x:row>
    <x:row r="13">
      <x:c r="A13" s="32" t="str">
        <x:v>Real-time event analytics</x:v>
      </x:c>
      <x:c r="B13" s="32" t="str">
        <x:v>06 Data Platform, Analytics &amp; BI</x:v>
      </x:c>
      <x:c r="C13" s="32" t="str">
        <x:v>Streaming &amp; Real-Time Data</x:v>
      </x:c>
      <x:c r="D13" s="32" t="str">
        <x:v>Telemetry or events require low-latency processing and replay</x:v>
      </x:c>
      <x:c r="E13" s="32" t="str">
        <x:v>Kinesis / MSK / Managed Flink</x:v>
      </x:c>
      <x:c r="F13" s="32" t="str">
        <x:v>Event Hubs / Stream Analytics</x:v>
      </x:c>
      <x:c r="G13" s="32" t="str">
        <x:v>Pub/Sub / Dataflow / Managed Kafka</x:v>
      </x:c>
      <x:c r="H13" s="72" t="str">
        <x:v>GCP / AWS</x:v>
      </x:c>
      <x:c r="I13" s="32" t="str">
        <x:v>Strong native streaming portfolio and AWS integration.</x:v>
      </x:c>
      <x:c r="J13" s="32" t="str">
        <x:v>Strong Microsoft integration and event ingestion.</x:v>
      </x:c>
      <x:c r="K13" s="32" t="str">
        <x:v>Strong managed streaming and unified batch/stream processing.</x:v>
      </x:c>
      <x:c r="L13" s="46" t="str">
        <x:v>Advanced — Define ordering, replay, retention, schema and exactly-once expectations.</x:v>
      </x:c>
    </x:row>
    <x:row r="14">
      <x:c r="A14" s="32" t="str">
        <x:v>Managed Kubernetes platform</x:v>
      </x:c>
      <x:c r="B14" s="32" t="str">
        <x:v>04 Compute, Containers &amp; Runtime</x:v>
      </x:c>
      <x:c r="C14" s="32" t="str">
        <x:v>Containers &amp; Kubernetes</x:v>
      </x:c>
      <x:c r="D14" s="32" t="str">
        <x:v>You genuinely require Kubernetes APIs, ecosystem and control</x:v>
      </x:c>
      <x:c r="E14" s="32" t="str">
        <x:v>Amazon EKS</x:v>
      </x:c>
      <x:c r="F14" s="32" t="str">
        <x:v>Azure Kubernetes Service</x:v>
      </x:c>
      <x:c r="G14" s="32" t="str">
        <x:v>Google Kubernetes Engine</x:v>
      </x:c>
      <x:c r="H14" s="72" t="str">
        <x:v>GCP</x:v>
      </x:c>
      <x:c r="I14" s="32" t="str">
        <x:v>Strong AWS integration and broad infrastructure options.</x:v>
      </x:c>
      <x:c r="J14" s="32" t="str">
        <x:v>Strong Microsoft identity, policy and hybrid integration.</x:v>
      </x:c>
      <x:c r="K14" s="32" t="str">
        <x:v>Strong Kubernetes heritage and managed cluster experience.</x:v>
      </x:c>
      <x:c r="L14" s="46" t="str">
        <x:v>Advanced — Use a simpler container platform when Kubernetes-specific control is not required.</x:v>
      </x:c>
    </x:row>
    <x:row r="15">
      <x:c r="A15" s="32" t="str">
        <x:v>Serverless containerised application</x:v>
      </x:c>
      <x:c r="B15" s="32" t="str">
        <x:v>04 Compute, Containers &amp; Runtime</x:v>
      </x:c>
      <x:c r="C15" s="32" t="str">
        <x:v>Containers &amp; Kubernetes</x:v>
      </x:c>
      <x:c r="D15" s="32" t="str">
        <x:v>Deploy HTTP or event-driven containers without cluster operations</x:v>
      </x:c>
      <x:c r="E15" s="32" t="str">
        <x:v>AWS App Runner / Fargate</x:v>
      </x:c>
      <x:c r="F15" s="32" t="str">
        <x:v>Azure Container Apps</x:v>
      </x:c>
      <x:c r="G15" s="32" t="str">
        <x:v>Cloud Run</x:v>
      </x:c>
      <x:c r="H15" s="72" t="str">
        <x:v>GCP</x:v>
      </x:c>
      <x:c r="I15" s="32" t="str">
        <x:v>Strong when ECS/Fargate and AWS services are already used.</x:v>
      </x:c>
      <x:c r="J15" s="32" t="str">
        <x:v>Strong for Azure integration and Dapr-style microservices.</x:v>
      </x:c>
      <x:c r="K15" s="32" t="str">
        <x:v>Strong simplicity, autoscaling and developer experience.</x:v>
      </x:c>
      <x:c r="L15" s="46" t="str">
        <x:v>Easy — Validate cold start, concurrency, networking and maximum execution constraints.</x:v>
      </x:c>
    </x:row>
    <x:row r="16">
      <x:c r="A16" s="32" t="str">
        <x:v>Event-driven serverless application</x:v>
      </x:c>
      <x:c r="B16" s="32" t="str">
        <x:v>04 Compute, Containers &amp; Runtime</x:v>
      </x:c>
      <x:c r="C16" s="32" t="str">
        <x:v>Serverless Compute</x:v>
      </x:c>
      <x:c r="D16" s="32" t="str">
        <x:v>Functions process events with low operational overhead</x:v>
      </x:c>
      <x:c r="E16" s="32" t="str">
        <x:v>AWS Lambda</x:v>
      </x:c>
      <x:c r="F16" s="32" t="str">
        <x:v>Azure Functions</x:v>
      </x:c>
      <x:c r="G16" s="32" t="str">
        <x:v>Cloud Run functions</x:v>
      </x:c>
      <x:c r="H16" s="72" t="str">
        <x:v>AWS / GCP</x:v>
      </x:c>
      <x:c r="I16" s="32" t="str">
        <x:v>Strong event ecosystem, maturity and service integrations.</x:v>
      </x:c>
      <x:c r="J16" s="32" t="str">
        <x:v>Strong Microsoft and Logic Apps integration.</x:v>
      </x:c>
      <x:c r="K16" s="32" t="str">
        <x:v>Strong Cloud Run integration and developer simplicity.</x:v>
      </x:c>
      <x:c r="L16" s="46" t="str">
        <x:v>Easy — Do not use for long-running, stateful or highly specialised runtime needs.</x:v>
      </x:c>
    </x:row>
    <x:row r="17">
      <x:c r="A17" s="32" t="str">
        <x:v>Windows, Active Directory and SQL workload</x:v>
      </x:c>
      <x:c r="B17" s="32" t="str">
        <x:v>04 Compute, Containers &amp; Runtime</x:v>
      </x:c>
      <x:c r="C17" s="32" t="str">
        <x:v>Virtual Machines &amp; Core Compute</x:v>
      </x:c>
      <x:c r="D17" s="32" t="str">
        <x:v>The application depends on Windows, Entra, SQL Server or Microsoft licensing</x:v>
      </x:c>
      <x:c r="E17" s="32" t="str">
        <x:v>EC2 / RDS for SQL Server</x:v>
      </x:c>
      <x:c r="F17" s="32" t="str">
        <x:v>Azure VMs / Azure SQL / Entra</x:v>
      </x:c>
      <x:c r="G17" s="32" t="str">
        <x:v>Compute Engine / Cloud SQL for SQL Server</x:v>
      </x:c>
      <x:c r="H17" s="72" t="str">
        <x:v>Azure</x:v>
      </x:c>
      <x:c r="I17" s="32" t="str">
        <x:v>Viable for AWS-standardised estates.</x:v>
      </x:c>
      <x:c r="J17" s="32" t="str">
        <x:v>Default choice for Microsoft workload and licence integration.</x:v>
      </x:c>
      <x:c r="K17" s="32" t="str">
        <x:v>Viable where GCP data/AI is strategic.</x:v>
      </x:c>
      <x:c r="L17" s="46" t="str">
        <x:v>Moderate — Assess licence mobility, support model and migration compatibility.</x:v>
      </x:c>
    </x:row>
    <x:row r="18">
      <x:c r="A18" s="32" t="str">
        <x:v>Broad infrastructure-first cloud platform</x:v>
      </x:c>
      <x:c r="B18" s="32" t="str">
        <x:v>04 Compute, Containers &amp; Runtime</x:v>
      </x:c>
      <x:c r="C18" s="32" t="str">
        <x:v>Virtual Machines &amp; Core Compute</x:v>
      </x:c>
      <x:c r="D18" s="32" t="str">
        <x:v>The estate needs maximum infrastructure breadth and mature cloud-native building blocks</x:v>
      </x:c>
      <x:c r="E18" s="32" t="str">
        <x:v>Amazon EC2 and AWS portfolio</x:v>
      </x:c>
      <x:c r="F18" s="32" t="str">
        <x:v>Azure Virtual Machines and Azure portfolio</x:v>
      </x:c>
      <x:c r="G18" s="32" t="str">
        <x:v>Compute Engine and Google Cloud portfolio</x:v>
      </x:c>
      <x:c r="H18" s="72" t="str">
        <x:v>AWS</x:v>
      </x:c>
      <x:c r="I18" s="32" t="str">
        <x:v>Strong breadth, infrastructure options and operational maturity.</x:v>
      </x:c>
      <x:c r="J18" s="32" t="str">
        <x:v>Strong enterprise and Microsoft integration.</x:v>
      </x:c>
      <x:c r="K18" s="32" t="str">
        <x:v>Strong network, data and cloud-native capabilities.</x:v>
      </x:c>
      <x:c r="L18" s="46" t="str">
        <x:v>Moderate — Existing contracts, skills and data gravity usually outweigh small feature differences.</x:v>
      </x:c>
    </x:row>
    <x:row r="19">
      <x:c r="A19" s="32" t="str">
        <x:v>Hybrid and on-premises cloud management</x:v>
      </x:c>
      <x:c r="B19" s="32" t="str">
        <x:v>04 Compute, Containers &amp; Runtime</x:v>
      </x:c>
      <x:c r="C19" s="32" t="str">
        <x:v>Hybrid, Multicloud &amp; Edge Runtime</x:v>
      </x:c>
      <x:c r="D19" s="32" t="str">
        <x:v>Servers, Kubernetes and data services span data centres and cloud</x:v>
      </x:c>
      <x:c r="E19" s="32" t="str">
        <x:v>AWS Outposts / Systems Manager</x:v>
      </x:c>
      <x:c r="F19" s="32" t="str">
        <x:v>Azure Arc / Azure Local</x:v>
      </x:c>
      <x:c r="G19" s="32" t="str">
        <x:v>Google Distributed Cloud / GKE Enterprise</x:v>
      </x:c>
      <x:c r="H19" s="72" t="str">
        <x:v>Azure</x:v>
      </x:c>
      <x:c r="I19" s="32" t="str">
        <x:v>Strong for AWS-consistent on-premises infrastructure.</x:v>
      </x:c>
      <x:c r="J19" s="32" t="str">
        <x:v>Strong unified enterprise hybrid management.</x:v>
      </x:c>
      <x:c r="K19" s="32" t="str">
        <x:v>Strong Kubernetes-led multicloud and distributed cloud.</x:v>
      </x:c>
      <x:c r="L19" s="46" t="str">
        <x:v>Advanced — Define ownership, disconnected operation, identity and update responsibilities.</x:v>
      </x:c>
    </x:row>
    <x:row r="20">
      <x:c r="A20" s="32" t="str">
        <x:v>Multicloud Kubernetes governance</x:v>
      </x:c>
      <x:c r="B20" s="32" t="str">
        <x:v>04 Compute, Containers &amp; Runtime</x:v>
      </x:c>
      <x:c r="C20" s="32" t="str">
        <x:v>Hybrid, Multicloud &amp; Edge Runtime</x:v>
      </x:c>
      <x:c r="D20" s="32" t="str">
        <x:v>Kubernetes fleets span multiple clouds</x:v>
      </x:c>
      <x:c r="E20" s="32" t="str">
        <x:v>EKS Anywhere</x:v>
      </x:c>
      <x:c r="F20" s="32" t="str">
        <x:v>Azure Arc-enabled Kubernetes / Fleet Manager</x:v>
      </x:c>
      <x:c r="G20" s="32" t="str">
        <x:v>GKE Multi-Cloud / GKE Enterprise</x:v>
      </x:c>
      <x:c r="H20" s="72" t="str">
        <x:v>GCP</x:v>
      </x:c>
      <x:c r="I20" s="32" t="str">
        <x:v>Good for AWS-centred EKS estates.</x:v>
      </x:c>
      <x:c r="J20" s="32" t="str">
        <x:v>Good for Microsoft governance across clusters.</x:v>
      </x:c>
      <x:c r="K20" s="32" t="str">
        <x:v>Strong Kubernetes-centred multicloud management.</x:v>
      </x:c>
      <x:c r="L20" s="46" t="str">
        <x:v>Advanced — Multicloud adds cost and complexity; require a clear business justification.</x:v>
      </x:c>
    </x:row>
    <x:row r="21">
      <x:c r="A21" s="32" t="str">
        <x:v>Transactional PostgreSQL application</x:v>
      </x:c>
      <x:c r="B21" s="32" t="str">
        <x:v>05 Data Infrastructure</x:v>
      </x:c>
      <x:c r="C21" s="32" t="str">
        <x:v>Relational Databases</x:v>
      </x:c>
      <x:c r="D21" s="32" t="str">
        <x:v>A managed PostgreSQL-compatible operational database is required</x:v>
      </x:c>
      <x:c r="E21" s="32" t="str">
        <x:v>Aurora PostgreSQL / RDS PostgreSQL</x:v>
      </x:c>
      <x:c r="F21" s="32" t="str">
        <x:v>Azure Database for PostgreSQL</x:v>
      </x:c>
      <x:c r="G21" s="32" t="str">
        <x:v>AlloyDB / Cloud SQL PostgreSQL</x:v>
      </x:c>
      <x:c r="H21" s="72" t="str">
        <x:v>Context-dependent</x:v>
      </x:c>
      <x:c r="I21" s="32" t="str">
        <x:v>Choose Aurora for AWS-native scale and integrations.</x:v>
      </x:c>
      <x:c r="J21" s="32" t="str">
        <x:v>Choose Azure PostgreSQL for Microsoft estate integration.</x:v>
      </x:c>
      <x:c r="K21" s="32" t="str">
        <x:v>Choose AlloyDB for high-performance PostgreSQL and Google data/AI integration.</x:v>
      </x:c>
      <x:c r="L21" s="46" t="str">
        <x:v>Moderate — Benchmark workload-specific latency, extensions, HA and migration compatibility.</x:v>
      </x:c>
    </x:row>
    <x:row r="22">
      <x:c r="A22" s="32" t="str">
        <x:v>Globally distributed relational application</x:v>
      </x:c>
      <x:c r="B22" s="32" t="str">
        <x:v>05 Data Infrastructure</x:v>
      </x:c>
      <x:c r="C22" s="32" t="str">
        <x:v>Distributed &amp; Cloud-Native SQL</x:v>
      </x:c>
      <x:c r="D22" s="32" t="str">
        <x:v>Strong consistency and horizontal/global scale are mandatory</x:v>
      </x:c>
      <x:c r="E22" s="32" t="str">
        <x:v>Aurora DSQL</x:v>
      </x:c>
      <x:c r="F22" s="32" t="str">
        <x:v>Azure SQL Hyperscale / Cosmos DB for PostgreSQL</x:v>
      </x:c>
      <x:c r="G22" s="32" t="str">
        <x:v>Spanner</x:v>
      </x:c>
      <x:c r="H22" s="72" t="str">
        <x:v>GCP</x:v>
      </x:c>
      <x:c r="I22" s="32" t="str">
        <x:v>Evaluate for AWS-native distributed SQL requirements.</x:v>
      </x:c>
      <x:c r="J22" s="32" t="str">
        <x:v>Evaluate for Microsoft SQL or PostgreSQL distribution patterns.</x:v>
      </x:c>
      <x:c r="K22" s="32" t="str">
        <x:v>Strong established globally distributed SQL architecture.</x:v>
      </x:c>
      <x:c r="L22" s="46" t="str">
        <x:v>Advanced — Do not choose distributed SQL when regional managed relational databases are sufficient.</x:v>
      </x:c>
    </x:row>
    <x:row r="23">
      <x:c r="A23" s="32" t="str">
        <x:v>High-scale key-value workload</x:v>
      </x:c>
      <x:c r="B23" s="32" t="str">
        <x:v>05 Data Infrastructure</x:v>
      </x:c>
      <x:c r="C23" s="32" t="str">
        <x:v>NoSQL Databases</x:v>
      </x:c>
      <x:c r="D23" s="32" t="str">
        <x:v>Access is primarily low-latency key-value at large scale</x:v>
      </x:c>
      <x:c r="E23" s="32" t="str">
        <x:v>DynamoDB</x:v>
      </x:c>
      <x:c r="F23" s="32" t="str">
        <x:v>Cosmos DB</x:v>
      </x:c>
      <x:c r="G23" s="32" t="str">
        <x:v>Bigtable / Firestore</x:v>
      </x:c>
      <x:c r="H23" s="72" t="str">
        <x:v>AWS / Azure</x:v>
      </x:c>
      <x:c r="I23" s="32" t="str">
        <x:v>Strong serverless key-value database and AWS integration.</x:v>
      </x:c>
      <x:c r="J23" s="32" t="str">
        <x:v>Strong multimodel and global distribution capabilities.</x:v>
      </x:c>
      <x:c r="K23" s="32" t="str">
        <x:v>Choose Bigtable for wide-column scale or Firestore for document applications.</x:v>
      </x:c>
      <x:c r="L23" s="46" t="str">
        <x:v>Moderate — Start from access patterns, consistency and partition design—not brand preference.</x:v>
      </x:c>
    </x:row>
    <x:row r="24">
      <x:c r="A24" s="32" t="str">
        <x:v>Graph knowledge or relationship data</x:v>
      </x:c>
      <x:c r="B24" s="32" t="str">
        <x:v>05 Data Infrastructure</x:v>
      </x:c>
      <x:c r="C24" s="32" t="str">
        <x:v>Specialised Databases</x:v>
      </x:c>
      <x:c r="D24" s="32" t="str">
        <x:v>Queries depend on relationships, traversals and connected entities</x:v>
      </x:c>
      <x:c r="E24" s="32" t="str">
        <x:v>Amazon Neptune</x:v>
      </x:c>
      <x:c r="F24" s="32" t="str">
        <x:v>Cosmos DB for Apache Gremlin</x:v>
      </x:c>
      <x:c r="G24" s="32" t="str">
        <x:v>Spanner Graph</x:v>
      </x:c>
      <x:c r="H24" s="72" t="str">
        <x:v>Context-dependent</x:v>
      </x:c>
      <x:c r="I24" s="32" t="str">
        <x:v>Strong managed graph options in AWS.</x:v>
      </x:c>
      <x:c r="J24" s="32" t="str">
        <x:v>Strong if Cosmos DB is already strategic.</x:v>
      </x:c>
      <x:c r="K24" s="32" t="str">
        <x:v>Strong when graph and relational/analytics integration is desired.</x:v>
      </x:c>
      <x:c r="L24" s="46" t="str">
        <x:v>Advanced — Confirm graph model, query language, traversal depth and analytics requirements.</x:v>
      </x:c>
    </x:row>
    <x:row r="25">
      <x:c r="A25" s="32" t="str">
        <x:v>Enterprise BI and executive reporting</x:v>
      </x:c>
      <x:c r="B25" s="32" t="str">
        <x:v>06 Data Platform, Analytics &amp; BI</x:v>
      </x:c>
      <x:c r="C25" s="32" t="str">
        <x:v>Analytics, BI &amp; Search</x:v>
      </x:c>
      <x:c r="D25" s="32" t="str">
        <x:v>Business users need governed dashboards and semantic models</x:v>
      </x:c>
      <x:c r="E25" s="32" t="str">
        <x:v>Amazon QuickSight / Amazon Quick</x:v>
      </x:c>
      <x:c r="F25" s="32" t="str">
        <x:v>Power BI / Microsoft Fabric</x:v>
      </x:c>
      <x:c r="G25" s="32" t="str">
        <x:v>Looker / Looker Studio</x:v>
      </x:c>
      <x:c r="H25" s="72" t="str">
        <x:v>Azure</x:v>
      </x:c>
      <x:c r="I25" s="32" t="str">
        <x:v>Good AWS-native embedded and enterprise BI.</x:v>
      </x:c>
      <x:c r="J25" s="32" t="str">
        <x:v>Strong enterprise adoption and Microsoft productivity integration.</x:v>
      </x:c>
      <x:c r="K25" s="32" t="str">
        <x:v>Strong governed semantic modelling and Google data integration.</x:v>
      </x:c>
      <x:c r="L25" s="46" t="str">
        <x:v>Easy — BI tool choice should follow semantic model, user adoption and governance—not visuals alone.</x:v>
      </x:c>
    </x:row>
    <x:row r="26">
      <x:c r="A26" s="32" t="str">
        <x:v>Enterprise identity and access</x:v>
      </x:c>
      <x:c r="B26" s="32" t="str">
        <x:v>02 Security, Identity &amp; Compliance</x:v>
      </x:c>
      <x:c r="C26" s="32" t="str">
        <x:v>Identity &amp; Access</x:v>
      </x:c>
      <x:c r="D26" s="32" t="str">
        <x:v>Workforce identity, SSO and enterprise access governance are central</x:v>
      </x:c>
      <x:c r="E26" s="32" t="str">
        <x:v>AWS IAM / IAM Identity Center</x:v>
      </x:c>
      <x:c r="F26" s="32" t="str">
        <x:v>Microsoft Entra ID</x:v>
      </x:c>
      <x:c r="G26" s="32" t="str">
        <x:v>Cloud Identity / IAM</x:v>
      </x:c>
      <x:c r="H26" s="72" t="str">
        <x:v>Azure</x:v>
      </x:c>
      <x:c r="I26" s="32" t="str">
        <x:v>Strong cloud-resource IAM and AWS federation.</x:v>
      </x:c>
      <x:c r="J26" s="32" t="str">
        <x:v>Strong workforce identity and Microsoft enterprise ecosystem.</x:v>
      </x:c>
      <x:c r="K26" s="32" t="str">
        <x:v>Strong Google Workspace and cloud IAM integration.</x:v>
      </x:c>
      <x:c r="L26" s="46" t="str">
        <x:v>Moderate — Separate workforce identity, customer identity and workload identity decisions.</x:v>
      </x:c>
    </x:row>
    <x:row r="27">
      <x:c r="A27" s="32" t="str">
        <x:v>Cloud-native SIEM and security operations</x:v>
      </x:c>
      <x:c r="B27" s="32" t="str">
        <x:v>02 Security, Identity &amp; Compliance</x:v>
      </x:c>
      <x:c r="C27" s="32" t="str">
        <x:v>Threat Detection &amp; Security Operations</x:v>
      </x:c>
      <x:c r="D27" s="32" t="str">
        <x:v>Security telemetry, detections, investigation and automated response are required</x:v>
      </x:c>
      <x:c r="E27" s="32" t="str">
        <x:v>Security Lake / OpenSearch / partner SIEM</x:v>
      </x:c>
      <x:c r="F27" s="32" t="str">
        <x:v>Microsoft Sentinel / Defender XDR</x:v>
      </x:c>
      <x:c r="G27" s="32" t="str">
        <x:v>Google Security Operations</x:v>
      </x:c>
      <x:c r="H27" s="72" t="str">
        <x:v>Azure / GCP</x:v>
      </x:c>
      <x:c r="I27" s="32" t="str">
        <x:v>Strong security data foundation, often paired with partner SIEM.</x:v>
      </x:c>
      <x:c r="J27" s="32" t="str">
        <x:v>Strong integrated Microsoft security operations ecosystem.</x:v>
      </x:c>
      <x:c r="K27" s="32" t="str">
        <x:v>Strong cloud-scale security analytics and threat intelligence.</x:v>
      </x:c>
      <x:c r="L27" s="46" t="str">
        <x:v>Advanced — Assess telemetry sources, data retention, analyst workflows and ingestion economics.</x:v>
      </x:c>
    </x:row>
    <x:row r="28">
      <x:c r="A28" s="32" t="str">
        <x:v>AI governance and responsible AI</x:v>
      </x:c>
      <x:c r="B28" s="32" t="str">
        <x:v>07 AI &amp; Intelligent Systems</x:v>
      </x:c>
      <x:c r="C28" s="32" t="str">
        <x:v>Responsible AI, Safety &amp; Governance</x:v>
      </x:c>
      <x:c r="D28" s="32" t="str">
        <x:v>AI assets require inventory, policy, evaluation, safety and audit evidence</x:v>
      </x:c>
      <x:c r="E28" s="32" t="str">
        <x:v>SageMaker governance / Bedrock Guardrails</x:v>
      </x:c>
      <x:c r="F28" s="32" t="str">
        <x:v>Foundry Control Plane / Purview / Content Safety</x:v>
      </x:c>
      <x:c r="G28" s="32" t="str">
        <x:v>Vertex AI governance / Model Armor / Dataplex</x:v>
      </x:c>
      <x:c r="H28" s="72" t="str">
        <x:v>Azure</x:v>
      </x:c>
      <x:c r="I28" s="32" t="str">
        <x:v>Strong AWS AI controls and security integration.</x:v>
      </x:c>
      <x:c r="J28" s="32" t="str">
        <x:v>Strong enterprise governance, Purview and Microsoft security integration.</x:v>
      </x:c>
      <x:c r="K28" s="32" t="str">
        <x:v>Strong model safety and data/AI platform integration.</x:v>
      </x:c>
      <x:c r="L28" s="46" t="str">
        <x:v>Advanced — Map controls to actual model, data, prompt, agent and human-oversight risks.</x:v>
      </x:c>
    </x:row>
    <x:row r="29">
      <x:c r="A29" s="32" t="str">
        <x:v>API management for enterprise integration</x:v>
      </x:c>
      <x:c r="B29" s="32" t="str">
        <x:v>08 Applications, APIs &amp; Integration</x:v>
      </x:c>
      <x:c r="C29" s="32" t="str">
        <x:v>Enterprise Integration &amp; iPaaS</x:v>
      </x:c>
      <x:c r="D29" s="32" t="str">
        <x:v>APIs need policy, lifecycle, security, analytics and developer access</x:v>
      </x:c>
      <x:c r="E29" s="32" t="str">
        <x:v>Amazon API Gateway</x:v>
      </x:c>
      <x:c r="F29" s="32" t="str">
        <x:v>Azure API Management</x:v>
      </x:c>
      <x:c r="G29" s="32" t="str">
        <x:v>Apigee / API Gateway</x:v>
      </x:c>
      <x:c r="H29" s="72" t="str">
        <x:v>Azure / GCP</x:v>
      </x:c>
      <x:c r="I29" s="32" t="str">
        <x:v>Strong AWS-native serverless API front door.</x:v>
      </x:c>
      <x:c r="J29" s="32" t="str">
        <x:v>Strong enterprise API management and Microsoft integration.</x:v>
      </x:c>
      <x:c r="K29" s="32" t="str">
        <x:v>Strong full-lifecycle API management with Apigee.</x:v>
      </x:c>
      <x:c r="L29" s="46" t="str">
        <x:v>Moderate — Distinguish lightweight API gateway needs from enterprise API programme needs.</x:v>
      </x:c>
    </x:row>
    <x:row r="30">
      <x:c r="A30" s="32" t="str">
        <x:v>Asynchronous application integration</x:v>
      </x:c>
      <x:c r="B30" s="32" t="str">
        <x:v>08 Applications, APIs &amp; Integration</x:v>
      </x:c>
      <x:c r="C30" s="32" t="str">
        <x:v>Messaging &amp; Eventing</x:v>
      </x:c>
      <x:c r="D30" s="32" t="str">
        <x:v>Services must be decoupled through queues, topics or events</x:v>
      </x:c>
      <x:c r="E30" s="32" t="str">
        <x:v>SQS / SNS / EventBridge</x:v>
      </x:c>
      <x:c r="F30" s="32" t="str">
        <x:v>Service Bus / Event Grid</x:v>
      </x:c>
      <x:c r="G30" s="32" t="str">
        <x:v>Pub/Sub / Eventarc</x:v>
      </x:c>
      <x:c r="H30" s="72" t="str">
        <x:v>Context-dependent</x:v>
      </x:c>
      <x:c r="I30" s="32" t="str">
        <x:v>Strong mature AWS event ecosystem.</x:v>
      </x:c>
      <x:c r="J30" s="32" t="str">
        <x:v>Strong enterprise messaging and Microsoft integration.</x:v>
      </x:c>
      <x:c r="K30" s="32" t="str">
        <x:v>Strong globally managed pub/sub and event routing.</x:v>
      </x:c>
      <x:c r="L30" s="46" t="str">
        <x:v>Easy — Choose queue, pub/sub and event bus based on delivery, ordering and routing semantics.</x:v>
      </x:c>
    </x:row>
    <x:row r="31">
      <x:c r="A31" s="32" t="str">
        <x:v>Enterprise iPaaS and SaaS integration</x:v>
      </x:c>
      <x:c r="B31" s="32" t="str">
        <x:v>08 Applications, APIs &amp; Integration</x:v>
      </x:c>
      <x:c r="C31" s="32" t="str">
        <x:v>Enterprise Integration &amp; iPaaS</x:v>
      </x:c>
      <x:c r="D31" s="32" t="str">
        <x:v>Business applications require connectors, workflows and B2B integration</x:v>
      </x:c>
      <x:c r="E31" s="32" t="str">
        <x:v>AppFlow / EventBridge / B2B Data Interchange</x:v>
      </x:c>
      <x:c r="F31" s="32" t="str">
        <x:v>Logic Apps / Azure Integration Services</x:v>
      </x:c>
      <x:c r="G31" s="32" t="str">
        <x:v>Application Integration / Integration Connectors</x:v>
      </x:c>
      <x:c r="H31" s="72" t="str">
        <x:v>Azure</x:v>
      </x:c>
      <x:c r="I31" s="32" t="str">
        <x:v>Strong AWS application and event integration.</x:v>
      </x:c>
      <x:c r="J31" s="32" t="str">
        <x:v>Strong enterprise connectors, workflows and Microsoft integration.</x:v>
      </x:c>
      <x:c r="K31" s="32" t="str">
        <x:v>Strong managed application integration and Google services.</x:v>
      </x:c>
      <x:c r="L31" s="46" t="str">
        <x:v>Moderate — Clarify whether the solution is integration, automation, API management or data movement.</x:v>
      </x:c>
    </x:row>
    <x:row r="32">
      <x:c r="A32" s="32" t="str">
        <x:v>Observability for distributed applications</x:v>
      </x:c>
      <x:c r="B32" s="32" t="str">
        <x:v>09 Engineering, Operations &amp; Migration</x:v>
      </x:c>
      <x:c r="C32" s="32" t="str">
        <x:v>Observability &amp; Application Performance</x:v>
      </x:c>
      <x:c r="D32" s="32" t="str">
        <x:v>Teams need metrics, logs, traces, SLOs and application diagnostics</x:v>
      </x:c>
      <x:c r="E32" s="32" t="str">
        <x:v>CloudWatch / X-Ray</x:v>
      </x:c>
      <x:c r="F32" s="32" t="str">
        <x:v>Azure Monitor / Application Insights</x:v>
      </x:c>
      <x:c r="G32" s="32" t="str">
        <x:v>Google Cloud Observability</x:v>
      </x:c>
      <x:c r="H32" s="72" t="str">
        <x:v>Context-dependent</x:v>
      </x:c>
      <x:c r="I32" s="32" t="str">
        <x:v>Strong AWS-native operations and service telemetry.</x:v>
      </x:c>
      <x:c r="J32" s="32" t="str">
        <x:v>Strong Microsoft application and infrastructure monitoring.</x:v>
      </x:c>
      <x:c r="K32" s="32" t="str">
        <x:v>Strong integrated cloud-native observability.</x:v>
      </x:c>
      <x:c r="L32" s="46" t="str">
        <x:v>Moderate — Standardise OpenTelemetry where portability and cross-platform visibility matter.</x:v>
      </x:c>
    </x:row>
    <x:row r="33">
      <x:c r="A33" s="32" t="str">
        <x:v>Developer platform and CI/CD</x:v>
      </x:c>
      <x:c r="B33" s="32" t="str">
        <x:v>09 Engineering, Operations &amp; Migration</x:v>
      </x:c>
      <x:c r="C33" s="32" t="str">
        <x:v>Software Delivery &amp; Supply Chain</x:v>
      </x:c>
      <x:c r="D33" s="32" t="str">
        <x:v>Teams need source, build, artifacts, security and controlled deployment</x:v>
      </x:c>
      <x:c r="E33" s="32" t="str">
        <x:v>CodeBuild / CodePipeline / CodeArtifact</x:v>
      </x:c>
      <x:c r="F33" s="32" t="str">
        <x:v>GitHub / Azure DevOps / Azure Artifacts</x:v>
      </x:c>
      <x:c r="G33" s="32" t="str">
        <x:v>Cloud Build / Cloud Deploy / Artifact Registry</x:v>
      </x:c>
      <x:c r="H33" s="72" t="str">
        <x:v>Azure</x:v>
      </x:c>
      <x:c r="I33" s="32" t="str">
        <x:v>Strong AWS-native deployment services.</x:v>
      </x:c>
      <x:c r="J33" s="32" t="str">
        <x:v>Strong GitHub and enterprise developer ecosystem.</x:v>
      </x:c>
      <x:c r="K33" s="32" t="str">
        <x:v>Strong cloud-native build and delivery experience.</x:v>
      </x:c>
      <x:c r="L33" s="46" t="str">
        <x:v>Moderate — Avoid duplicating toolchains; standardise golden paths and supply-chain controls.</x:v>
      </x:c>
    </x:row>
    <x:row r="34">
      <x:c r="A34" s="32" t="str">
        <x:v>Large-scale cloud migration</x:v>
      </x:c>
      <x:c r="B34" s="32" t="str">
        <x:v>09 Engineering, Operations &amp; Migration</x:v>
      </x:c>
      <x:c r="C34" s="32" t="str">
        <x:v>Migration, Modernisation &amp; Transformation</x:v>
      </x:c>
      <x:c r="D34" s="32" t="str">
        <x:v>A migration programme needs discovery, waves, replication and modernisation</x:v>
      </x:c>
      <x:c r="E34" s="32" t="str">
        <x:v>Migration Hub / Application Migration Service / AWS Transform</x:v>
      </x:c>
      <x:c r="F34" s="32" t="str">
        <x:v>Azure Migrate</x:v>
      </x:c>
      <x:c r="G34" s="32" t="str">
        <x:v>Migration Center / Migrate to Virtual Machines</x:v>
      </x:c>
      <x:c r="H34" s="72" t="str">
        <x:v>AWS / Azure</x:v>
      </x:c>
      <x:c r="I34" s="32" t="str">
        <x:v>Strong migration portfolio and modernisation tooling.</x:v>
      </x:c>
      <x:c r="J34" s="32" t="str">
        <x:v>Strong unified assessment and Microsoft estate migration.</x:v>
      </x:c>
      <x:c r="K34" s="32" t="str">
        <x:v>Strong data and application modernisation for Google Cloud targets.</x:v>
      </x:c>
      <x:c r="L34" s="46" t="str">
        <x:v>Advanced — Select target architecture before selecting migration tooling.</x:v>
      </x:c>
    </x:row>
    <x:row r="35">
      <x:c r="A35" s="32" t="str">
        <x:v>Industrial IoT and edge platform</x:v>
      </x:c>
      <x:c r="B35" s="32" t="str">
        <x:v>10 Edge, IoT &amp; Industry</x:v>
      </x:c>
      <x:c r="C35" s="32" t="str">
        <x:v>IoT, Devices &amp; Industrial Edge</x:v>
      </x:c>
      <x:c r="D35" s="32" t="str">
        <x:v>Devices and industrial assets require secure connectivity and edge processing</x:v>
      </x:c>
      <x:c r="E35" s="32" t="str">
        <x:v>AWS IoT Core / Greengrass / SiteWise</x:v>
      </x:c>
      <x:c r="F35" s="32" t="str">
        <x:v>Azure IoT Hub / IoT Operations / Digital Twins</x:v>
      </x:c>
      <x:c r="G35" s="32" t="str">
        <x:v>Partner IoT platforms / Google Distributed Cloud</x:v>
      </x:c>
      <x:c r="H35" s="72" t="str">
        <x:v>AWS / Azure</x:v>
      </x:c>
      <x:c r="I35" s="32" t="str">
        <x:v>Strong broad first-party IoT portfolio.</x:v>
      </x:c>
      <x:c r="J35" s="32" t="str">
        <x:v>Strong industrial, digital twin and Microsoft integration.</x:v>
      </x:c>
      <x:c r="K35" s="32" t="str">
        <x:v>Use when Google data/AI and partner IoT ecosystem are strategic.</x:v>
      </x:c>
      <x:c r="L35" s="46" t="str">
        <x:v>Advanced — Google Cloud has no direct first-party replacement for the retired IoT Core.</x:v>
      </x:c>
    </x:row>
    <x:row r="36">
      <x:c r="A36" s="32" t="str">
        <x:v>Video streaming and media processing</x:v>
      </x:c>
      <x:c r="B36" s="32" t="str">
        <x:v>10 Edge, IoT &amp; Industry</x:v>
      </x:c>
      <x:c r="C36" s="32" t="str">
        <x:v>Media, Communications &amp; Location</x:v>
      </x:c>
      <x:c r="D36" s="32" t="str">
        <x:v>The workload needs live encoding, packaging, transport or ad insertion</x:v>
      </x:c>
      <x:c r="E36" s="32" t="str">
        <x:v>AWS Elemental services / CloudFront</x:v>
      </x:c>
      <x:c r="F36" s="32" t="str">
        <x:v>Partner media stack on Azure</x:v>
      </x:c>
      <x:c r="G36" s="32" t="str">
        <x:v>Live Stream API / Transcoder / Media CDN</x:v>
      </x:c>
      <x:c r="H36" s="72" t="str">
        <x:v>AWS</x:v>
      </x:c>
      <x:c r="I36" s="32" t="str">
        <x:v>Strong comprehensive first-party media services.</x:v>
      </x:c>
      <x:c r="J36" s="32" t="str">
        <x:v>Azure Media Services retirement means partner architecture is often required.</x:v>
      </x:c>
      <x:c r="K36" s="32" t="str">
        <x:v>Strong selected video and delivery APIs.</x:v>
      </x:c>
      <x:c r="L36" s="46" t="str">
        <x:v>Advanced — Validate codec, latency, DRM, ad insertion and egress economics.</x:v>
      </x:c>
    </x:row>
    <x:row r="37">
      <x:c r="A37" s="32" t="str">
        <x:v>Virtual desktop for Microsoft users</x:v>
      </x:c>
      <x:c r="B37" s="32" t="str">
        <x:v>08 Applications, APIs &amp; Integration</x:v>
      </x:c>
      <x:c r="C37" s="32" t="str">
        <x:v>End-User, Collaboration &amp; Contact Centre</x:v>
      </x:c>
      <x:c r="D37" s="32" t="str">
        <x:v>Users require centrally managed Windows desktops or applications</x:v>
      </x:c>
      <x:c r="E37" s="32" t="str">
        <x:v>Amazon WorkSpaces</x:v>
      </x:c>
      <x:c r="F37" s="32" t="str">
        <x:v>Azure Virtual Desktop / Windows 365</x:v>
      </x:c>
      <x:c r="G37" s="32" t="str">
        <x:v>Partner virtual desktop solutions</x:v>
      </x:c>
      <x:c r="H37" s="72" t="str">
        <x:v>Azure</x:v>
      </x:c>
      <x:c r="I37" s="32" t="str">
        <x:v>Good cross-platform managed desktops.</x:v>
      </x:c>
      <x:c r="J37" s="32" t="str">
        <x:v>Strong Windows, Entra and Microsoft 365 integration.</x:v>
      </x:c>
      <x:c r="K37" s="32" t="str">
        <x:v>Usually partner-led for enterprise virtual desktop.</x:v>
      </x:c>
      <x:c r="L37" s="46" t="str">
        <x:v>Moderate — Include identity, profile, application packaging, network latency and licence costs.</x:v>
      </x:c>
    </x:row>
  </x:sheetData>
  <x:mergeCells>
    <x:mergeCell ref="A1:L1"/>
    <x:mergeCell ref="A2:L2"/>
  </x:mergeCells>
  <x:pageMargins left="0.7" right="0.7" top="0.75" bottom="0.75" header="0.3" footer="0.3"/>
  <x:tableParts count="1">
    <x:tablePart xmlns:r="http://schemas.openxmlformats.org/officeDocument/2006/relationships" r:id="Ra0e1cc4555624706"/>
  </x:tableParts>
</x:worksheet>
</file>

<file path=xl/worksheets/sheet4.xml><?xml version="1.0" encoding="utf-8"?>
<x:worksheet xmlns:x="http://schemas.openxmlformats.org/spreadsheetml/2006/main">
  <x:sheetFormatPr defaultRowHeight="15"/>
  <x:cols>
    <x:col min="1" max="1" width="30" hidden="0" customWidth="1"/>
    <x:col min="2" max="2" width="25" hidden="0" customWidth="1"/>
    <x:col min="3" max="3" width="25" hidden="0" customWidth="1"/>
    <x:col min="4" max="4" width="25" hidden="0" customWidth="1"/>
    <x:col min="5" max="5" width="25" hidden="0" customWidth="1"/>
  </x:cols>
  <x:sheetData>
    <x:row r="1" ht="30" customHeight="1">
      <x:c r="A1" s="5" t="str">
        <x:v>Interactive Service Decision Assistant</x:v>
      </x:c>
      <x:c r="B1" s="5"/>
      <x:c r="C1" s="5"/>
      <x:c r="D1" s="5"/>
      <x:c r="E1" s="5"/>
    </x:row>
    <x:row r="2" ht="34" customHeight="1">
      <x:c r="A2" s="14" t="str">
        <x:v>Select a capability, choose your context, and adjust the weights. The result is a starting recommendation—not a substitute for region, security, SLA, pricing and proof-of-value checks.</x:v>
      </x:c>
      <x:c r="B2" s="14"/>
      <x:c r="C2" s="14"/>
      <x:c r="D2" s="14"/>
      <x:c r="E2" s="14"/>
    </x:row>
    <x:row r="4">
      <x:c r="A4" s="24" t="str">
        <x:v>Decision input</x:v>
      </x:c>
      <x:c r="B4" s="24" t="str">
        <x:v>Selection</x:v>
      </x:c>
    </x:row>
    <x:row r="5">
      <x:c r="A5" s="41" t="str">
        <x:v>Generic capability</x:v>
      </x:c>
      <x:c r="B5" s="46" t="str">
        <x:v>Cloud organisation and account hierarchy</x:v>
      </x:c>
    </x:row>
    <x:row r="6">
      <x:c r="A6" s="41" t="str">
        <x:v>Existing ecosystem</x:v>
      </x:c>
      <x:c r="B6" s="46" t="str">
        <x:v>Neutral</x:v>
      </x:c>
    </x:row>
    <x:row r="7">
      <x:c r="A7" s="41" t="str">
        <x:v>Deployment model</x:v>
      </x:c>
      <x:c r="B7" s="46" t="str">
        <x:v>Cloud-native</x:v>
      </x:c>
    </x:row>
    <x:row r="9">
      <x:c r="A9" s="24" t="str">
        <x:v>Selected capability context</x:v>
      </x:c>
      <x:c r="B9" s="24" t="str">
        <x:v>Value</x:v>
      </x:c>
    </x:row>
    <x:row r="10">
      <x:c r="A10" s="49" t="str">
        <x:v>Architecture layer</x:v>
      </x:c>
      <x:c r="B10" s="32" t="str">
        <x:f>INDEX('Provider Ratings'!$B$5:$B$272,MATCH($B$5,'Provider Ratings'!$A$5:$A$272,0))</x:f>
        <x:v>01 Strategy, Governance &amp; FinOps</x:v>
      </x:c>
    </x:row>
    <x:row r="11">
      <x:c r="A11" s="49" t="str">
        <x:v>Subcategory</x:v>
      </x:c>
      <x:c r="B11" s="32" t="str">
        <x:f>INDEX('Provider Ratings'!$C$5:$C$272,MATCH($B$5,'Provider Ratings'!$A$5:$A$272,0))</x:f>
        <x:v>Cloud Foundation &amp; Governance</x:v>
      </x:c>
    </x:row>
    <x:row r="12">
      <x:c r="A12" s="49" t="str">
        <x:v>Decision question</x:v>
      </x:c>
      <x:c r="B12" s="32" t="str">
        <x:f>INDEX('Provider Ratings'!$E$5:$E$272,MATCH($B$5,'Provider Ratings'!$A$5:$A$272,0))</x:f>
        <x:v>What business outcome, scale, control, integration and operating model justify choosing cloud organisation and account hierarchy?</x:v>
      </x:c>
    </x:row>
    <x:row r="15">
      <x:c r="A15" s="24" t="str">
        <x:v>Criterion</x:v>
      </x:c>
      <x:c r="B15" s="24" t="str">
        <x:v>Weight</x:v>
      </x:c>
      <x:c r="C15" s="24" t="str">
        <x:v>AWS</x:v>
      </x:c>
      <x:c r="D15" s="24" t="str">
        <x:v>Azure</x:v>
      </x:c>
      <x:c r="E15" s="24" t="str">
        <x:v>Google Cloud</x:v>
      </x:c>
    </x:row>
    <x:row r="16">
      <x:c r="A16" s="32" t="str">
        <x:v>Capability depth</x:v>
      </x:c>
      <x:c r="B16" s="38" t="n">
        <x:v>0.25</x:v>
      </x:c>
      <x:c r="C16" s="32" t="n">
        <x:f>INDEX('Provider Ratings'!$I$5:$I$272,MATCH($B$5,'Provider Ratings'!$A$5:$A$272,0))</x:f>
        <x:v>4.5</x:v>
      </x:c>
      <x:c r="D16" s="32" t="n">
        <x:f>INDEX('Provider Ratings'!$P$5:$P$272,MATCH($B$5,'Provider Ratings'!$A$5:$A$272,0))</x:f>
        <x:v>4</x:v>
      </x:c>
      <x:c r="E16" s="32" t="n">
        <x:f>INDEX('Provider Ratings'!$W$5:$W$272,MATCH($B$5,'Provider Ratings'!$A$5:$A$272,0))</x:f>
        <x:v>4</x:v>
      </x:c>
    </x:row>
    <x:row r="17">
      <x:c r="A17" s="32" t="str">
        <x:v>Ease of use</x:v>
      </x:c>
      <x:c r="B17" s="38" t="n">
        <x:v>0.2</x:v>
      </x:c>
      <x:c r="C17" s="32" t="n">
        <x:f>INDEX('Provider Ratings'!$J$5:$J$272,MATCH($B$5,'Provider Ratings'!$A$5:$A$272,0))</x:f>
        <x:v>2.9</x:v>
      </x:c>
      <x:c r="D17" s="32" t="n">
        <x:f>INDEX('Provider Ratings'!$Q$5:$Q$272,MATCH($B$5,'Provider Ratings'!$A$5:$A$272,0))</x:f>
        <x:v>2.9</x:v>
      </x:c>
      <x:c r="E17" s="32" t="n">
        <x:f>INDEX('Provider Ratings'!$X$5:$X$272,MATCH($B$5,'Provider Ratings'!$A$5:$A$272,0))</x:f>
        <x:v>2.9</x:v>
      </x:c>
    </x:row>
    <x:row r="18">
      <x:c r="A18" s="32" t="str">
        <x:v>Enterprise integration</x:v>
      </x:c>
      <x:c r="B18" s="38" t="n">
        <x:v>0.15</x:v>
      </x:c>
      <x:c r="C18" s="32" t="n">
        <x:f>INDEX('Provider Ratings'!$K$5:$K$272,MATCH($B$5,'Provider Ratings'!$A$5:$A$272,0))</x:f>
        <x:v>4.6</x:v>
      </x:c>
      <x:c r="D18" s="32" t="n">
        <x:f>INDEX('Provider Ratings'!$R$5:$R$272,MATCH($B$5,'Provider Ratings'!$A$5:$A$272,0))</x:f>
        <x:v>4.5</x:v>
      </x:c>
      <x:c r="E18" s="32" t="n">
        <x:f>INDEX('Provider Ratings'!$Y$5:$Y$272,MATCH($B$5,'Provider Ratings'!$A$5:$A$272,0))</x:f>
        <x:v>4.2</x:v>
      </x:c>
    </x:row>
    <x:row r="19">
      <x:c r="A19" s="32" t="str">
        <x:v>Data &amp; AI fit</x:v>
      </x:c>
      <x:c r="B19" s="38" t="n">
        <x:v>0.15</x:v>
      </x:c>
      <x:c r="C19" s="32" t="n">
        <x:f>INDEX('Provider Ratings'!$L$5:$L$272,MATCH($B$5,'Provider Ratings'!$A$5:$A$272,0))</x:f>
        <x:v>3.9</x:v>
      </x:c>
      <x:c r="D19" s="32" t="n">
        <x:f>INDEX('Provider Ratings'!$S$5:$S$272,MATCH($B$5,'Provider Ratings'!$A$5:$A$272,0))</x:f>
        <x:v>3.8</x:v>
      </x:c>
      <x:c r="E19" s="32" t="n">
        <x:f>INDEX('Provider Ratings'!$Z$5:$Z$272,MATCH($B$5,'Provider Ratings'!$A$5:$A$272,0))</x:f>
        <x:v>3.9</x:v>
      </x:c>
    </x:row>
    <x:row r="20">
      <x:c r="A20" s="32" t="str">
        <x:v>Portability</x:v>
      </x:c>
      <x:c r="B20" s="38" t="n">
        <x:v>0.1</x:v>
      </x:c>
      <x:c r="C20" s="32" t="n">
        <x:f>INDEX('Provider Ratings'!$M$5:$M$272,MATCH($B$5,'Provider Ratings'!$A$5:$A$272,0))</x:f>
        <x:v>3.5</x:v>
      </x:c>
      <x:c r="D20" s="32" t="n">
        <x:f>INDEX('Provider Ratings'!$T$5:$T$272,MATCH($B$5,'Provider Ratings'!$A$5:$A$272,0))</x:f>
        <x:v>3.5</x:v>
      </x:c>
      <x:c r="E20" s="32" t="n">
        <x:f>INDEX('Provider Ratings'!$AA$5:$AA$272,MATCH($B$5,'Provider Ratings'!$A$5:$A$272,0))</x:f>
        <x:v>3.5</x:v>
      </x:c>
    </x:row>
    <x:row r="21">
      <x:c r="A21" s="32" t="str">
        <x:v>Operational maturity</x:v>
      </x:c>
      <x:c r="B21" s="38" t="n">
        <x:v>0.1</x:v>
      </x:c>
      <x:c r="C21" s="32" t="n">
        <x:f>INDEX('Provider Ratings'!$N$5:$N$272,MATCH($B$5,'Provider Ratings'!$A$5:$A$272,0))</x:f>
        <x:v>4.6</x:v>
      </x:c>
      <x:c r="D21" s="32" t="n">
        <x:f>INDEX('Provider Ratings'!$U$5:$U$272,MATCH($B$5,'Provider Ratings'!$A$5:$A$272,0))</x:f>
        <x:v>4.4</x:v>
      </x:c>
      <x:c r="E21" s="32" t="n">
        <x:f>INDEX('Provider Ratings'!$AB$5:$AB$272,MATCH($B$5,'Provider Ratings'!$A$5:$A$272,0))</x:f>
        <x:v>4.3</x:v>
      </x:c>
    </x:row>
    <x:row r="22">
      <x:c r="A22" s="32" t="str">
        <x:v>Cost predictability</x:v>
      </x:c>
      <x:c r="B22" s="38" t="n">
        <x:v>0.05</x:v>
      </x:c>
      <x:c r="C22" s="32" t="n">
        <x:f>INDEX('Provider Ratings'!$O$5:$O$272,MATCH($B$5,'Provider Ratings'!$A$5:$A$272,0))</x:f>
        <x:v>3.7</x:v>
      </x:c>
      <x:c r="D22" s="32" t="n">
        <x:f>INDEX('Provider Ratings'!$V$5:$V$272,MATCH($B$5,'Provider Ratings'!$A$5:$A$272,0))</x:f>
        <x:v>3.7</x:v>
      </x:c>
      <x:c r="E22" s="32" t="n">
        <x:f>INDEX('Provider Ratings'!$AC$5:$AC$272,MATCH($B$5,'Provider Ratings'!$A$5:$A$272,0))</x:f>
        <x:v>3.8</x:v>
      </x:c>
    </x:row>
    <x:row r="24">
      <x:c r="A24" s="24" t="str">
        <x:v>Decision result</x:v>
      </x:c>
      <x:c r="B24" s="24" t="str"/>
      <x:c r="C24" s="24" t="str">
        <x:v>AWS</x:v>
      </x:c>
      <x:c r="D24" s="24" t="str">
        <x:v>Azure</x:v>
      </x:c>
      <x:c r="E24" s="24" t="str">
        <x:v>Google Cloud</x:v>
      </x:c>
    </x:row>
    <x:row r="25">
      <x:c r="A25" s="49" t="str">
        <x:v>Provider service</x:v>
      </x:c>
      <x:c r="B25" s="49" t="str"/>
      <x:c r="C25" s="32" t="str">
        <x:f>INDEX('Provider Ratings'!$F$5:$F$272,MATCH($B$5,'Provider Ratings'!$A$5:$A$272,0))</x:f>
        <x:v>AWS Organizations</x:v>
      </x:c>
      <x:c r="D25" s="32" t="str">
        <x:f>INDEX('Provider Ratings'!$G$5:$G$272,MATCH($B$5,'Provider Ratings'!$A$5:$A$272,0))</x:f>
        <x:v>Azure Management Groups
Azure Subscriptions</x:v>
      </x:c>
      <x:c r="E25" s="32" t="str">
        <x:f>INDEX('Provider Ratings'!$H$5:$H$272,MATCH($B$5,'Provider Ratings'!$A$5:$A$272,0))</x:f>
        <x:v>Resource Manager
Cloud Resource Manager</x:v>
      </x:c>
    </x:row>
    <x:row r="26">
      <x:c r="A26" s="49" t="str">
        <x:v>Weighted score</x:v>
      </x:c>
      <x:c r="B26" s="49" t="str"/>
      <x:c r="C26" s="32" t="n">
        <x:f>ROUND(SUMPRODUCT($B$16:$B$22,C16:C22)/SUM($B$16:$B$22),2)</x:f>
        <x:v>3.98</x:v>
      </x:c>
      <x:c r="D26" s="32" t="n">
        <x:f>ROUND(SUMPRODUCT($B$16:$B$22,D16:D22)/SUM($B$16:$B$22),2)</x:f>
        <x:v>3.8</x:v>
      </x:c>
      <x:c r="E26" s="32" t="n">
        <x:f>ROUND(SUMPRODUCT($B$16:$B$22,E16:E22)/SUM($B$16:$B$22),2)</x:f>
        <x:v>3.77</x:v>
      </x:c>
    </x:row>
    <x:row r="27">
      <x:c r="A27" s="49" t="str">
        <x:v>Ecosystem adjustment</x:v>
      </x:c>
      <x:c r="B27" s="49" t="str"/>
      <x:c r="C27" s="32" t="n">
        <x:f>IF($B$6="AWS",0.35,0)</x:f>
        <x:v>0</x:v>
      </x:c>
      <x:c r="D27" s="32" t="n">
        <x:f>IF($B$6="Microsoft / Azure",0.35,0)</x:f>
        <x:v>0</x:v>
      </x:c>
      <x:c r="E27" s="32" t="n">
        <x:f>IF($B$6="Google Cloud",0.35,0)</x:f>
        <x:v>0</x:v>
      </x:c>
    </x:row>
    <x:row r="28">
      <x:c r="A28" s="49" t="str">
        <x:v>Deployment adjustment</x:v>
      </x:c>
      <x:c r="B28" s="49" t="str"/>
      <x:c r="C28" s="32" t="n">
        <x:f>IF($B$7="Hybrid",0.1,IF($B$7="Multicloud",0.05,0))</x:f>
        <x:v>0</x:v>
      </x:c>
      <x:c r="D28" s="32" t="n">
        <x:f>IF($B$7="Hybrid",0.25,IF($B$7="Multicloud",0.15,0))</x:f>
        <x:v>0</x:v>
      </x:c>
      <x:c r="E28" s="32" t="n">
        <x:f>IF($B$7="Hybrid",0.1,IF($B$7="Multicloud",0.25,0))</x:f>
        <x:v>0</x:v>
      </x:c>
    </x:row>
    <x:row r="29">
      <x:c r="A29" s="49" t="str">
        <x:v>Final score</x:v>
      </x:c>
      <x:c r="B29" s="49" t="str"/>
      <x:c r="C29" s="32" t="n">
        <x:f>MIN(5,C26+C27+C28)</x:f>
        <x:v>3.98</x:v>
      </x:c>
      <x:c r="D29" s="32" t="n">
        <x:f>MIN(5,D26+D27+D28)</x:f>
        <x:v>3.8</x:v>
      </x:c>
      <x:c r="E29" s="32" t="n">
        <x:f>MIN(5,E26+E27+E28)</x:f>
        <x:v>3.77</x:v>
      </x:c>
    </x:row>
    <x:row r="32">
      <x:c r="A32" s="24" t="str">
        <x:v>Recommended starting point</x:v>
      </x:c>
      <x:c r="B32" s="24"/>
      <x:c r="C32" s="24"/>
      <x:c r="D32" s="24"/>
      <x:c r="E32" s="24"/>
    </x:row>
    <x:row r="33" ht="42" customHeight="1">
      <x:c r="A33" s="56" t="str">
        <x:f>IF(LARGE(C29:E29,1)-LARGE(C29:E29,2)&lt;0.15,"Context-dependent: evaluate the top two providers with a proof of value.",INDEX(C24:E24,1,MATCH(MAX(C29:E29),C29:E29,0))&amp;" is the recommended starting provider for the selected weights and context.")</x:f>
        <x:v>AWS is the recommended starting provider for the selected weights and context.</x:v>
      </x:c>
      <x:c r="B33" s="56"/>
      <x:c r="C33" s="56"/>
      <x:c r="D33" s="56"/>
      <x:c r="E33" s="56"/>
    </x:row>
    <x:row r="35">
      <x:c r="A35" s="66" t="str">
        <x:v>Before approval: verify regional availability, data residency, SLA, security controls, quota, support model, migration path, pricing and a representative proof of value.</x:v>
      </x:c>
      <x:c r="B35" s="66"/>
      <x:c r="C35" s="66"/>
      <x:c r="D35" s="66"/>
      <x:c r="E35" s="66"/>
    </x:row>
  </x:sheetData>
  <x:mergeCells>
    <x:mergeCell ref="A1:E1"/>
    <x:mergeCell ref="A2:E2"/>
    <x:mergeCell ref="A24:B24"/>
    <x:mergeCell ref="A25:B25"/>
    <x:mergeCell ref="A26:B26"/>
    <x:mergeCell ref="A27:B27"/>
    <x:mergeCell ref="A28:B28"/>
    <x:mergeCell ref="A29:B29"/>
    <x:mergeCell ref="A32:E32"/>
    <x:mergeCell ref="A33:E33"/>
    <x:mergeCell ref="A35:E35"/>
  </x:mergeCells>
  <x:conditionalFormatting sqref="C16:E22">
    <x:cfRule type="colorScale" priority="1">
      <x:colorScale>
        <x:cfvo type="min"/>
        <x:cfvo type="percentile" val="50"/>
        <x:cfvo type="max"/>
        <x:color rgb="FFFCE4D6"/>
        <x:color rgb="FFFFF2CC"/>
        <x:color rgb="FFE2F0D9"/>
      </x:colorScale>
    </x:cfRule>
  </x:conditionalFormatting>
  <x:conditionalFormatting sqref="C26:E29">
    <x:cfRule type="colorScale" priority="2">
      <x:colorScale>
        <x:cfvo type="min"/>
        <x:cfvo type="percentile" val="50"/>
        <x:cfvo type="max"/>
        <x:color rgb="FFFCE4D6"/>
        <x:color rgb="FFFFF2CC"/>
        <x:color rgb="FFE2F0D9"/>
      </x:colorScale>
    </x:cfRule>
  </x:conditionalFormatting>
  <x:dataValidations count="3">
    <x:dataValidation type="list" sqref="B5">
      <x:formula1>'Provider Ratings'!$A$5:$A$272</x:formula1>
    </x:dataValidation>
    <x:dataValidation type="list" sqref="B6">
      <x:formula1>"Neutral,AWS,Microsoft / Azure,Google Cloud"</x:formula1>
    </x:dataValidation>
    <x:dataValidation type="list" sqref="B7">
      <x:formula1>"Cloud-native,Hybrid,Multicloud"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14" hidden="0" customWidth="1"/>
    <x:col min="3" max="3" width="14" hidden="0" customWidth="1"/>
    <x:col min="4" max="4" width="14" hidden="0" customWidth="1"/>
    <x:col min="5" max="5" width="22" hidden="0" customWidth="1"/>
    <x:col min="6" max="6" width="58" hidden="0" customWidth="1"/>
    <x:col min="7" max="7" width="58" hidden="0" customWidth="1"/>
  </x:cols>
  <x:sheetData>
    <x:row r="1" ht="30" customHeight="1">
      <x:c r="A1" s="5" t="str">
        <x:v>Provider Strength Guide</x:v>
      </x:c>
      <x:c r="B1" s="5"/>
      <x:c r="C1" s="5"/>
      <x:c r="D1" s="5"/>
      <x:c r="E1" s="5"/>
      <x:c r="F1" s="5"/>
      <x:c r="G1" s="5"/>
    </x:row>
    <x:row r="2" ht="34" customHeight="1">
      <x:c r="A2" s="14" t="str">
        <x:v>Layer-level averages summarise the detailed capability ratings. Use them as orientation, not as a substitute for workload-level evaluation.</x:v>
      </x:c>
      <x:c r="B2" s="14"/>
      <x:c r="C2" s="14"/>
      <x:c r="D2" s="14"/>
      <x:c r="E2" s="14"/>
      <x:c r="F2" s="14"/>
      <x:c r="G2" s="14"/>
    </x:row>
    <x:row r="4" ht="34" customHeight="1">
      <x:c r="A4" s="24" t="str">
        <x:v>Architecture layer</x:v>
      </x:c>
      <x:c r="B4" s="24" t="str">
        <x:v>AWS average</x:v>
      </x:c>
      <x:c r="C4" s="24" t="str">
        <x:v>Azure average</x:v>
      </x:c>
      <x:c r="D4" s="24" t="str">
        <x:v>GCP average</x:v>
      </x:c>
      <x:c r="E4" s="24" t="str">
        <x:v>Default leader</x:v>
      </x:c>
      <x:c r="F4" s="24" t="str">
        <x:v>What usually decides the outcome</x:v>
      </x:c>
      <x:c r="G4" s="24" t="str">
        <x:v>Caution</x:v>
      </x:c>
    </x:row>
    <x:row r="5">
      <x:c r="A5" s="32" t="str">
        <x:v>01 Strategy, Governance &amp; FinOps</x:v>
      </x:c>
      <x:c r="B5" s="32" t="n">
        <x:f>ROUND(AVERAGEIF('Provider Ratings'!$B$5:$B$272,$A5,'Provider Ratings'!$AD$5:$AD$272),2)</x:f>
        <x:v>3.81</x:v>
      </x:c>
      <x:c r="C5" s="32" t="n">
        <x:f>ROUND(AVERAGEIF('Provider Ratings'!$B$5:$B$272,$A5,'Provider Ratings'!$AE$5:$AE$272),2)</x:f>
        <x:v>3.77</x:v>
      </x:c>
      <x:c r="D5" s="32" t="n">
        <x:f>ROUND(AVERAGEIF('Provider Ratings'!$B$5:$B$272,$A5,'Provider Ratings'!$AF$5:$AF$272),2)</x:f>
        <x:v>3.74</x:v>
      </x:c>
      <x:c r="E5" s="72" t="str">
        <x:f>IF(LARGE(B5:D5,1)-LARGE(B5:D5,2)&lt;0.15,"Context-dependent",INDEX($B$4:$D$4,1,MATCH(MAX(B5:D5),B5:D5,0)))</x:f>
        <x:v>Context-dependent</x:v>
      </x:c>
      <x:c r="F5" s="32" t="str">
        <x:v>Existing operating model, contracts, policy tooling and FinOps maturity.</x:v>
      </x:c>
      <x:c r="G5" s="32" t="str">
        <x:v>Small score differences rarely justify changing the strategic cloud.</x:v>
      </x:c>
    </x:row>
    <x:row r="6">
      <x:c r="A6" s="32" t="str">
        <x:v>02 Security, Identity &amp; Compliance</x:v>
      </x:c>
      <x:c r="B6" s="32" t="n">
        <x:f>ROUND(AVERAGEIF('Provider Ratings'!$B$5:$B$272,$A6,'Provider Ratings'!$AD$5:$AD$272),2)</x:f>
        <x:v>3.78</x:v>
      </x:c>
      <x:c r="C6" s="32" t="n">
        <x:f>ROUND(AVERAGEIF('Provider Ratings'!$B$5:$B$272,$A6,'Provider Ratings'!$AE$5:$AE$272),2)</x:f>
        <x:v>3.91</x:v>
      </x:c>
      <x:c r="D6" s="32" t="n">
        <x:f>ROUND(AVERAGEIF('Provider Ratings'!$B$5:$B$272,$A6,'Provider Ratings'!$AF$5:$AF$272),2)</x:f>
        <x:v>3.79</x:v>
      </x:c>
      <x:c r="E6" s="72" t="str">
        <x:f>IF(LARGE(B6:D6,1)-LARGE(B6:D6,2)&lt;0.15,"Context-dependent",INDEX($B$4:$D$4,1,MATCH(MAX(B6:D6),B6:D6,0)))</x:f>
        <x:v>Context-dependent</x:v>
      </x:c>
      <x:c r="F6" s="32" t="str">
        <x:v>Workforce identity, SIEM ecosystem, regulatory evidence and security operations model.</x:v>
      </x:c>
      <x:c r="G6" s="32" t="str">
        <x:v>Avoid buying overlapping security tools without an integration plan.</x:v>
      </x:c>
    </x:row>
    <x:row r="7">
      <x:c r="A7" s="32" t="str">
        <x:v>03 Network &amp; Connectivity</x:v>
      </x:c>
      <x:c r="B7" s="32" t="n">
        <x:f>ROUND(AVERAGEIF('Provider Ratings'!$B$5:$B$272,$A7,'Provider Ratings'!$AD$5:$AD$272),2)</x:f>
        <x:v>3.88</x:v>
      </x:c>
      <x:c r="C7" s="32" t="n">
        <x:f>ROUND(AVERAGEIF('Provider Ratings'!$B$5:$B$272,$A7,'Provider Ratings'!$AE$5:$AE$272),2)</x:f>
        <x:v>3.92</x:v>
      </x:c>
      <x:c r="D7" s="32" t="n">
        <x:f>ROUND(AVERAGEIF('Provider Ratings'!$B$5:$B$272,$A7,'Provider Ratings'!$AF$5:$AF$272),2)</x:f>
        <x:v>3.89</x:v>
      </x:c>
      <x:c r="E7" s="72" t="str">
        <x:f>IF(LARGE(B7:D7,1)-LARGE(B7:D7,2)&lt;0.15,"Context-dependent",INDEX($B$4:$D$4,1,MATCH(MAX(B7:D7),B7:D7,0)))</x:f>
        <x:v>Context-dependent</x:v>
      </x:c>
      <x:c r="F7" s="32" t="str">
        <x:v>Global footprint, hybrid circuits, private access, latency and egress.</x:v>
      </x:c>
      <x:c r="G7" s="32" t="str">
        <x:v>Network designs are workload-specific; region and topology can reverse a default.</x:v>
      </x:c>
    </x:row>
    <x:row r="8">
      <x:c r="A8" s="32" t="str">
        <x:v>04 Compute, Containers &amp; Runtime</x:v>
      </x:c>
      <x:c r="B8" s="32" t="n">
        <x:f>ROUND(AVERAGEIF('Provider Ratings'!$B$5:$B$272,$A8,'Provider Ratings'!$AD$5:$AD$272),2)</x:f>
        <x:v>3.85</x:v>
      </x:c>
      <x:c r="C8" s="32" t="n">
        <x:f>ROUND(AVERAGEIF('Provider Ratings'!$B$5:$B$272,$A8,'Provider Ratings'!$AE$5:$AE$272),2)</x:f>
        <x:v>3.9</x:v>
      </x:c>
      <x:c r="D8" s="32" t="n">
        <x:f>ROUND(AVERAGEIF('Provider Ratings'!$B$5:$B$272,$A8,'Provider Ratings'!$AF$5:$AF$272),2)</x:f>
        <x:v>3.87</x:v>
      </x:c>
      <x:c r="E8" s="72" t="str">
        <x:f>IF(LARGE(B8:D8,1)-LARGE(B8:D8,2)&lt;0.15,"Context-dependent",INDEX($B$4:$D$4,1,MATCH(MAX(B8:D8),B8:D8,0)))</x:f>
        <x:v>Context-dependent</x:v>
      </x:c>
      <x:c r="F8" s="32" t="str">
        <x:v>Required control, runtime portability, team skill and operational burden.</x:v>
      </x:c>
      <x:c r="G8" s="32" t="str">
        <x:v>Do not default to Kubernetes or VMs when managed runtimes suffice.</x:v>
      </x:c>
    </x:row>
    <x:row r="9">
      <x:c r="A9" s="32" t="str">
        <x:v>05 Data Infrastructure</x:v>
      </x:c>
      <x:c r="B9" s="32" t="n">
        <x:f>ROUND(AVERAGEIF('Provider Ratings'!$B$5:$B$272,$A9,'Provider Ratings'!$AD$5:$AD$272),2)</x:f>
        <x:v>3.88</x:v>
      </x:c>
      <x:c r="C9" s="32" t="n">
        <x:f>ROUND(AVERAGEIF('Provider Ratings'!$B$5:$B$272,$A9,'Provider Ratings'!$AE$5:$AE$272),2)</x:f>
        <x:v>3.92</x:v>
      </x:c>
      <x:c r="D9" s="32" t="n">
        <x:f>ROUND(AVERAGEIF('Provider Ratings'!$B$5:$B$272,$A9,'Provider Ratings'!$AF$5:$AF$272),2)</x:f>
        <x:v>3.87</x:v>
      </x:c>
      <x:c r="E9" s="72" t="str">
        <x:f>IF(LARGE(B9:D9,1)-LARGE(B9:D9,2)&lt;0.15,"Context-dependent",INDEX($B$4:$D$4,1,MATCH(MAX(B9:D9),B9:D9,0)))</x:f>
        <x:v>Context-dependent</x:v>
      </x:c>
      <x:c r="F9" s="32" t="str">
        <x:v>Data model, consistency, latency, engine compatibility and data gravity.</x:v>
      </x:c>
      <x:c r="G9" s="32" t="str">
        <x:v>Database migrations are expensive; benchmark with representative workloads.</x:v>
      </x:c>
    </x:row>
    <x:row r="10">
      <x:c r="A10" s="32" t="str">
        <x:v>06 Data Platform, Analytics &amp; BI</x:v>
      </x:c>
      <x:c r="B10" s="32" t="n">
        <x:f>ROUND(AVERAGEIF('Provider Ratings'!$B$5:$B$272,$A10,'Provider Ratings'!$AD$5:$AD$272),2)</x:f>
        <x:v>3.8</x:v>
      </x:c>
      <x:c r="C10" s="32" t="n">
        <x:f>ROUND(AVERAGEIF('Provider Ratings'!$B$5:$B$272,$A10,'Provider Ratings'!$AE$5:$AE$272),2)</x:f>
        <x:v>3.83</x:v>
      </x:c>
      <x:c r="D10" s="32" t="n">
        <x:f>ROUND(AVERAGEIF('Provider Ratings'!$B$5:$B$272,$A10,'Provider Ratings'!$AF$5:$AF$272),2)</x:f>
        <x:v>3.93</x:v>
      </x:c>
      <x:c r="E10" s="72" t="str">
        <x:f>IF(LARGE(B10:D10,1)-LARGE(B10:D10,2)&lt;0.15,"Context-dependent",INDEX($B$4:$D$4,1,MATCH(MAX(B10:D10),B10:D10,0)))</x:f>
        <x:v>Context-dependent</x:v>
      </x:c>
      <x:c r="F10" s="32" t="str">
        <x:v>Data gravity, semantic layer, BI adoption, streaming and governance.</x:v>
      </x:c>
      <x:c r="G10" s="32" t="str">
        <x:v>Avoid fragmented lake, warehouse and BI platforms with duplicated ownership.</x:v>
      </x:c>
    </x:row>
    <x:row r="11">
      <x:c r="A11" s="32" t="str">
        <x:v>07 AI &amp; Intelligent Systems</x:v>
      </x:c>
      <x:c r="B11" s="32" t="n">
        <x:f>ROUND(AVERAGEIF('Provider Ratings'!$B$5:$B$272,$A11,'Provider Ratings'!$AD$5:$AD$272),2)</x:f>
        <x:v>3.82</x:v>
      </x:c>
      <x:c r="C11" s="32" t="n">
        <x:f>ROUND(AVERAGEIF('Provider Ratings'!$B$5:$B$272,$A11,'Provider Ratings'!$AE$5:$AE$272),2)</x:f>
        <x:v>3.88</x:v>
      </x:c>
      <x:c r="D11" s="32" t="n">
        <x:f>ROUND(AVERAGEIF('Provider Ratings'!$B$5:$B$272,$A11,'Provider Ratings'!$AF$5:$AF$272),2)</x:f>
        <x:v>3.97</x:v>
      </x:c>
      <x:c r="E11" s="72" t="str">
        <x:f>IF(LARGE(B11:D11,1)-LARGE(B11:D11,2)&lt;0.15,"Context-dependent",INDEX($B$4:$D$4,1,MATCH(MAX(B11:D11),B11:D11,0)))</x:f>
        <x:v>Context-dependent</x:v>
      </x:c>
      <x:c r="F11" s="32" t="str">
        <x:v>Model quality, data integration, evaluation, safety, agents and accelerator needs.</x:v>
      </x:c>
      <x:c r="G11" s="32" t="str">
        <x:v>Model and service capabilities change rapidly; revalidate before commitment.</x:v>
      </x:c>
    </x:row>
    <x:row r="12">
      <x:c r="A12" s="32" t="str">
        <x:v>08 Applications, APIs &amp; Integration</x:v>
      </x:c>
      <x:c r="B12" s="32" t="n">
        <x:f>ROUND(AVERAGEIF('Provider Ratings'!$B$5:$B$272,$A12,'Provider Ratings'!$AD$5:$AD$272),2)</x:f>
        <x:v>3.83</x:v>
      </x:c>
      <x:c r="C12" s="32" t="n">
        <x:f>ROUND(AVERAGEIF('Provider Ratings'!$B$5:$B$272,$A12,'Provider Ratings'!$AE$5:$AE$272),2)</x:f>
        <x:v>3.86</x:v>
      </x:c>
      <x:c r="D12" s="32" t="n">
        <x:f>ROUND(AVERAGEIF('Provider Ratings'!$B$5:$B$272,$A12,'Provider Ratings'!$AF$5:$AF$272),2)</x:f>
        <x:v>3.65</x:v>
      </x:c>
      <x:c r="E12" s="72" t="str">
        <x:f>IF(LARGE(B12:D12,1)-LARGE(B12:D12,2)&lt;0.15,"Context-dependent",INDEX($B$4:$D$4,1,MATCH(MAX(B12:D12),B12:D12,0)))</x:f>
        <x:v>Context-dependent</x:v>
      </x:c>
      <x:c r="F12" s="32" t="str">
        <x:v>Enterprise applications, API lifecycle, connector estate and user channels.</x:v>
      </x:c>
      <x:c r="G12" s="32" t="str">
        <x:v>Distinguish integration, eventing, workflow and API-management requirements.</x:v>
      </x:c>
    </x:row>
    <x:row r="13">
      <x:c r="A13" s="32" t="str">
        <x:v>09 Engineering, Operations &amp; Migration</x:v>
      </x:c>
      <x:c r="B13" s="32" t="n">
        <x:f>ROUND(AVERAGEIF('Provider Ratings'!$B$5:$B$272,$A13,'Provider Ratings'!$AD$5:$AD$272),2)</x:f>
        <x:v>3.82</x:v>
      </x:c>
      <x:c r="C13" s="32" t="n">
        <x:f>ROUND(AVERAGEIF('Provider Ratings'!$B$5:$B$272,$A13,'Provider Ratings'!$AE$5:$AE$272),2)</x:f>
        <x:v>3.8</x:v>
      </x:c>
      <x:c r="D13" s="32" t="n">
        <x:f>ROUND(AVERAGEIF('Provider Ratings'!$B$5:$B$272,$A13,'Provider Ratings'!$AF$5:$AF$272),2)</x:f>
        <x:v>3.71</x:v>
      </x:c>
      <x:c r="E13" s="72" t="str">
        <x:f>IF(LARGE(B13:D13,1)-LARGE(B13:D13,2)&lt;0.15,"Context-dependent",INDEX($B$4:$D$4,1,MATCH(MAX(B13:D13),B13:D13,0)))</x:f>
        <x:v>Context-dependent</x:v>
      </x:c>
      <x:c r="F13" s="32" t="str">
        <x:v>Developer tooling, golden paths, observability standards and migration estate.</x:v>
      </x:c>
      <x:c r="G13" s="32" t="str">
        <x:v>Toolchain duplication creates cognitive load and control gaps.</x:v>
      </x:c>
    </x:row>
    <x:row r="14">
      <x:c r="A14" s="32" t="str">
        <x:v>10 Edge, IoT &amp; Industry</x:v>
      </x:c>
      <x:c r="B14" s="32" t="n">
        <x:f>ROUND(AVERAGEIF('Provider Ratings'!$B$5:$B$272,$A14,'Provider Ratings'!$AD$5:$AD$272),2)</x:f>
        <x:v>3.79</x:v>
      </x:c>
      <x:c r="C14" s="32" t="n">
        <x:f>ROUND(AVERAGEIF('Provider Ratings'!$B$5:$B$272,$A14,'Provider Ratings'!$AE$5:$AE$272),2)</x:f>
        <x:v>3.54</x:v>
      </x:c>
      <x:c r="D14" s="32" t="n">
        <x:f>ROUND(AVERAGEIF('Provider Ratings'!$B$5:$B$272,$A14,'Provider Ratings'!$AF$5:$AF$272),2)</x:f>
        <x:v>3.41</x:v>
      </x:c>
      <x:c r="E14" s="72" t="str">
        <x:f>IF(LARGE(B14:D14,1)-LARGE(B14:D14,2)&lt;0.15,"Context-dependent",INDEX($B$4:$D$4,1,MATCH(MAX(B14:D14),B14:D14,0)))</x:f>
        <x:v>AWS average</x:v>
      </x:c>
      <x:c r="F14" s="32" t="str">
        <x:v>Device, latency, disconnected, media or sovereign requirements.</x:v>
      </x:c>
      <x:c r="G14" s="32" t="str">
        <x:v>Some providers rely on partners; validate lifecycle and support ownership.</x:v>
      </x:c>
    </x:row>
  </x:sheetData>
  <x:mergeCells>
    <x:mergeCell ref="A1:G1"/>
    <x:mergeCell ref="A2:G2"/>
  </x:mergeCells>
  <x:conditionalFormatting sqref="B5:D14">
    <x:cfRule type="colorScale" priority="1">
      <x:colorScale>
        <x:cfvo type="min"/>
        <x:cfvo type="percentile" val="50"/>
        <x:cfvo type="max"/>
        <x:color rgb="FFFCE4D6"/>
        <x:color rgb="FFFFF2CC"/>
        <x:color rgb="FFE2F0D9"/>
      </x:colorScale>
    </x:cfRule>
  </x:conditionalFormatting>
  <x:pageMargins left="0.7" right="0.7" top="0.75" bottom="0.75" header="0.3" footer="0.3"/>
  <x:drawing xmlns:r="http://schemas.openxmlformats.org/officeDocument/2006/relationships" r:id="Ra6c1ff6a30684829"/>
  <x:tableParts count="1">
    <x:tablePart xmlns:r="http://schemas.openxmlformats.org/officeDocument/2006/relationships" r:id="Rb212a2791ad8443e"/>
  </x:tableParts>
</x:worksheet>
</file>

<file path=xl/worksheets/sheet6.xml><?xml version="1.0" encoding="utf-8"?>
<x:worksheet xmlns:x="http://schemas.openxmlformats.org/spreadsheetml/2006/main">
  <x:sheetFormatPr defaultRowHeight="15"/>
  <x:cols>
    <x:col min="1" max="1" width="31" hidden="0" customWidth="1"/>
    <x:col min="2" max="2" width="25" hidden="0" customWidth="1"/>
    <x:col min="3" max="3" width="32" hidden="0" customWidth="1"/>
    <x:col min="4" max="4" width="16" hidden="0" customWidth="1"/>
    <x:col min="5" max="5" width="26" hidden="0" customWidth="1"/>
    <x:col min="6" max="6" width="31" hidden="0" customWidth="1"/>
    <x:col min="7" max="7" width="48" hidden="0" customWidth="1"/>
    <x:col min="8" max="8" width="50" hidden="0" customWidth="1"/>
    <x:col min="9" max="9" width="55" hidden="0" customWidth="1"/>
    <x:col min="10" max="10" width="48" hidden="0" customWidth="1"/>
    <x:col min="11" max="11" width="12" hidden="0" customWidth="1"/>
    <x:col min="12" max="12" width="13" hidden="0" customWidth="1"/>
    <x:col min="13" max="13" width="18" hidden="0" customWidth="1"/>
    <x:col min="14" max="14" width="13" hidden="0" customWidth="1"/>
    <x:col min="15" max="15" width="38" hidden="0" customWidth="1"/>
    <x:col min="16" max="16" width="40" hidden="0" customWidth="1"/>
    <x:col min="17" max="17" width="40" hidden="0" customWidth="1"/>
    <x:col min="18" max="18" width="12" hidden="0" customWidth="1"/>
    <x:col min="19" max="19" width="12" hidden="0" customWidth="1"/>
    <x:col min="20" max="20" width="12" hidden="0" customWidth="1"/>
    <x:col min="21" max="21" width="23" hidden="0" customWidth="1"/>
    <x:col min="22" max="22" width="58" hidden="0" customWidth="1"/>
    <x:col min="23" max="23" width="13" hidden="0" customWidth="1"/>
    <x:col min="24" max="24" width="48" hidden="0" customWidth="1"/>
    <x:col min="25" max="25" width="14" hidden="0" customWidth="1"/>
  </x:cols>
  <x:sheetData>
    <x:row r="1" ht="30" customHeight="1">
      <x:c r="A1" s="5" t="str">
        <x:v>Service Decision Matrix</x:v>
      </x:c>
      <x:c r="B1" s="5"/>
      <x:c r="C1" s="5"/>
      <x:c r="D1" s="5"/>
      <x:c r="E1" s="5"/>
      <x:c r="F1" s="5"/>
      <x:c r="G1" s="5"/>
      <x:c r="H1" s="5"/>
      <x:c r="I1" s="5"/>
      <x:c r="J1" s="5"/>
      <x:c r="K1" s="5"/>
      <x:c r="L1" s="5"/>
      <x:c r="M1" s="5"/>
      <x:c r="N1" s="5"/>
      <x:c r="O1" s="5"/>
      <x:c r="P1" s="5"/>
      <x:c r="Q1" s="5"/>
      <x:c r="R1" s="5"/>
      <x:c r="S1" s="5"/>
      <x:c r="T1" s="5"/>
      <x:c r="U1" s="5"/>
      <x:c r="V1" s="5"/>
      <x:c r="W1" s="5"/>
      <x:c r="X1" s="5"/>
      <x:c r="Y1" s="5"/>
    </x:row>
    <x:row r="2" ht="34" customHeight="1">
      <x:c r="A2" s="14" t="str">
        <x:v>Filter by architecture layer, subcategory or decision level. Begin with the decision question, then compare provider services, ease and default best fit.</x:v>
      </x:c>
      <x:c r="B2" s="14"/>
      <x:c r="C2" s="14"/>
      <x:c r="D2" s="14"/>
      <x:c r="E2" s="14"/>
      <x:c r="F2" s="14"/>
      <x:c r="G2" s="14"/>
      <x:c r="H2" s="14"/>
      <x:c r="I2" s="14"/>
      <x:c r="J2" s="14"/>
      <x:c r="K2" s="14"/>
      <x:c r="L2" s="14"/>
      <x:c r="M2" s="14"/>
      <x:c r="N2" s="14"/>
      <x:c r="O2" s="14"/>
      <x:c r="P2" s="14"/>
      <x:c r="Q2" s="14"/>
      <x:c r="R2" s="14"/>
      <x:c r="S2" s="14"/>
      <x:c r="T2" s="14"/>
      <x:c r="U2" s="14"/>
      <x:c r="V2" s="14"/>
      <x:c r="W2" s="14"/>
      <x:c r="X2" s="14"/>
      <x:c r="Y2" s="14"/>
    </x:row>
    <x:row r="4" ht="34" customHeight="1">
      <x:c r="A4" s="24" t="str">
        <x:v>Architecture layer</x:v>
      </x:c>
      <x:c r="B4" s="24" t="str">
        <x:v>Domain</x:v>
      </x:c>
      <x:c r="C4" s="24" t="str">
        <x:v>Subcategory</x:v>
      </x:c>
      <x:c r="D4" s="24" t="str">
        <x:v>Decision level</x:v>
      </x:c>
      <x:c r="E4" s="24" t="str">
        <x:v>Original category</x:v>
      </x:c>
      <x:c r="F4" s="24" t="str">
        <x:v>Generic capability</x:v>
      </x:c>
      <x:c r="G4" s="24" t="str">
        <x:v>Plain-English purpose</x:v>
      </x:c>
      <x:c r="H4" s="24" t="str">
        <x:v>Use when</x:v>
      </x:c>
      <x:c r="I4" s="24" t="str">
        <x:v>Key decision question</x:v>
      </x:c>
      <x:c r="J4" s="24" t="str">
        <x:v>Key trade-off</x:v>
      </x:c>
      <x:c r="K4" s="24" t="str">
        <x:v>Adoption ease score</x:v>
      </x:c>
      <x:c r="L4" s="24" t="str">
        <x:v>Ease</x:v>
      </x:c>
      <x:c r="M4" s="24" t="str">
        <x:v>Time to first value</x:v>
      </x:c>
      <x:c r="N4" s="24" t="str">
        <x:v>Lock-in risk</x:v>
      </x:c>
      <x:c r="O4" s="24" t="str">
        <x:v>AWS alternative(s)</x:v>
      </x:c>
      <x:c r="P4" s="24" t="str">
        <x:v>Azure alternative(s)</x:v>
      </x:c>
      <x:c r="Q4" s="24" t="str">
        <x:v>Google Cloud alternative(s)</x:v>
      </x:c>
      <x:c r="R4" s="24" t="str">
        <x:v>AWS score</x:v>
      </x:c>
      <x:c r="S4" s="24" t="str">
        <x:v>Azure score</x:v>
      </x:c>
      <x:c r="T4" s="24" t="str">
        <x:v>GCP score</x:v>
      </x:c>
      <x:c r="U4" s="24" t="str">
        <x:v>Default best fit</x:v>
      </x:c>
      <x:c r="V4" s="24" t="str">
        <x:v>Recommendation</x:v>
      </x:c>
      <x:c r="W4" s="24" t="str">
        <x:v>Equivalence</x:v>
      </x:c>
      <x:c r="X4" s="24" t="str">
        <x:v>Mapping notes</x:v>
      </x:c>
      <x:c r="Y4" s="24" t="str">
        <x:v>Verified date</x:v>
      </x:c>
    </x:row>
    <x:row r="5">
      <x:c r="A5" s="32" t="str">
        <x:v>01 Strategy, Governance &amp; FinOps</x:v>
      </x:c>
      <x:c r="B5" s="32" t="str">
        <x:v>Governance &amp; Management</x:v>
      </x:c>
      <x:c r="C5" s="32" t="str">
        <x:v>Cloud Foundation &amp; Governance</x:v>
      </x:c>
      <x:c r="D5" s="32" t="str">
        <x:v>Foundation</x:v>
      </x:c>
      <x:c r="E5" s="32" t="str">
        <x:v>Organisation governance</x:v>
      </x:c>
      <x:c r="F5" s="32" t="str">
        <x:v>Cloud organisation and account hierarchy</x:v>
      </x:c>
      <x:c r="G5" s="32" t="str">
        <x:v>Centrally organise subscriptions/accounts/projects, apply hierarchy and consolidate governance.</x:v>
      </x:c>
      <x:c r="H5" s="32" t="str">
        <x:v>Choose this capability when you need to centrally organise subscriptions/accounts/projects, apply hierarchy and consolidate governance.</x:v>
      </x:c>
      <x:c r="I5" s="32" t="str">
        <x:v>What business outcome, scale, control, integration and operating model justify choosing cloud organisation and account hierarchy?</x:v>
      </x:c>
      <x:c r="J5" s="32" t="str">
        <x:v>Native integration and speed versus portability, governance effort and total cost.</x:v>
      </x:c>
      <x:c r="K5" s="32" t="n">
        <x:v>3</x:v>
      </x:c>
      <x:c r="L5" s="32" t="str">
        <x:v>Moderate</x:v>
      </x:c>
      <x:c r="M5" s="32" t="str">
        <x:v>1–3 weeks</x:v>
      </x:c>
      <x:c r="N5" s="32" t="str">
        <x:v>Medium</x:v>
      </x:c>
      <x:c r="O5" s="32" t="str">
        <x:v>AWS Organizations</x:v>
      </x:c>
      <x:c r="P5" s="32" t="str">
        <x:v>Azure Management Groups
Azure Subscriptions</x:v>
      </x:c>
      <x:c r="Q5" s="32" t="str">
        <x:v>Resource Manager
Cloud Resource Manager</x:v>
      </x:c>
      <x:c r="R5" s="32" t="n">
        <x:f>'Provider Ratings'!AD5</x:f>
        <x:v>3.98</x:v>
      </x:c>
      <x:c r="S5" s="32" t="n">
        <x:f>'Provider Ratings'!AE5</x:f>
        <x:v>3.8</x:v>
      </x:c>
      <x:c r="T5" s="32" t="n">
        <x:f>'Provider Ratings'!AF5</x:f>
        <x:v>3.77</x:v>
      </x:c>
      <x:c r="U5" s="32" t="str">
        <x:f>'Provider Ratings'!AG5</x:f>
        <x:v>AWS</x:v>
      </x:c>
      <x:c r="V5" s="32" t="str">
        <x:f>'Provider Ratings'!AH5</x:f>
        <x:v>Start with AWS when infrastructure breadth, native integration and operational maturity are the main differentiators.</x:v>
      </x:c>
      <x:c r="W5" s="32" t="str">
        <x:v>Exact</x:v>
      </x:c>
      <x:c r="X5" s="32"/>
      <x:c r="Y5" s="32" t="str">
        <x:v>2026-07-12</x:v>
      </x:c>
    </x:row>
    <x:row r="6">
      <x:c r="A6" s="32" t="str">
        <x:v>01 Strategy, Governance &amp; FinOps</x:v>
      </x:c>
      <x:c r="B6" s="32" t="str">
        <x:v>Governance &amp; Management</x:v>
      </x:c>
      <x:c r="C6" s="32" t="str">
        <x:v>Cloud Foundation &amp; Governance</x:v>
      </x:c>
      <x:c r="D6" s="32" t="str">
        <x:v>Foundation</x:v>
      </x:c>
      <x:c r="E6" s="32" t="str">
        <x:v>Landing zones</x:v>
      </x:c>
      <x:c r="F6" s="32" t="str">
        <x:v>Enterprise landing zone</x:v>
      </x:c>
      <x:c r="G6" s="32" t="str">
        <x:v>Establish a governed multi-account or multi-subscription cloud foundation.</x:v>
      </x:c>
      <x:c r="H6" s="32" t="str">
        <x:v>Choose this capability when you need to establish a governed multi-account or multi-subscription cloud foundation.</x:v>
      </x:c>
      <x:c r="I6" s="32" t="str">
        <x:v>What business outcome, scale, control, integration and operating model justify choosing enterprise landing zone?</x:v>
      </x:c>
      <x:c r="J6" s="32" t="str">
        <x:v>Native integration and speed versus portability, governance effort and total cost.</x:v>
      </x:c>
      <x:c r="K6" s="32" t="n">
        <x:v>2</x:v>
      </x:c>
      <x:c r="L6" s="32" t="str">
        <x:v>Advanced</x:v>
      </x:c>
      <x:c r="M6" s="32" t="str">
        <x:v>3–8 weeks</x:v>
      </x:c>
      <x:c r="N6" s="32" t="str">
        <x:v>Medium</x:v>
      </x:c>
      <x:c r="O6" s="32" t="str">
        <x:v>AWS Control Tower</x:v>
      </x:c>
      <x:c r="P6" s="32" t="str">
        <x:v>Azure Landing Zones</x:v>
      </x:c>
      <x:c r="Q6" s="32" t="str">
        <x:v>Google Cloud Landing Zone</x:v>
      </x:c>
      <x:c r="R6" s="32" t="n">
        <x:f>'Provider Ratings'!AD6</x:f>
        <x:v>3.7</x:v>
      </x:c>
      <x:c r="S6" s="32" t="n">
        <x:f>'Provider Ratings'!AE6</x:f>
        <x:v>3.64</x:v>
      </x:c>
      <x:c r="T6" s="32" t="n">
        <x:f>'Provider Ratings'!AF6</x:f>
        <x:v>3.61</x:v>
      </x:c>
      <x:c r="U6" s="32" t="str">
        <x:f>'Provider Ratings'!AG6</x:f>
        <x:v>Context-dependent tie</x:v>
      </x:c>
      <x:c r="V6" s="32" t="str">
        <x:f>'Provider Ratings'!AH6</x:f>
        <x:v>Scores are close: use ecosystem, data gravity, region, skills, commercials and proof-of-value results to decide.</x:v>
      </x:c>
      <x:c r="W6" s="32" t="str">
        <x:v>Close</x:v>
      </x:c>
      <x:c r="X6" s="32" t="str">
        <x:v>Landing-zone implementations combine products, policies and reference architecture.</x:v>
      </x:c>
      <x:c r="Y6" s="32" t="str">
        <x:v>2026-07-12</x:v>
      </x:c>
    </x:row>
    <x:row r="7">
      <x:c r="A7" s="32" t="str">
        <x:v>01 Strategy, Governance &amp; FinOps</x:v>
      </x:c>
      <x:c r="B7" s="32" t="str">
        <x:v>Governance &amp; Management</x:v>
      </x:c>
      <x:c r="C7" s="32" t="str">
        <x:v>Cloud Foundation &amp; Governance</x:v>
      </x:c>
      <x:c r="D7" s="32" t="str">
        <x:v>Foundation</x:v>
      </x:c>
      <x:c r="E7" s="32" t="str">
        <x:v>Policy</x:v>
      </x:c>
      <x:c r="F7" s="32" t="str">
        <x:v>Organisation policy enforcement</x:v>
      </x:c>
      <x:c r="G7" s="32" t="str">
        <x:v>Define and enforce preventive or detective policies across cloud resources.</x:v>
      </x:c>
      <x:c r="H7" s="32" t="str">
        <x:v>Choose this capability when you need to define and enforce preventive or detective policies across cloud resources.</x:v>
      </x:c>
      <x:c r="I7" s="32" t="str">
        <x:v>What business outcome, scale, control, integration and operating model justify choosing organisation policy enforcement?</x:v>
      </x:c>
      <x:c r="J7" s="32" t="str">
        <x:v>Native integration and speed versus portability, governance effort and total cost.</x:v>
      </x:c>
      <x:c r="K7" s="32" t="n">
        <x:v>3</x:v>
      </x:c>
      <x:c r="L7" s="32" t="str">
        <x:v>Moderate</x:v>
      </x:c>
      <x:c r="M7" s="32" t="str">
        <x:v>1–3 weeks</x:v>
      </x:c>
      <x:c r="N7" s="32" t="str">
        <x:v>Medium</x:v>
      </x:c>
      <x:c r="O7" s="32" t="str">
        <x:v>AWS Organizations Service Control Policies
AWS Config</x:v>
      </x:c>
      <x:c r="P7" s="32" t="str">
        <x:v>Azure Policy</x:v>
      </x:c>
      <x:c r="Q7" s="32" t="str">
        <x:v>Organization Policy Service
Policy Controller</x:v>
      </x:c>
      <x:c r="R7" s="32" t="n">
        <x:f>'Provider Ratings'!AD7</x:f>
        <x:v>3.81</x:v>
      </x:c>
      <x:c r="S7" s="32" t="n">
        <x:f>'Provider Ratings'!AE7</x:f>
        <x:v>3.84</x:v>
      </x:c>
      <x:c r="T7" s="32" t="n">
        <x:f>'Provider Ratings'!AF7</x:f>
        <x:v>3.72</x:v>
      </x:c>
      <x:c r="U7" s="32" t="str">
        <x:f>'Provider Ratings'!AG7</x:f>
        <x:v>Context-dependent tie</x:v>
      </x:c>
      <x:c r="V7" s="32" t="str">
        <x:f>'Provider Ratings'!AH7</x:f>
        <x:v>Scores are close: use ecosystem, data gravity, region, skills, commercials and proof-of-value results to decide.</x:v>
      </x:c>
      <x:c r="W7" s="32" t="str">
        <x:v>Close</x:v>
      </x:c>
      <x:c r="X7" s="32"/>
      <x:c r="Y7" s="32" t="str">
        <x:v>2026-07-12</x:v>
      </x:c>
    </x:row>
    <x:row r="8">
      <x:c r="A8" s="32" t="str">
        <x:v>01 Strategy, Governance &amp; FinOps</x:v>
      </x:c>
      <x:c r="B8" s="32" t="str">
        <x:v>Governance &amp; Management</x:v>
      </x:c>
      <x:c r="C8" s="32" t="str">
        <x:v>Cloud Operations &amp; Management</x:v>
      </x:c>
      <x:c r="D8" s="32" t="str">
        <x:v>Workload</x:v>
      </x:c>
      <x:c r="E8" s="32" t="str">
        <x:v>Resource inventory</x:v>
      </x:c>
      <x:c r="F8" s="32" t="str">
        <x:v>Cloud asset inventory</x:v>
      </x:c>
      <x:c r="G8" s="32" t="str">
        <x:v>Discover, inventory and query cloud resources and configuration state.</x:v>
      </x:c>
      <x:c r="H8" s="32" t="str">
        <x:v>Choose this capability when you need to discover, inventory and query cloud resources and configuration state.</x:v>
      </x:c>
      <x:c r="I8" s="32" t="str">
        <x:v>What business outcome, scale, control, integration and operating model justify choosing cloud asset inventory?</x:v>
      </x:c>
      <x:c r="J8" s="32" t="str">
        <x:v>Native integration and speed versus portability, governance effort and total cost.</x:v>
      </x:c>
      <x:c r="K8" s="32" t="n">
        <x:v>3</x:v>
      </x:c>
      <x:c r="L8" s="32" t="str">
        <x:v>Moderate</x:v>
      </x:c>
      <x:c r="M8" s="32" t="str">
        <x:v>1–3 weeks</x:v>
      </x:c>
      <x:c r="N8" s="32" t="str">
        <x:v>Medium</x:v>
      </x:c>
      <x:c r="O8" s="32" t="str">
        <x:v>AWS Config</x:v>
      </x:c>
      <x:c r="P8" s="32" t="str">
        <x:v>Azure Resource Graph</x:v>
      </x:c>
      <x:c r="Q8" s="32" t="str">
        <x:v>Cloud Asset Inventory</x:v>
      </x:c>
      <x:c r="R8" s="32" t="n">
        <x:f>'Provider Ratings'!AD8</x:f>
        <x:v>3.82</x:v>
      </x:c>
      <x:c r="S8" s="32" t="n">
        <x:f>'Provider Ratings'!AE8</x:f>
        <x:v>3.84</x:v>
      </x:c>
      <x:c r="T8" s="32" t="n">
        <x:f>'Provider Ratings'!AF8</x:f>
        <x:v>3.81</x:v>
      </x:c>
      <x:c r="U8" s="32" t="str">
        <x:f>'Provider Ratings'!AG8</x:f>
        <x:v>Context-dependent tie</x:v>
      </x:c>
      <x:c r="V8" s="32" t="str">
        <x:f>'Provider Ratings'!AH8</x:f>
        <x:v>Scores are close: use ecosystem, data gravity, region, skills, commercials and proof-of-value results to decide.</x:v>
      </x:c>
      <x:c r="W8" s="32" t="str">
        <x:v>Close</x:v>
      </x:c>
      <x:c r="X8" s="32"/>
      <x:c r="Y8" s="32" t="str">
        <x:v>2026-07-12</x:v>
      </x:c>
    </x:row>
    <x:row r="9">
      <x:c r="A9" s="32" t="str">
        <x:v>01 Strategy, Governance &amp; FinOps</x:v>
      </x:c>
      <x:c r="B9" s="32" t="str">
        <x:v>Governance &amp; Management</x:v>
      </x:c>
      <x:c r="C9" s="32" t="str">
        <x:v>Cloud Operations &amp; Management</x:v>
      </x:c>
      <x:c r="D9" s="32" t="str">
        <x:v>Workload</x:v>
      </x:c>
      <x:c r="E9" s="32" t="str">
        <x:v>Configuration management</x:v>
      </x:c>
      <x:c r="F9" s="32" t="str">
        <x:v>Configuration compliance</x:v>
      </x:c>
      <x:c r="G9" s="32" t="str">
        <x:v>Track configuration changes and assess resources against required baselines.</x:v>
      </x:c>
      <x:c r="H9" s="32" t="str">
        <x:v>Choose this capability when you need to track configuration changes and assess resources against required baselines.</x:v>
      </x:c>
      <x:c r="I9" s="32" t="str">
        <x:v>What business outcome, scale, control, integration and operating model justify choosing configuration compliance?</x:v>
      </x:c>
      <x:c r="J9" s="32" t="str">
        <x:v>Native integration and speed versus portability, governance effort and total cost.</x:v>
      </x:c>
      <x:c r="K9" s="32" t="n">
        <x:v>3</x:v>
      </x:c>
      <x:c r="L9" s="32" t="str">
        <x:v>Moderate</x:v>
      </x:c>
      <x:c r="M9" s="32" t="str">
        <x:v>1–3 weeks</x:v>
      </x:c>
      <x:c r="N9" s="32" t="str">
        <x:v>Medium</x:v>
      </x:c>
      <x:c r="O9" s="32" t="str">
        <x:v>AWS Config</x:v>
      </x:c>
      <x:c r="P9" s="32" t="str">
        <x:v>Azure Policy
Microsoft Defender for Cloud</x:v>
      </x:c>
      <x:c r="Q9" s="32" t="str">
        <x:v>Security Command Center
Config Controller</x:v>
      </x:c>
      <x:c r="R9" s="32" t="n">
        <x:f>'Provider Ratings'!AD9</x:f>
        <x:v>3.82</x:v>
      </x:c>
      <x:c r="S9" s="32" t="n">
        <x:f>'Provider Ratings'!AE9</x:f>
        <x:v>3.75</x:v>
      </x:c>
      <x:c r="T9" s="32" t="n">
        <x:f>'Provider Ratings'!AF9</x:f>
        <x:v>3.72</x:v>
      </x:c>
      <x:c r="U9" s="32" t="str">
        <x:f>'Provider Ratings'!AG9</x:f>
        <x:v>Context-dependent tie</x:v>
      </x:c>
      <x:c r="V9" s="32" t="str">
        <x:f>'Provider Ratings'!AH9</x:f>
        <x:v>Scores are close: use ecosystem, data gravity, region, skills, commercials and proof-of-value results to decide.</x:v>
      </x:c>
      <x:c r="W9" s="32" t="str">
        <x:v>Close</x:v>
      </x:c>
      <x:c r="X9" s="32"/>
      <x:c r="Y9" s="32" t="str">
        <x:v>2026-07-12</x:v>
      </x:c>
    </x:row>
    <x:row r="10">
      <x:c r="A10" s="32" t="str">
        <x:v>01 Strategy, Governance &amp; FinOps</x:v>
      </x:c>
      <x:c r="B10" s="32" t="str">
        <x:v>Governance &amp; Management</x:v>
      </x:c>
      <x:c r="C10" s="32" t="str">
        <x:v>Cloud Foundation &amp; Governance</x:v>
      </x:c>
      <x:c r="D10" s="32" t="str">
        <x:v>Workload</x:v>
      </x:c>
      <x:c r="E10" s="32" t="str">
        <x:v>Service catalogue</x:v>
      </x:c>
      <x:c r="F10" s="32" t="str">
        <x:v>Approved service catalogue</x:v>
      </x:c>
      <x:c r="G10" s="32" t="str">
        <x:v>Publish governed, reusable infrastructure and application products for internal teams.</x:v>
      </x:c>
      <x:c r="H10" s="32" t="str">
        <x:v>Choose this capability when you need to publish governed, reusable infrastructure and application products for internal teams.</x:v>
      </x:c>
      <x:c r="I10" s="32" t="str">
        <x:v>What business outcome, scale, control, integration and operating model justify choosing approved service catalogue?</x:v>
      </x:c>
      <x:c r="J10" s="32" t="str">
        <x:v>Native integration and speed versus portability, governance effort and total cost.</x:v>
      </x:c>
      <x:c r="K10" s="32" t="n">
        <x:v>3</x:v>
      </x:c>
      <x:c r="L10" s="32" t="str">
        <x:v>Moderate</x:v>
      </x:c>
      <x:c r="M10" s="32" t="str">
        <x:v>1–3 weeks</x:v>
      </x:c>
      <x:c r="N10" s="32" t="str">
        <x:v>Medium</x:v>
      </x:c>
      <x:c r="O10" s="32" t="str">
        <x:v>AWS Service Catalog</x:v>
      </x:c>
      <x:c r="P10" s="32" t="str">
        <x:v>Azure Managed Applications
Azure Deployment Environments</x:v>
      </x:c>
      <x:c r="Q10" s="32" t="str">
        <x:v>Service Catalog
Application Design Center</x:v>
      </x:c>
      <x:c r="R10" s="32" t="n">
        <x:f>'Provider Ratings'!AD10</x:f>
        <x:v>3.75</x:v>
      </x:c>
      <x:c r="S10" s="32" t="n">
        <x:f>'Provider Ratings'!AE10</x:f>
        <x:v>3.56</x:v>
      </x:c>
      <x:c r="T10" s="32" t="n">
        <x:f>'Provider Ratings'!AF10</x:f>
        <x:v>3.53</x:v>
      </x:c>
      <x:c r="U10" s="32" t="str">
        <x:f>'Provider Ratings'!AG10</x:f>
        <x:v>AWS</x:v>
      </x:c>
      <x:c r="V10" s="32" t="str">
        <x:f>'Provider Ratings'!AH10</x:f>
        <x:v>Start with AWS when infrastructure breadth, native integration and operational maturity are the main differentiators.</x:v>
      </x:c>
      <x:c r="W10" s="32" t="str">
        <x:v>Partial</x:v>
      </x:c>
      <x:c r="X10" s="32"/>
      <x:c r="Y10" s="32" t="str">
        <x:v>2026-07-12</x:v>
      </x:c>
    </x:row>
    <x:row r="11">
      <x:c r="A11" s="32" t="str">
        <x:v>01 Strategy, Governance &amp; FinOps</x:v>
      </x:c>
      <x:c r="B11" s="32" t="str">
        <x:v>Governance &amp; Management</x:v>
      </x:c>
      <x:c r="C11" s="32" t="str">
        <x:v>Cloud Operations &amp; Management</x:v>
      </x:c>
      <x:c r="D11" s="32" t="str">
        <x:v>Workload</x:v>
      </x:c>
      <x:c r="E11" s="32" t="str">
        <x:v>Infrastructure as code</x:v>
      </x:c>
      <x:c r="F11" s="32" t="str">
        <x:v>Native infrastructure as code</x:v>
      </x:c>
      <x:c r="G11" s="32" t="str">
        <x:v>Provision and manage cloud resources from declarative templates.</x:v>
      </x:c>
      <x:c r="H11" s="32" t="str">
        <x:v>Choose this capability when you need to provision and manage cloud resources from declarative templates.</x:v>
      </x:c>
      <x:c r="I11" s="32" t="str">
        <x:v>What business outcome, scale, control, integration and operating model justify choosing native infrastructure as code?</x:v>
      </x:c>
      <x:c r="J11" s="32" t="str">
        <x:v>Native integration and speed versus portability, governance effort and total cost.</x:v>
      </x:c>
      <x:c r="K11" s="32" t="n">
        <x:v>3</x:v>
      </x:c>
      <x:c r="L11" s="32" t="str">
        <x:v>Moderate</x:v>
      </x:c>
      <x:c r="M11" s="32" t="str">
        <x:v>1–3 weeks</x:v>
      </x:c>
      <x:c r="N11" s="32" t="str">
        <x:v>Medium</x:v>
      </x:c>
      <x:c r="O11" s="32" t="str">
        <x:v>AWS CloudFormation
AWS Infrastructure Composer</x:v>
      </x:c>
      <x:c r="P11" s="32" t="str">
        <x:v>Azure Resource Manager templates
Bicep</x:v>
      </x:c>
      <x:c r="Q11" s="32" t="str">
        <x:v>Infrastructure Manager
Config Connector</x:v>
      </x:c>
      <x:c r="R11" s="32" t="n">
        <x:f>'Provider Ratings'!AD11</x:f>
        <x:v>3.73</x:v>
      </x:c>
      <x:c r="S11" s="32" t="n">
        <x:f>'Provider Ratings'!AE11</x:f>
        <x:v>3.75</x:v>
      </x:c>
      <x:c r="T11" s="32" t="n">
        <x:f>'Provider Ratings'!AF11</x:f>
        <x:v>3.72</x:v>
      </x:c>
      <x:c r="U11" s="32" t="str">
        <x:f>'Provider Ratings'!AG11</x:f>
        <x:v>Context-dependent tie</x:v>
      </x:c>
      <x:c r="V11" s="32" t="str">
        <x:f>'Provider Ratings'!AH11</x:f>
        <x:v>Scores are close: use ecosystem, data gravity, region, skills, commercials and proof-of-value results to decide.</x:v>
      </x:c>
      <x:c r="W11" s="32" t="str">
        <x:v>Close</x:v>
      </x:c>
      <x:c r="X11" s="32"/>
      <x:c r="Y11" s="32" t="str">
        <x:v>2026-07-12</x:v>
      </x:c>
    </x:row>
    <x:row r="12">
      <x:c r="A12" s="32" t="str">
        <x:v>01 Strategy, Governance &amp; FinOps</x:v>
      </x:c>
      <x:c r="B12" s="32" t="str">
        <x:v>Governance &amp; Management</x:v>
      </x:c>
      <x:c r="C12" s="32" t="str">
        <x:v>Cloud Operations &amp; Management</x:v>
      </x:c>
      <x:c r="D12" s="32" t="str">
        <x:v>Workload</x:v>
      </x:c>
      <x:c r="E12" s="32" t="str">
        <x:v>Operations automation</x:v>
      </x:c>
      <x:c r="F12" s="32" t="str">
        <x:v>Cloud operations automation</x:v>
      </x:c>
      <x:c r="G12" s="32" t="str">
        <x:v>Automate patching, runbooks, configuration and routine operational actions.</x:v>
      </x:c>
      <x:c r="H12" s="32" t="str">
        <x:v>Choose this capability when you need to automate patching, runbooks, configuration and routine operational actions.</x:v>
      </x:c>
      <x:c r="I12" s="32" t="str">
        <x:v>What business outcome, scale, control, integration and operating model justify choosing cloud operations automation?</x:v>
      </x:c>
      <x:c r="J12" s="32" t="str">
        <x:v>Native integration and speed versus portability, governance effort and total cost.</x:v>
      </x:c>
      <x:c r="K12" s="32" t="n">
        <x:v>3</x:v>
      </x:c>
      <x:c r="L12" s="32" t="str">
        <x:v>Moderate</x:v>
      </x:c>
      <x:c r="M12" s="32" t="str">
        <x:v>1–3 weeks</x:v>
      </x:c>
      <x:c r="N12" s="32" t="str">
        <x:v>Medium</x:v>
      </x:c>
      <x:c r="O12" s="32" t="str">
        <x:v>AWS Systems Manager</x:v>
      </x:c>
      <x:c r="P12" s="32" t="str">
        <x:v>Azure Automation
Azure Update Manager</x:v>
      </x:c>
      <x:c r="Q12" s="32" t="str">
        <x:v>VM Manager
Workflows</x:v>
      </x:c>
      <x:c r="R12" s="32" t="n">
        <x:f>'Provider Ratings'!AD12</x:f>
        <x:v>3.82</x:v>
      </x:c>
      <x:c r="S12" s="32" t="n">
        <x:f>'Provider Ratings'!AE12</x:f>
        <x:v>3.75</x:v>
      </x:c>
      <x:c r="T12" s="32" t="n">
        <x:f>'Provider Ratings'!AF12</x:f>
        <x:v>3.72</x:v>
      </x:c>
      <x:c r="U12" s="32" t="str">
        <x:f>'Provider Ratings'!AG12</x:f>
        <x:v>Context-dependent tie</x:v>
      </x:c>
      <x:c r="V12" s="32" t="str">
        <x:f>'Provider Ratings'!AH12</x:f>
        <x:v>Scores are close: use ecosystem, data gravity, region, skills, commercials and proof-of-value results to decide.</x:v>
      </x:c>
      <x:c r="W12" s="32" t="str">
        <x:v>Close</x:v>
      </x:c>
      <x:c r="X12" s="32"/>
      <x:c r="Y12" s="32" t="str">
        <x:v>2026-07-12</x:v>
      </x:c>
    </x:row>
    <x:row r="13">
      <x:c r="A13" s="32" t="str">
        <x:v>01 Strategy, Governance &amp; FinOps</x:v>
      </x:c>
      <x:c r="B13" s="32" t="str">
        <x:v>Governance &amp; Management</x:v>
      </x:c>
      <x:c r="C13" s="32" t="str">
        <x:v>Architecture Assurance &amp; Service Health</x:v>
      </x:c>
      <x:c r="D13" s="32" t="str">
        <x:v>Workload</x:v>
      </x:c>
      <x:c r="E13" s="32" t="str">
        <x:v>Architecture assurance</x:v>
      </x:c>
      <x:c r="F13" s="32" t="str">
        <x:v>Well-architected assessment</x:v>
      </x:c>
      <x:c r="G13" s="32" t="str">
        <x:v>Assess workloads against cloud architecture, resilience, security and cost practices.</x:v>
      </x:c>
      <x:c r="H13" s="32" t="str">
        <x:v>Choose this capability when you need to assess workloads against cloud architecture, resilience, security and cost practices.</x:v>
      </x:c>
      <x:c r="I13" s="32" t="str">
        <x:v>What business outcome, scale, control, integration and operating model justify choosing well-architected assessment?</x:v>
      </x:c>
      <x:c r="J13" s="32" t="str">
        <x:v>Native integration and speed versus portability, governance effort and total cost.</x:v>
      </x:c>
      <x:c r="K13" s="32" t="n">
        <x:v>3</x:v>
      </x:c>
      <x:c r="L13" s="32" t="str">
        <x:v>Moderate</x:v>
      </x:c>
      <x:c r="M13" s="32" t="str">
        <x:v>1–3 weeks</x:v>
      </x:c>
      <x:c r="N13" s="32" t="str">
        <x:v>Medium</x:v>
      </x:c>
      <x:c r="O13" s="32" t="str">
        <x:v>AWS Well-Architected Tool
AWS Trusted Advisor</x:v>
      </x:c>
      <x:c r="P13" s="32" t="str">
        <x:v>Azure Advisor
Azure Well-Architected Review</x:v>
      </x:c>
      <x:c r="Q13" s="32" t="str">
        <x:v>Recommender
Architecture Framework</x:v>
      </x:c>
      <x:c r="R13" s="32" t="n">
        <x:f>'Provider Ratings'!AD13</x:f>
        <x:v>3.73</x:v>
      </x:c>
      <x:c r="S13" s="32" t="n">
        <x:f>'Provider Ratings'!AE13</x:f>
        <x:v>3.75</x:v>
      </x:c>
      <x:c r="T13" s="32" t="n">
        <x:f>'Provider Ratings'!AF13</x:f>
        <x:v>3.72</x:v>
      </x:c>
      <x:c r="U13" s="32" t="str">
        <x:f>'Provider Ratings'!AG13</x:f>
        <x:v>Context-dependent tie</x:v>
      </x:c>
      <x:c r="V13" s="32" t="str">
        <x:f>'Provider Ratings'!AH13</x:f>
        <x:v>Scores are close: use ecosystem, data gravity, region, skills, commercials and proof-of-value results to decide.</x:v>
      </x:c>
      <x:c r="W13" s="32" t="str">
        <x:v>Close</x:v>
      </x:c>
      <x:c r="X13" s="32"/>
      <x:c r="Y13" s="32" t="str">
        <x:v>2026-07-12</x:v>
      </x:c>
    </x:row>
    <x:row r="14">
      <x:c r="A14" s="32" t="str">
        <x:v>01 Strategy, Governance &amp; FinOps</x:v>
      </x:c>
      <x:c r="B14" s="32" t="str">
        <x:v>Governance &amp; Management</x:v>
      </x:c>
      <x:c r="C14" s="32" t="str">
        <x:v>Architecture Assurance &amp; Service Health</x:v>
      </x:c>
      <x:c r="D14" s="32" t="str">
        <x:v>Workload</x:v>
      </x:c>
      <x:c r="E14" s="32" t="str">
        <x:v>Health</x:v>
      </x:c>
      <x:c r="F14" s="32" t="str">
        <x:v>Personalised cloud service health</x:v>
      </x:c>
      <x:c r="G14" s="32" t="str">
        <x:v>Show provider incidents, planned maintenance and resource-specific impact.</x:v>
      </x:c>
      <x:c r="H14" s="32" t="str">
        <x:v>Choose this capability when you need to show provider incidents, planned maintenance and resource-specific impact.</x:v>
      </x:c>
      <x:c r="I14" s="32" t="str">
        <x:v>What business outcome, scale, control, integration and operating model justify choosing personalised cloud service health?</x:v>
      </x:c>
      <x:c r="J14" s="32" t="str">
        <x:v>Native integration and speed versus portability, governance effort and total cost.</x:v>
      </x:c>
      <x:c r="K14" s="32" t="n">
        <x:v>3</x:v>
      </x:c>
      <x:c r="L14" s="32" t="str">
        <x:v>Moderate</x:v>
      </x:c>
      <x:c r="M14" s="32" t="str">
        <x:v>1–3 weeks</x:v>
      </x:c>
      <x:c r="N14" s="32" t="str">
        <x:v>Medium</x:v>
      </x:c>
      <x:c r="O14" s="32" t="str">
        <x:v>AWS Health</x:v>
      </x:c>
      <x:c r="P14" s="32" t="str">
        <x:v>Azure Service Health</x:v>
      </x:c>
      <x:c r="Q14" s="32" t="str">
        <x:v>Personalized Service Health</x:v>
      </x:c>
      <x:c r="R14" s="32" t="n">
        <x:f>'Provider Ratings'!AD14</x:f>
        <x:v>3.89</x:v>
      </x:c>
      <x:c r="S14" s="32" t="n">
        <x:f>'Provider Ratings'!AE14</x:f>
        <x:v>3.9</x:v>
      </x:c>
      <x:c r="T14" s="32" t="n">
        <x:f>'Provider Ratings'!AF14</x:f>
        <x:v>3.87</x:v>
      </x:c>
      <x:c r="U14" s="32" t="str">
        <x:f>'Provider Ratings'!AG14</x:f>
        <x:v>Context-dependent tie</x:v>
      </x:c>
      <x:c r="V14" s="32" t="str">
        <x:f>'Provider Ratings'!AH14</x:f>
        <x:v>Scores are close: use ecosystem, data gravity, region, skills, commercials and proof-of-value results to decide.</x:v>
      </x:c>
      <x:c r="W14" s="32" t="str">
        <x:v>Exact</x:v>
      </x:c>
      <x:c r="X14" s="32"/>
      <x:c r="Y14" s="32" t="str">
        <x:v>2026-07-12</x:v>
      </x:c>
    </x:row>
    <x:row r="15">
      <x:c r="A15" s="32" t="str">
        <x:v>01 Strategy, Governance &amp; FinOps</x:v>
      </x:c>
      <x:c r="B15" s="32" t="str">
        <x:v>Governance &amp; Management</x:v>
      </x:c>
      <x:c r="C15" s="32" t="str">
        <x:v>Architecture Assurance &amp; Service Health</x:v>
      </x:c>
      <x:c r="D15" s="32" t="str">
        <x:v>Component</x:v>
      </x:c>
      <x:c r="E15" s="32" t="str">
        <x:v>Notifications</x:v>
      </x:c>
      <x:c r="F15" s="32" t="str">
        <x:v>Central cloud notifications</x:v>
      </x:c>
      <x:c r="G15" s="32" t="str">
        <x:v>Route cloud operational and governance notifications to users and channels.</x:v>
      </x:c>
      <x:c r="H15" s="32" t="str">
        <x:v>Choose this capability when you need to route cloud operational and governance notifications to users and channels.</x:v>
      </x:c>
      <x:c r="I15" s="32" t="str">
        <x:v>What business outcome, scale, control, integration and operating model justify choosing central cloud notifications?</x:v>
      </x:c>
      <x:c r="J15" s="32" t="str">
        <x:v>Native integration and speed versus portability, governance effort and total cost.</x:v>
      </x:c>
      <x:c r="K15" s="32" t="n">
        <x:v>4</x:v>
      </x:c>
      <x:c r="L15" s="32" t="str">
        <x:v>Easy</x:v>
      </x:c>
      <x:c r="M15" s="32" t="str">
        <x:v>1–3 days</x:v>
      </x:c>
      <x:c r="N15" s="32" t="str">
        <x:v>Medium</x:v>
      </x:c>
      <x:c r="O15" s="32" t="str">
        <x:v>AWS User Notifications
Amazon Q Developer in chat applications</x:v>
      </x:c>
      <x:c r="P15" s="32" t="str">
        <x:v>Azure Service Health alerts
Azure Monitor action groups</x:v>
      </x:c>
      <x:c r="Q15" s="32" t="str">
        <x:v>Essential Contacts
Advisory Notifications</x:v>
      </x:c>
      <x:c r="R15" s="32" t="n">
        <x:f>'Provider Ratings'!AD15</x:f>
        <x:v>3.93</x:v>
      </x:c>
      <x:c r="S15" s="32" t="n">
        <x:f>'Provider Ratings'!AE15</x:f>
        <x:v>3.95</x:v>
      </x:c>
      <x:c r="T15" s="32" t="n">
        <x:f>'Provider Ratings'!AF15</x:f>
        <x:v>3.91</x:v>
      </x:c>
      <x:c r="U15" s="32" t="str">
        <x:f>'Provider Ratings'!AG15</x:f>
        <x:v>Context-dependent tie</x:v>
      </x:c>
      <x:c r="V15" s="32" t="str">
        <x:f>'Provider Ratings'!AH15</x:f>
        <x:v>Scores are close: use ecosystem, data gravity, region, skills, commercials and proof-of-value results to decide.</x:v>
      </x:c>
      <x:c r="W15" s="32" t="str">
        <x:v>Close</x:v>
      </x:c>
      <x:c r="X15" s="32"/>
      <x:c r="Y15" s="32" t="str">
        <x:v>2026-07-12</x:v>
      </x:c>
    </x:row>
    <x:row r="16">
      <x:c r="A16" s="32" t="str">
        <x:v>01 Strategy, Governance &amp; FinOps</x:v>
      </x:c>
      <x:c r="B16" s="32" t="str">
        <x:v>Governance &amp; Management</x:v>
      </x:c>
      <x:c r="C16" s="32" t="str">
        <x:v>Cloud Operations &amp; Management</x:v>
      </x:c>
      <x:c r="D16" s="32" t="str">
        <x:v>Workload</x:v>
      </x:c>
      <x:c r="E16" s="32" t="str">
        <x:v>Licensing</x:v>
      </x:c>
      <x:c r="F16" s="32" t="str">
        <x:v>Software licence management</x:v>
      </x:c>
      <x:c r="G16" s="32" t="str">
        <x:v>Track and enforce licence usage across cloud and hybrid servers.</x:v>
      </x:c>
      <x:c r="H16" s="32" t="str">
        <x:v>Choose this capability when you need to track and enforce licence usage across cloud and hybrid servers.</x:v>
      </x:c>
      <x:c r="I16" s="32" t="str">
        <x:v>What business outcome, scale, control, integration and operating model justify choosing software licence management?</x:v>
      </x:c>
      <x:c r="J16" s="32" t="str">
        <x:v>Native integration and speed versus portability, governance effort and total cost.</x:v>
      </x:c>
      <x:c r="K16" s="32" t="n">
        <x:v>3</x:v>
      </x:c>
      <x:c r="L16" s="32" t="str">
        <x:v>Moderate</x:v>
      </x:c>
      <x:c r="M16" s="32" t="str">
        <x:v>1–3 weeks</x:v>
      </x:c>
      <x:c r="N16" s="32" t="str">
        <x:v>Medium</x:v>
      </x:c>
      <x:c r="O16" s="32" t="str">
        <x:v>AWS License Manager</x:v>
      </x:c>
      <x:c r="P16" s="32" t="str">
        <x:v>Azure Hybrid Benefit
Azure Arc-enabled licensing</x:v>
      </x:c>
      <x:c r="Q16" s="32" t="str">
        <x:v>License Manager</x:v>
      </x:c>
      <x:c r="R16" s="32" t="n">
        <x:f>'Provider Ratings'!AD16</x:f>
        <x:v>3.64</x:v>
      </x:c>
      <x:c r="S16" s="32" t="n">
        <x:f>'Provider Ratings'!AE16</x:f>
        <x:v>3.56</x:v>
      </x:c>
      <x:c r="T16" s="32" t="n">
        <x:f>'Provider Ratings'!AF16</x:f>
        <x:v>3.62</x:v>
      </x:c>
      <x:c r="U16" s="32" t="str">
        <x:f>'Provider Ratings'!AG16</x:f>
        <x:v>Context-dependent tie</x:v>
      </x:c>
      <x:c r="V16" s="32" t="str">
        <x:f>'Provider Ratings'!AH16</x:f>
        <x:v>Scores are close: use ecosystem, data gravity, region, skills, commercials and proof-of-value results to decide.</x:v>
      </x:c>
      <x:c r="W16" s="32" t="str">
        <x:v>Partial</x:v>
      </x:c>
      <x:c r="X16" s="32"/>
      <x:c r="Y16" s="32" t="str">
        <x:v>2026-07-12</x:v>
      </x:c>
    </x:row>
    <x:row r="17">
      <x:c r="A17" s="32" t="str">
        <x:v>01 Strategy, Governance &amp; FinOps</x:v>
      </x:c>
      <x:c r="B17" s="32" t="str">
        <x:v>Governance &amp; Management</x:v>
      </x:c>
      <x:c r="C17" s="32" t="str">
        <x:v>Cloud Foundation &amp; Governance</x:v>
      </x:c>
      <x:c r="D17" s="32" t="str">
        <x:v>Workload</x:v>
      </x:c>
      <x:c r="E17" s="32" t="str">
        <x:v>Quotas</x:v>
      </x:c>
      <x:c r="F17" s="32" t="str">
        <x:v>Service quota management</x:v>
      </x:c>
      <x:c r="G17" s="32" t="str">
        <x:v>View, monitor and request changes to cloud service quotas.</x:v>
      </x:c>
      <x:c r="H17" s="32" t="str">
        <x:v>Choose this capability when you need to view, monitor and request changes to cloud service quotas.</x:v>
      </x:c>
      <x:c r="I17" s="32" t="str">
        <x:v>What business outcome, scale, control, integration and operating model justify choosing service quota management?</x:v>
      </x:c>
      <x:c r="J17" s="32" t="str">
        <x:v>Native integration and speed versus portability, governance effort and total cost.</x:v>
      </x:c>
      <x:c r="K17" s="32" t="n">
        <x:v>3</x:v>
      </x:c>
      <x:c r="L17" s="32" t="str">
        <x:v>Moderate</x:v>
      </x:c>
      <x:c r="M17" s="32" t="str">
        <x:v>1–3 weeks</x:v>
      </x:c>
      <x:c r="N17" s="32" t="str">
        <x:v>Medium</x:v>
      </x:c>
      <x:c r="O17" s="32" t="str">
        <x:v>AWS Service Quotas</x:v>
      </x:c>
      <x:c r="P17" s="32" t="str">
        <x:v>Azure Quotas</x:v>
      </x:c>
      <x:c r="Q17" s="32" t="str">
        <x:v>Cloud Quotas</x:v>
      </x:c>
      <x:c r="R17" s="32" t="n">
        <x:f>'Provider Ratings'!AD17</x:f>
        <x:v>3.98</x:v>
      </x:c>
      <x:c r="S17" s="32" t="n">
        <x:f>'Provider Ratings'!AE17</x:f>
        <x:v>3.9</x:v>
      </x:c>
      <x:c r="T17" s="32" t="n">
        <x:f>'Provider Ratings'!AF17</x:f>
        <x:v>3.87</x:v>
      </x:c>
      <x:c r="U17" s="32" t="str">
        <x:f>'Provider Ratings'!AG17</x:f>
        <x:v>Context-dependent tie</x:v>
      </x:c>
      <x:c r="V17" s="32" t="str">
        <x:f>'Provider Ratings'!AH17</x:f>
        <x:v>Scores are close: use ecosystem, data gravity, region, skills, commercials and proof-of-value results to decide.</x:v>
      </x:c>
      <x:c r="W17" s="32" t="str">
        <x:v>Exact</x:v>
      </x:c>
      <x:c r="X17" s="32"/>
      <x:c r="Y17" s="32" t="str">
        <x:v>2026-07-12</x:v>
      </x:c>
    </x:row>
    <x:row r="18">
      <x:c r="A18" s="32" t="str">
        <x:v>01 Strategy, Governance &amp; FinOps</x:v>
      </x:c>
      <x:c r="B18" s="32" t="str">
        <x:v>Governance &amp; Management</x:v>
      </x:c>
      <x:c r="C18" s="32" t="str">
        <x:v>Cloud Operations &amp; Management</x:v>
      </x:c>
      <x:c r="D18" s="32" t="str">
        <x:v>Workload</x:v>
      </x:c>
      <x:c r="E18" s="32" t="str">
        <x:v>Managed operations</x:v>
      </x:c>
      <x:c r="F18" s="32" t="str">
        <x:v>Managed cloud operations</x:v>
      </x:c>
      <x:c r="G18" s="32" t="str">
        <x:v>Provider-operated governance and operations for enterprise cloud estates.</x:v>
      </x:c>
      <x:c r="H18" s="32" t="str">
        <x:v>Choose this capability when you need to provider-operated governance and operations for enterprise cloud estates.</x:v>
      </x:c>
      <x:c r="I18" s="32" t="str">
        <x:v>What business outcome, scale, control, integration and operating model justify choosing managed cloud operations?</x:v>
      </x:c>
      <x:c r="J18" s="32" t="str">
        <x:v>Native integration and speed versus portability, governance effort and total cost.</x:v>
      </x:c>
      <x:c r="K18" s="32" t="n">
        <x:v>3</x:v>
      </x:c>
      <x:c r="L18" s="32" t="str">
        <x:v>Moderate</x:v>
      </x:c>
      <x:c r="M18" s="32" t="str">
        <x:v>1–3 weeks</x:v>
      </x:c>
      <x:c r="N18" s="32" t="str">
        <x:v>Medium</x:v>
      </x:c>
      <x:c r="O18" s="32" t="str">
        <x:v>AWS Managed Services</x:v>
      </x:c>
      <x:c r="P18" s="32" t="str">
        <x:v>Azure Expert Managed Services ecosystem</x:v>
      </x:c>
      <x:c r="Q18" s="32" t="str">
        <x:v>Google Cloud Consulting / managed services ecosystem</x:v>
      </x:c>
      <x:c r="R18" s="32" t="n">
        <x:f>'Provider Ratings'!AD18</x:f>
        <x:v>3.64</x:v>
      </x:c>
      <x:c r="S18" s="32" t="n">
        <x:f>'Provider Ratings'!AE18</x:f>
        <x:v>3.2</x:v>
      </x:c>
      <x:c r="T18" s="32" t="n">
        <x:f>'Provider Ratings'!AF18</x:f>
        <x:v>3.16</x:v>
      </x:c>
      <x:c r="U18" s="32" t="str">
        <x:f>'Provider Ratings'!AG18</x:f>
        <x:v>AWS</x:v>
      </x:c>
      <x:c r="V18" s="32" t="str">
        <x:f>'Provider Ratings'!AH18</x:f>
        <x:v>Start with AWS when infrastructure breadth, native integration and operational maturity are the main differentiators.</x:v>
      </x:c>
      <x:c r="W18" s="32" t="str">
        <x:v>Partial</x:v>
      </x:c>
      <x:c r="X18" s="32" t="str">
        <x:v>Azure and Google generally deliver this through service offerings and partners rather than a single equivalent product.</x:v>
      </x:c>
      <x:c r="Y18" s="32" t="str">
        <x:v>2026-07-12</x:v>
      </x:c>
    </x:row>
    <x:row r="19">
      <x:c r="A19" s="32" t="str">
        <x:v>01 Strategy, Governance &amp; FinOps</x:v>
      </x:c>
      <x:c r="B19" s="32" t="str">
        <x:v>FinOps &amp; Commercial</x:v>
      </x:c>
      <x:c r="C19" s="32" t="str">
        <x:v>FinOps, Cost &amp; Sustainability</x:v>
      </x:c>
      <x:c r="D19" s="32" t="str">
        <x:v>Foundation</x:v>
      </x:c>
      <x:c r="E19" s="32" t="str">
        <x:v>Cost management</x:v>
      </x:c>
      <x:c r="F19" s="32" t="str">
        <x:v>Cost analysis and optimisation</x:v>
      </x:c>
      <x:c r="G19" s="32" t="str">
        <x:v>Analyse cloud spend, allocation, trends and optimisation opportunities.</x:v>
      </x:c>
      <x:c r="H19" s="32" t="str">
        <x:v>Choose this capability when you need to analyse cloud spend, allocation, trends and optimisation opportunities.</x:v>
      </x:c>
      <x:c r="I19" s="32" t="str">
        <x:v>What business outcome, scale, control, integration and operating model justify choosing cost analysis and optimisation?</x:v>
      </x:c>
      <x:c r="J19" s="32" t="str">
        <x:v>Native integration and speed versus portability, governance effort and total cost.</x:v>
      </x:c>
      <x:c r="K19" s="32" t="n">
        <x:v>3</x:v>
      </x:c>
      <x:c r="L19" s="32" t="str">
        <x:v>Moderate</x:v>
      </x:c>
      <x:c r="M19" s="32" t="str">
        <x:v>1–3 weeks</x:v>
      </x:c>
      <x:c r="N19" s="32" t="str">
        <x:v>Medium</x:v>
      </x:c>
      <x:c r="O19" s="32" t="str">
        <x:v>AWS Cost Explorer
AWS Compute Optimizer</x:v>
      </x:c>
      <x:c r="P19" s="32" t="str">
        <x:v>Microsoft Cost Management
Azure Advisor</x:v>
      </x:c>
      <x:c r="Q19" s="32" t="str">
        <x:v>Cloud Billing
FinOps hub
Recommender</x:v>
      </x:c>
      <x:c r="R19" s="32" t="n">
        <x:f>'Provider Ratings'!AD19</x:f>
        <x:v>3.73</x:v>
      </x:c>
      <x:c r="S19" s="32" t="n">
        <x:f>'Provider Ratings'!AE19</x:f>
        <x:v>3.8</x:v>
      </x:c>
      <x:c r="T19" s="32" t="n">
        <x:f>'Provider Ratings'!AF19</x:f>
        <x:v>3.74</x:v>
      </x:c>
      <x:c r="U19" s="32" t="str">
        <x:f>'Provider Ratings'!AG19</x:f>
        <x:v>Context-dependent tie</x:v>
      </x:c>
      <x:c r="V19" s="32" t="str">
        <x:f>'Provider Ratings'!AH19</x:f>
        <x:v>Scores are close: use ecosystem, data gravity, region, skills, commercials and proof-of-value results to decide.</x:v>
      </x:c>
      <x:c r="W19" s="32" t="str">
        <x:v>Close</x:v>
      </x:c>
      <x:c r="X19" s="32"/>
      <x:c r="Y19" s="32" t="str">
        <x:v>2026-07-12</x:v>
      </x:c>
    </x:row>
    <x:row r="20">
      <x:c r="A20" s="32" t="str">
        <x:v>01 Strategy, Governance &amp; FinOps</x:v>
      </x:c>
      <x:c r="B20" s="32" t="str">
        <x:v>FinOps &amp; Commercial</x:v>
      </x:c>
      <x:c r="C20" s="32" t="str">
        <x:v>FinOps, Cost &amp; Sustainability</x:v>
      </x:c>
      <x:c r="D20" s="32" t="str">
        <x:v>Workload</x:v>
      </x:c>
      <x:c r="E20" s="32" t="str">
        <x:v>Budgets</x:v>
      </x:c>
      <x:c r="F20" s="32" t="str">
        <x:v>Cloud budgets and alerts</x:v>
      </x:c>
      <x:c r="G20" s="32" t="str">
        <x:v>Set budgets, thresholds and alerts for cloud expenditure.</x:v>
      </x:c>
      <x:c r="H20" s="32" t="str">
        <x:v>Choose this capability when you need to set budgets, thresholds and alerts for cloud expenditure.</x:v>
      </x:c>
      <x:c r="I20" s="32" t="str">
        <x:v>What business outcome, scale, control, integration and operating model justify choosing cloud budgets and alerts?</x:v>
      </x:c>
      <x:c r="J20" s="32" t="str">
        <x:v>Native integration and speed versus portability, governance effort and total cost.</x:v>
      </x:c>
      <x:c r="K20" s="32" t="n">
        <x:v>4</x:v>
      </x:c>
      <x:c r="L20" s="32" t="str">
        <x:v>Easy</x:v>
      </x:c>
      <x:c r="M20" s="32" t="str">
        <x:v>1–3 days</x:v>
      </x:c>
      <x:c r="N20" s="32" t="str">
        <x:v>Medium</x:v>
      </x:c>
      <x:c r="O20" s="32" t="str">
        <x:v>AWS Budgets</x:v>
      </x:c>
      <x:c r="P20" s="32" t="str">
        <x:v>Microsoft Cost Management budgets</x:v>
      </x:c>
      <x:c r="Q20" s="32" t="str">
        <x:v>Cloud Billing budgets and alerts</x:v>
      </x:c>
      <x:c r="R20" s="32" t="n">
        <x:f>'Provider Ratings'!AD20</x:f>
        <x:v>4.09</x:v>
      </x:c>
      <x:c r="S20" s="32" t="n">
        <x:f>'Provider Ratings'!AE20</x:f>
        <x:v>4.15</x:v>
      </x:c>
      <x:c r="T20" s="32" t="n">
        <x:f>'Provider Ratings'!AF20</x:f>
        <x:v>4.11</x:v>
      </x:c>
      <x:c r="U20" s="32" t="str">
        <x:f>'Provider Ratings'!AG20</x:f>
        <x:v>Context-dependent tie</x:v>
      </x:c>
      <x:c r="V20" s="32" t="str">
        <x:f>'Provider Ratings'!AH20</x:f>
        <x:v>Scores are close: use ecosystem, data gravity, region, skills, commercials and proof-of-value results to decide.</x:v>
      </x:c>
      <x:c r="W20" s="32" t="str">
        <x:v>Exact</x:v>
      </x:c>
      <x:c r="X20" s="32"/>
      <x:c r="Y20" s="32" t="str">
        <x:v>2026-07-12</x:v>
      </x:c>
    </x:row>
    <x:row r="21">
      <x:c r="A21" s="32" t="str">
        <x:v>01 Strategy, Governance &amp; FinOps</x:v>
      </x:c>
      <x:c r="B21" s="32" t="str">
        <x:v>FinOps &amp; Commercial</x:v>
      </x:c>
      <x:c r="C21" s="32" t="str">
        <x:v>FinOps, Cost &amp; Sustainability</x:v>
      </x:c>
      <x:c r="D21" s="32" t="str">
        <x:v>Workload</x:v>
      </x:c>
      <x:c r="E21" s="32" t="str">
        <x:v>Billing allocation</x:v>
      </x:c>
      <x:c r="F21" s="32" t="str">
        <x:v>Custom billing and chargeback</x:v>
      </x:c>
      <x:c r="G21" s="32" t="str">
        <x:v>Allocate, group and charge back cloud costs to internal entities.</x:v>
      </x:c>
      <x:c r="H21" s="32" t="str">
        <x:v>Choose this capability when you need to allocate, group and charge back cloud costs to internal entities.</x:v>
      </x:c>
      <x:c r="I21" s="32" t="str">
        <x:v>What business outcome, scale, control, integration and operating model justify choosing custom billing and chargeback?</x:v>
      </x:c>
      <x:c r="J21" s="32" t="str">
        <x:v>Native integration and speed versus portability, governance effort and total cost.</x:v>
      </x:c>
      <x:c r="K21" s="32" t="n">
        <x:v>3</x:v>
      </x:c>
      <x:c r="L21" s="32" t="str">
        <x:v>Moderate</x:v>
      </x:c>
      <x:c r="M21" s="32" t="str">
        <x:v>1–3 weeks</x:v>
      </x:c>
      <x:c r="N21" s="32" t="str">
        <x:v>Medium</x:v>
      </x:c>
      <x:c r="O21" s="32" t="str">
        <x:v>AWS Billing Conductor
AWS Cost and Usage Report</x:v>
      </x:c>
      <x:c r="P21" s="32" t="str">
        <x:v>Microsoft Cost Management exports
Cost allocation rules</x:v>
      </x:c>
      <x:c r="Q21" s="32" t="str">
        <x:v>Cloud Billing export
Billing account structure</x:v>
      </x:c>
      <x:c r="R21" s="32" t="n">
        <x:f>'Provider Ratings'!AD21</x:f>
        <x:v>3.73</x:v>
      </x:c>
      <x:c r="S21" s="32" t="n">
        <x:f>'Provider Ratings'!AE21</x:f>
        <x:v>3.8</x:v>
      </x:c>
      <x:c r="T21" s="32" t="n">
        <x:f>'Provider Ratings'!AF21</x:f>
        <x:v>3.74</x:v>
      </x:c>
      <x:c r="U21" s="32" t="str">
        <x:f>'Provider Ratings'!AG21</x:f>
        <x:v>Context-dependent tie</x:v>
      </x:c>
      <x:c r="V21" s="32" t="str">
        <x:f>'Provider Ratings'!AH21</x:f>
        <x:v>Scores are close: use ecosystem, data gravity, region, skills, commercials and proof-of-value results to decide.</x:v>
      </x:c>
      <x:c r="W21" s="32" t="str">
        <x:v>Close</x:v>
      </x:c>
      <x:c r="X21" s="32"/>
      <x:c r="Y21" s="32" t="str">
        <x:v>2026-07-12</x:v>
      </x:c>
    </x:row>
    <x:row r="22">
      <x:c r="A22" s="32" t="str">
        <x:v>01 Strategy, Governance &amp; FinOps</x:v>
      </x:c>
      <x:c r="B22" s="32" t="str">
        <x:v>FinOps &amp; Commercial</x:v>
      </x:c>
      <x:c r="C22" s="32" t="str">
        <x:v>FinOps, Cost &amp; Sustainability</x:v>
      </x:c>
      <x:c r="D22" s="32" t="str">
        <x:v>Workload</x:v>
      </x:c>
      <x:c r="E22" s="32" t="str">
        <x:v>Commitment discounts</x:v>
      </x:c>
      <x:c r="F22" s="32" t="str">
        <x:v>Committed-use savings</x:v>
      </x:c>
      <x:c r="G22" s="32" t="str">
        <x:v>Reduce eligible compute costs through term-based usage commitments.</x:v>
      </x:c>
      <x:c r="H22" s="32" t="str">
        <x:v>Choose this capability when you need to reduce eligible compute costs through term-based usage commitments.</x:v>
      </x:c>
      <x:c r="I22" s="32" t="str">
        <x:v>What business outcome, scale, control, integration and operating model justify choosing committed-use savings?</x:v>
      </x:c>
      <x:c r="J22" s="32" t="str">
        <x:v>Native integration and speed versus portability, governance effort and total cost.</x:v>
      </x:c>
      <x:c r="K22" s="32" t="n">
        <x:v>3</x:v>
      </x:c>
      <x:c r="L22" s="32" t="str">
        <x:v>Moderate</x:v>
      </x:c>
      <x:c r="M22" s="32" t="str">
        <x:v>1–3 weeks</x:v>
      </x:c>
      <x:c r="N22" s="32" t="str">
        <x:v>Medium</x:v>
      </x:c>
      <x:c r="O22" s="32" t="str">
        <x:v>AWS Savings Plans
Reserved Instances</x:v>
      </x:c>
      <x:c r="P22" s="32" t="str">
        <x:v>Azure Reservations
Azure savings plan for compute</x:v>
      </x:c>
      <x:c r="Q22" s="32" t="str">
        <x:v>Committed Use Discounts</x:v>
      </x:c>
      <x:c r="R22" s="32" t="n">
        <x:f>'Provider Ratings'!AD22</x:f>
        <x:v>3.78</x:v>
      </x:c>
      <x:c r="S22" s="32" t="n">
        <x:f>'Provider Ratings'!AE22</x:f>
        <x:v>3.85</x:v>
      </x:c>
      <x:c r="T22" s="32" t="n">
        <x:f>'Provider Ratings'!AF22</x:f>
        <x:v>3.91</x:v>
      </x:c>
      <x:c r="U22" s="32" t="str">
        <x:f>'Provider Ratings'!AG22</x:f>
        <x:v>Context-dependent tie</x:v>
      </x:c>
      <x:c r="V22" s="32" t="str">
        <x:f>'Provider Ratings'!AH22</x:f>
        <x:v>Scores are close: use ecosystem, data gravity, region, skills, commercials and proof-of-value results to decide.</x:v>
      </x:c>
      <x:c r="W22" s="32" t="str">
        <x:v>Exact</x:v>
      </x:c>
      <x:c r="X22" s="32"/>
      <x:c r="Y22" s="32" t="str">
        <x:v>2026-07-12</x:v>
      </x:c>
    </x:row>
    <x:row r="23">
      <x:c r="A23" s="32" t="str">
        <x:v>01 Strategy, Governance &amp; FinOps</x:v>
      </x:c>
      <x:c r="B23" s="32" t="str">
        <x:v>FinOps &amp; Commercial</x:v>
      </x:c>
      <x:c r="C23" s="32" t="str">
        <x:v>FinOps, Cost &amp; Sustainability</x:v>
      </x:c>
      <x:c r="D23" s="32" t="str">
        <x:v>Workload</x:v>
      </x:c>
      <x:c r="E23" s="32" t="str">
        <x:v>Sustainability</x:v>
      </x:c>
      <x:c r="F23" s="32" t="str">
        <x:v>Cloud carbon reporting</x:v>
      </x:c>
      <x:c r="G23" s="32" t="str">
        <x:v>Estimate carbon emissions associated with cloud usage.</x:v>
      </x:c>
      <x:c r="H23" s="32" t="str">
        <x:v>Choose this capability when you need to estimate carbon emissions associated with cloud usage.</x:v>
      </x:c>
      <x:c r="I23" s="32" t="str">
        <x:v>What business outcome, scale, control, integration and operating model justify choosing cloud carbon reporting?</x:v>
      </x:c>
      <x:c r="J23" s="32" t="str">
        <x:v>Native integration and speed versus portability, governance effort and total cost.</x:v>
      </x:c>
      <x:c r="K23" s="32" t="n">
        <x:v>3</x:v>
      </x:c>
      <x:c r="L23" s="32" t="str">
        <x:v>Moderate</x:v>
      </x:c>
      <x:c r="M23" s="32" t="str">
        <x:v>1–3 weeks</x:v>
      </x:c>
      <x:c r="N23" s="32" t="str">
        <x:v>Medium</x:v>
      </x:c>
      <x:c r="O23" s="32" t="str">
        <x:v>AWS Customer Carbon Footprint Tool</x:v>
      </x:c>
      <x:c r="P23" s="32" t="str">
        <x:v>Microsoft Emissions Impact Dashboard</x:v>
      </x:c>
      <x:c r="Q23" s="32" t="str">
        <x:v>Carbon Footprint</x:v>
      </x:c>
      <x:c r="R23" s="32" t="n">
        <x:f>'Provider Ratings'!AD23</x:f>
        <x:v>3.82</x:v>
      </x:c>
      <x:c r="S23" s="32" t="n">
        <x:f>'Provider Ratings'!AE23</x:f>
        <x:v>3.89</x:v>
      </x:c>
      <x:c r="T23" s="32" t="n">
        <x:f>'Provider Ratings'!AF23</x:f>
        <x:v>3.84</x:v>
      </x:c>
      <x:c r="U23" s="32" t="str">
        <x:f>'Provider Ratings'!AG23</x:f>
        <x:v>Context-dependent tie</x:v>
      </x:c>
      <x:c r="V23" s="32" t="str">
        <x:f>'Provider Ratings'!AH23</x:f>
        <x:v>Scores are close: use ecosystem, data gravity, region, skills, commercials and proof-of-value results to decide.</x:v>
      </x:c>
      <x:c r="W23" s="32" t="str">
        <x:v>Close</x:v>
      </x:c>
      <x:c r="X23" s="32"/>
      <x:c r="Y23" s="32" t="str">
        <x:v>2026-07-12</x:v>
      </x:c>
    </x:row>
    <x:row r="24">
      <x:c r="A24" s="32" t="str">
        <x:v>07 AI &amp; Intelligent Systems</x:v>
      </x:c>
      <x:c r="B24" s="32" t="str">
        <x:v>AI &amp; Machine Learning</x:v>
      </x:c>
      <x:c r="C24" s="32" t="str">
        <x:v>Industry &amp; Applied AI</x:v>
      </x:c>
      <x:c r="D24" s="32" t="str">
        <x:v>Platform</x:v>
      </x:c>
      <x:c r="E24" s="32" t="str">
        <x:v>AI platform</x:v>
      </x:c>
      <x:c r="F24" s="32" t="str">
        <x:v>Unified AI/ML platform</x:v>
      </x:c>
      <x:c r="G24" s="32" t="str">
        <x:v>Develop, train, govern, deploy and operate machine-learning and generative-AI solutions.</x:v>
      </x:c>
      <x:c r="H24" s="32" t="str">
        <x:v>Choose this capability when you need to develop, train, govern, deploy and operate machine-learning and generative-ai solutions.</x:v>
      </x:c>
      <x:c r="I24" s="32" t="str">
        <x:v>What business outcome, scale, control, integration and operating model justify choosing unified ai/ml platform?</x:v>
      </x:c>
      <x:c r="J24" s="32" t="str">
        <x:v>Managed speed and native integration versus model portability, transparency and control.</x:v>
      </x:c>
      <x:c r="K24" s="32" t="n">
        <x:v>3</x:v>
      </x:c>
      <x:c r="L24" s="32" t="str">
        <x:v>Moderate</x:v>
      </x:c>
      <x:c r="M24" s="32" t="str">
        <x:v>1–3 weeks</x:v>
      </x:c>
      <x:c r="N24" s="32" t="str">
        <x:v>Medium</x:v>
      </x:c>
      <x:c r="O24" s="32" t="str">
        <x:v>Amazon SageMaker AI</x:v>
      </x:c>
      <x:c r="P24" s="32" t="str">
        <x:v>Azure Machine Learning
Microsoft Foundry</x:v>
      </x:c>
      <x:c r="Q24" s="32" t="str">
        <x:v>Vertex AI
Gemini Enterprise Agent Platform</x:v>
      </x:c>
      <x:c r="R24" s="32" t="n">
        <x:f>'Provider Ratings'!AD24</x:f>
        <x:v>3.88</x:v>
      </x:c>
      <x:c r="S24" s="32" t="n">
        <x:f>'Provider Ratings'!AE24</x:f>
        <x:v>3.84</x:v>
      </x:c>
      <x:c r="T24" s="32" t="n">
        <x:f>'Provider Ratings'!AF24</x:f>
        <x:v>4.09</x:v>
      </x:c>
      <x:c r="U24" s="32" t="str">
        <x:f>'Provider Ratings'!AG24</x:f>
        <x:v>GCP</x:v>
      </x:c>
      <x:c r="V24" s="32" t="str">
        <x:f>'Provider Ratings'!AH24</x:f>
        <x:v>Start with Google Cloud when data, AI, Kubernetes, network or managed developer experience is the main differentiator.</x:v>
      </x:c>
      <x:c r="W24" s="32" t="str">
        <x:v>Close</x:v>
      </x:c>
      <x:c r="X24" s="32"/>
      <x:c r="Y24" s="32" t="str">
        <x:v>2026-07-12</x:v>
      </x:c>
    </x:row>
    <x:row r="25">
      <x:c r="A25" s="32" t="str">
        <x:v>07 AI &amp; Intelligent Systems</x:v>
      </x:c>
      <x:c r="B25" s="32" t="str">
        <x:v>AI &amp; Machine Learning</x:v>
      </x:c>
      <x:c r="C25" s="32" t="str">
        <x:v>Responsible AI, Safety &amp; Governance</x:v>
      </x:c>
      <x:c r="D25" s="32" t="str">
        <x:v>Workload</x:v>
      </x:c>
      <x:c r="E25" s="32" t="str">
        <x:v>AI governance</x:v>
      </x:c>
      <x:c r="F25" s="32" t="str">
        <x:v>AI governance and control plane</x:v>
      </x:c>
      <x:c r="G25" s="32" t="str">
        <x:v>Inventory AI assets, apply policies, assess risk and oversee AI across its lifecycle.</x:v>
      </x:c>
      <x:c r="H25" s="32" t="str">
        <x:v>Choose this capability when you need to inventory ai assets, apply policies, assess risk and oversee ai across its lifecycle.</x:v>
      </x:c>
      <x:c r="I25" s="32" t="str">
        <x:v>Which risks, policies, evaluations, audit evidence and human controls must be enforced?</x:v>
      </x:c>
      <x:c r="J25" s="32" t="str">
        <x:v>Managed speed and native integration versus model portability, transparency and control.</x:v>
      </x:c>
      <x:c r="K25" s="32" t="n">
        <x:v>2</x:v>
      </x:c>
      <x:c r="L25" s="32" t="str">
        <x:v>Advanced</x:v>
      </x:c>
      <x:c r="M25" s="32" t="str">
        <x:v>3–8 weeks</x:v>
      </x:c>
      <x:c r="N25" s="32" t="str">
        <x:v>Medium</x:v>
      </x:c>
      <x:c r="O25" s="32" t="str">
        <x:v>Amazon SageMaker Model Cards
Amazon SageMaker Model Dashboard
AWS Audit Manager</x:v>
      </x:c>
      <x:c r="P25" s="32" t="str">
        <x:v>Microsoft Foundry Control Plane
Microsoft Purview
Azure Machine Learning responsible AI</x:v>
      </x:c>
      <x:c r="Q25" s="32" t="str">
        <x:v>Vertex AI Model Registry
Model Monitoring
Dataplex Universal Catalog</x:v>
      </x:c>
      <x:c r="R25" s="32" t="n">
        <x:f>'Provider Ratings'!AD25</x:f>
        <x:v>3.43</x:v>
      </x:c>
      <x:c r="S25" s="32" t="n">
        <x:f>'Provider Ratings'!AE25</x:f>
        <x:v>3.53</x:v>
      </x:c>
      <x:c r="T25" s="32" t="n">
        <x:f>'Provider Ratings'!AF25</x:f>
        <x:v>3.47</x:v>
      </x:c>
      <x:c r="U25" s="32" t="str">
        <x:f>'Provider Ratings'!AG25</x:f>
        <x:v>Context-dependent tie</x:v>
      </x:c>
      <x:c r="V25" s="32" t="str">
        <x:f>'Provider Ratings'!AH25</x:f>
        <x:v>Scores are close: use ecosystem, data gravity, region, skills, commercials and proof-of-value results to decide.</x:v>
      </x:c>
      <x:c r="W25" s="32" t="str">
        <x:v>Partial</x:v>
      </x:c>
      <x:c r="X25" s="32" t="str">
        <x:v>AI governance is a control set rather than one perfectly equivalent product.</x:v>
      </x:c>
      <x:c r="Y25" s="32" t="str">
        <x:v>2026-07-12</x:v>
      </x:c>
    </x:row>
    <x:row r="26">
      <x:c r="A26" s="32" t="str">
        <x:v>07 AI &amp; Intelligent Systems</x:v>
      </x:c>
      <x:c r="B26" s="32" t="str">
        <x:v>AI &amp; Machine Learning</x:v>
      </x:c>
      <x:c r="C26" s="32" t="str">
        <x:v>Responsible AI, Safety &amp; Governance</x:v>
      </x:c>
      <x:c r="D26" s="32" t="str">
        <x:v>Workload</x:v>
      </x:c>
      <x:c r="E26" s="32" t="str">
        <x:v>Responsible AI</x:v>
      </x:c>
      <x:c r="F26" s="32" t="str">
        <x:v>Responsible-AI assessment</x:v>
      </x:c>
      <x:c r="G26" s="32" t="str">
        <x:v>Evaluate fairness, explainability, errors and model behaviour before and after deployment.</x:v>
      </x:c>
      <x:c r="H26" s="32" t="str">
        <x:v>Choose this capability when you need to evaluate fairness, explainability, errors and model behaviour before and after deployment.</x:v>
      </x:c>
      <x:c r="I26" s="32" t="str">
        <x:v>Which risks, policies, evaluations, audit evidence and human controls must be enforced?</x:v>
      </x:c>
      <x:c r="J26" s="32" t="str">
        <x:v>Managed speed and native integration versus model portability, transparency and control.</x:v>
      </x:c>
      <x:c r="K26" s="32" t="n">
        <x:v>3</x:v>
      </x:c>
      <x:c r="L26" s="32" t="str">
        <x:v>Moderate</x:v>
      </x:c>
      <x:c r="M26" s="32" t="str">
        <x:v>1–3 weeks</x:v>
      </x:c>
      <x:c r="N26" s="32" t="str">
        <x:v>Medium</x:v>
      </x:c>
      <x:c r="O26" s="32" t="str">
        <x:v>SageMaker Clarify
SageMaker Model Cards</x:v>
      </x:c>
      <x:c r="P26" s="32" t="str">
        <x:v>Azure Machine Learning Responsible AI dashboard
Foundry evaluations</x:v>
      </x:c>
      <x:c r="Q26" s="32" t="str">
        <x:v>Vertex Explainable AI
Vertex AI Evaluation</x:v>
      </x:c>
      <x:c r="R26" s="32" t="n">
        <x:f>'Provider Ratings'!AD26</x:f>
        <x:v>3.8</x:v>
      </x:c>
      <x:c r="S26" s="32" t="n">
        <x:f>'Provider Ratings'!AE26</x:f>
        <x:v>3.92</x:v>
      </x:c>
      <x:c r="T26" s="32" t="n">
        <x:f>'Provider Ratings'!AF26</x:f>
        <x:v>3.85</x:v>
      </x:c>
      <x:c r="U26" s="32" t="str">
        <x:f>'Provider Ratings'!AG26</x:f>
        <x:v>Context-dependent tie</x:v>
      </x:c>
      <x:c r="V26" s="32" t="str">
        <x:f>'Provider Ratings'!AH26</x:f>
        <x:v>Scores are close: use ecosystem, data gravity, region, skills, commercials and proof-of-value results to decide.</x:v>
      </x:c>
      <x:c r="W26" s="32" t="str">
        <x:v>Close</x:v>
      </x:c>
      <x:c r="X26" s="32"/>
      <x:c r="Y26" s="32" t="str">
        <x:v>2026-07-12</x:v>
      </x:c>
    </x:row>
    <x:row r="27">
      <x:c r="A27" s="32" t="str">
        <x:v>07 AI &amp; Intelligent Systems</x:v>
      </x:c>
      <x:c r="B27" s="32" t="str">
        <x:v>AI &amp; Machine Learning</x:v>
      </x:c>
      <x:c r="C27" s="32" t="str">
        <x:v>Responsible AI, Safety &amp; Governance</x:v>
      </x:c>
      <x:c r="D27" s="32" t="str">
        <x:v>Workload</x:v>
      </x:c>
      <x:c r="E27" s="32" t="str">
        <x:v>AI security</x:v>
      </x:c>
      <x:c r="F27" s="32" t="str">
        <x:v>AI security posture management</x:v>
      </x:c>
      <x:c r="G27" s="32" t="str">
        <x:v>Discover AI workloads, identify risks and monitor threats affecting AI systems.</x:v>
      </x:c>
      <x:c r="H27" s="32" t="str">
        <x:v>Choose this capability when you need to discover ai workloads, identify risks and monitor threats affecting ai systems.</x:v>
      </x:c>
      <x:c r="I27" s="32" t="str">
        <x:v>Which risks, policies, evaluations, audit evidence and human controls must be enforced?</x:v>
      </x:c>
      <x:c r="J27" s="32" t="str">
        <x:v>Managed speed and native integration versus model portability, transparency and control.</x:v>
      </x:c>
      <x:c r="K27" s="32" t="n">
        <x:v>3</x:v>
      </x:c>
      <x:c r="L27" s="32" t="str">
        <x:v>Moderate</x:v>
      </x:c>
      <x:c r="M27" s="32" t="str">
        <x:v>1–3 weeks</x:v>
      </x:c>
      <x:c r="N27" s="32" t="str">
        <x:v>Medium</x:v>
      </x:c>
      <x:c r="O27" s="32" t="str">
        <x:v>Amazon GuardDuty
AWS Security Hub
Amazon Inspector</x:v>
      </x:c>
      <x:c r="P27" s="32" t="str">
        <x:v>Microsoft Defender for Cloud AI security posture management
Microsoft Security Copilot</x:v>
      </x:c>
      <x:c r="Q27" s="32" t="str">
        <x:v>Security Command Center AI Protection
Model Armor</x:v>
      </x:c>
      <x:c r="R27" s="32" t="n">
        <x:f>'Provider Ratings'!AD27</x:f>
        <x:v>3.63</x:v>
      </x:c>
      <x:c r="S27" s="32" t="n">
        <x:f>'Provider Ratings'!AE27</x:f>
        <x:v>3.79</x:v>
      </x:c>
      <x:c r="T27" s="32" t="n">
        <x:f>'Provider Ratings'!AF27</x:f>
        <x:v>3.68</x:v>
      </x:c>
      <x:c r="U27" s="32" t="str">
        <x:f>'Provider Ratings'!AG27</x:f>
        <x:v>Context-dependent tie</x:v>
      </x:c>
      <x:c r="V27" s="32" t="str">
        <x:f>'Provider Ratings'!AH27</x:f>
        <x:v>Scores are close: use ecosystem, data gravity, region, skills, commercials and proof-of-value results to decide.</x:v>
      </x:c>
      <x:c r="W27" s="32" t="str">
        <x:v>Partial</x:v>
      </x:c>
      <x:c r="X27" s="32"/>
      <x:c r="Y27" s="32" t="str">
        <x:v>2026-07-12</x:v>
      </x:c>
    </x:row>
    <x:row r="28">
      <x:c r="A28" s="32" t="str">
        <x:v>07 AI &amp; Intelligent Systems</x:v>
      </x:c>
      <x:c r="B28" s="32" t="str">
        <x:v>AI &amp; Machine Learning</x:v>
      </x:c>
      <x:c r="C28" s="32" t="str">
        <x:v>Responsible AI, Safety &amp; Governance</x:v>
      </x:c>
      <x:c r="D28" s="32" t="str">
        <x:v>Workload</x:v>
      </x:c>
      <x:c r="E28" s="32" t="str">
        <x:v>AI safety</x:v>
      </x:c>
      <x:c r="F28" s="32" t="str">
        <x:v>Generative-AI guardrails</x:v>
      </x:c>
      <x:c r="G28" s="32" t="str">
        <x:v>Apply safety policies, topic controls, grounding checks and content filters to model interactions.</x:v>
      </x:c>
      <x:c r="H28" s="32" t="str">
        <x:v>Choose this capability when you need to apply safety policies, topic controls, grounding checks and content filters to model interactions.</x:v>
      </x:c>
      <x:c r="I28" s="32" t="str">
        <x:v>Which risks, policies, evaluations, audit evidence and human controls must be enforced?</x:v>
      </x:c>
      <x:c r="J28" s="32" t="str">
        <x:v>Managed speed and native integration versus model portability, transparency and control.</x:v>
      </x:c>
      <x:c r="K28" s="32" t="n">
        <x:v>3</x:v>
      </x:c>
      <x:c r="L28" s="32" t="str">
        <x:v>Moderate</x:v>
      </x:c>
      <x:c r="M28" s="32" t="str">
        <x:v>1–3 weeks</x:v>
      </x:c>
      <x:c r="N28" s="32" t="str">
        <x:v>Medium</x:v>
      </x:c>
      <x:c r="O28" s="32" t="str">
        <x:v>Guardrails for Amazon Bedrock</x:v>
      </x:c>
      <x:c r="P28" s="32" t="str">
        <x:v>Azure AI Content Safety
Foundry guardrails</x:v>
      </x:c>
      <x:c r="Q28" s="32" t="str">
        <x:v>Model Armor
Vertex AI safety filters</x:v>
      </x:c>
      <x:c r="R28" s="32" t="n">
        <x:f>'Provider Ratings'!AD28</x:f>
        <x:v>3.88</x:v>
      </x:c>
      <x:c r="S28" s="32" t="n">
        <x:f>'Provider Ratings'!AE28</x:f>
        <x:v>3.92</x:v>
      </x:c>
      <x:c r="T28" s="32" t="n">
        <x:f>'Provider Ratings'!AF28</x:f>
        <x:v>3.85</x:v>
      </x:c>
      <x:c r="U28" s="32" t="str">
        <x:f>'Provider Ratings'!AG28</x:f>
        <x:v>Context-dependent tie</x:v>
      </x:c>
      <x:c r="V28" s="32" t="str">
        <x:f>'Provider Ratings'!AH28</x:f>
        <x:v>Scores are close: use ecosystem, data gravity, region, skills, commercials and proof-of-value results to decide.</x:v>
      </x:c>
      <x:c r="W28" s="32" t="str">
        <x:v>Close</x:v>
      </x:c>
      <x:c r="X28" s="32"/>
      <x:c r="Y28" s="32" t="str">
        <x:v>2026-07-12</x:v>
      </x:c>
    </x:row>
    <x:row r="29">
      <x:c r="A29" s="32" t="str">
        <x:v>07 AI &amp; Intelligent Systems</x:v>
      </x:c>
      <x:c r="B29" s="32" t="str">
        <x:v>AI &amp; Machine Learning</x:v>
      </x:c>
      <x:c r="C29" s="32" t="str">
        <x:v>Responsible AI, Safety &amp; Governance</x:v>
      </x:c>
      <x:c r="D29" s="32" t="str">
        <x:v>Workload</x:v>
      </x:c>
      <x:c r="E29" s="32" t="str">
        <x:v>AI safety</x:v>
      </x:c>
      <x:c r="F29" s="32" t="str">
        <x:v>Prompt-injection protection</x:v>
      </x:c>
      <x:c r="G29" s="32" t="str">
        <x:v>Detect and mitigate malicious instructions, jailbreaks and unsafe prompt patterns.</x:v>
      </x:c>
      <x:c r="H29" s="32" t="str">
        <x:v>Choose this capability when you need to detect and mitigate malicious instructions, jailbreaks and unsafe prompt patterns.</x:v>
      </x:c>
      <x:c r="I29" s="32" t="str">
        <x:v>Which risks, policies, evaluations, audit evidence and human controls must be enforced?</x:v>
      </x:c>
      <x:c r="J29" s="32" t="str">
        <x:v>Managed speed and native integration versus model portability, transparency and control.</x:v>
      </x:c>
      <x:c r="K29" s="32" t="n">
        <x:v>3</x:v>
      </x:c>
      <x:c r="L29" s="32" t="str">
        <x:v>Moderate</x:v>
      </x:c>
      <x:c r="M29" s="32" t="str">
        <x:v>1–3 weeks</x:v>
      </x:c>
      <x:c r="N29" s="32" t="str">
        <x:v>Medium</x:v>
      </x:c>
      <x:c r="O29" s="32" t="str">
        <x:v>Guardrails for Amazon Bedrock</x:v>
      </x:c>
      <x:c r="P29" s="32" t="str">
        <x:v>Prompt Shields in Azure AI Content Safety</x:v>
      </x:c>
      <x:c r="Q29" s="32" t="str">
        <x:v>Model Armor</x:v>
      </x:c>
      <x:c r="R29" s="32" t="n">
        <x:f>'Provider Ratings'!AD29</x:f>
        <x:v>3.88</x:v>
      </x:c>
      <x:c r="S29" s="32" t="n">
        <x:f>'Provider Ratings'!AE29</x:f>
        <x:v>4.01</x:v>
      </x:c>
      <x:c r="T29" s="32" t="n">
        <x:f>'Provider Ratings'!AF29</x:f>
        <x:v>3.94</x:v>
      </x:c>
      <x:c r="U29" s="32" t="str">
        <x:f>'Provider Ratings'!AG29</x:f>
        <x:v>Context-dependent tie</x:v>
      </x:c>
      <x:c r="V29" s="32" t="str">
        <x:f>'Provider Ratings'!AH29</x:f>
        <x:v>Scores are close: use ecosystem, data gravity, region, skills, commercials and proof-of-value results to decide.</x:v>
      </x:c>
      <x:c r="W29" s="32" t="str">
        <x:v>Close</x:v>
      </x:c>
      <x:c r="X29" s="32"/>
      <x:c r="Y29" s="32" t="str">
        <x:v>2026-07-12</x:v>
      </x:c>
    </x:row>
    <x:row r="30">
      <x:c r="A30" s="32" t="str">
        <x:v>07 AI &amp; Intelligent Systems</x:v>
      </x:c>
      <x:c r="B30" s="32" t="str">
        <x:v>AI &amp; Machine Learning</x:v>
      </x:c>
      <x:c r="C30" s="32" t="str">
        <x:v>Responsible AI, Safety &amp; Governance</x:v>
      </x:c>
      <x:c r="D30" s="32" t="str">
        <x:v>Platform</x:v>
      </x:c>
      <x:c r="E30" s="32" t="str">
        <x:v>AI evaluation</x:v>
      </x:c>
      <x:c r="F30" s="32" t="str">
        <x:v>Foundation-model evaluation</x:v>
      </x:c>
      <x:c r="G30" s="32" t="str">
        <x:v>Measure quality, safety, groundedness and task performance of generative-AI systems.</x:v>
      </x:c>
      <x:c r="H30" s="32" t="str">
        <x:v>Choose this capability when you need to measure quality, safety, groundedness and task performance of generative-ai systems.</x:v>
      </x:c>
      <x:c r="I30" s="32" t="str">
        <x:v>Which risks, policies, evaluations, audit evidence and human controls must be enforced?</x:v>
      </x:c>
      <x:c r="J30" s="32" t="str">
        <x:v>Managed speed and native integration versus model portability, transparency and control.</x:v>
      </x:c>
      <x:c r="K30" s="32" t="n">
        <x:v>3</x:v>
      </x:c>
      <x:c r="L30" s="32" t="str">
        <x:v>Moderate</x:v>
      </x:c>
      <x:c r="M30" s="32" t="str">
        <x:v>1–3 weeks</x:v>
      </x:c>
      <x:c r="N30" s="32" t="str">
        <x:v>High</x:v>
      </x:c>
      <x:c r="O30" s="32" t="str">
        <x:v>Amazon Bedrock Evaluations
SageMaker Clarify</x:v>
      </x:c>
      <x:c r="P30" s="32" t="str">
        <x:v>Microsoft Foundry evaluations
Azure Machine Learning</x:v>
      </x:c>
      <x:c r="Q30" s="32" t="str">
        <x:v>Vertex AI Evaluation</x:v>
      </x:c>
      <x:c r="R30" s="32" t="n">
        <x:f>'Provider Ratings'!AD30</x:f>
        <x:v>3.79</x:v>
      </x:c>
      <x:c r="S30" s="32" t="n">
        <x:f>'Provider Ratings'!AE30</x:f>
        <x:v>3.88</x:v>
      </x:c>
      <x:c r="T30" s="32" t="n">
        <x:f>'Provider Ratings'!AF30</x:f>
        <x:v>3.9</x:v>
      </x:c>
      <x:c r="U30" s="32" t="str">
        <x:f>'Provider Ratings'!AG30</x:f>
        <x:v>Context-dependent tie</x:v>
      </x:c>
      <x:c r="V30" s="32" t="str">
        <x:f>'Provider Ratings'!AH30</x:f>
        <x:v>Scores are close: use ecosystem, data gravity, region, skills, commercials and proof-of-value results to decide.</x:v>
      </x:c>
      <x:c r="W30" s="32" t="str">
        <x:v>Close</x:v>
      </x:c>
      <x:c r="X30" s="32"/>
      <x:c r="Y30" s="32" t="str">
        <x:v>2026-07-12</x:v>
      </x:c>
    </x:row>
    <x:row r="31">
      <x:c r="A31" s="32" t="str">
        <x:v>07 AI &amp; Intelligent Systems</x:v>
      </x:c>
      <x:c r="B31" s="32" t="str">
        <x:v>AI &amp; Machine Learning</x:v>
      </x:c>
      <x:c r="C31" s="32" t="str">
        <x:v>Responsible AI, Safety &amp; Governance</x:v>
      </x:c>
      <x:c r="D31" s="32" t="str">
        <x:v>Workload</x:v>
      </x:c>
      <x:c r="E31" s="32" t="str">
        <x:v>AI observability</x:v>
      </x:c>
      <x:c r="F31" s="32" t="str">
        <x:v>AI application observability</x:v>
      </x:c>
      <x:c r="G31" s="32" t="str">
        <x:v>Trace prompts, agents, tools, latency, quality and token usage in AI applications.</x:v>
      </x:c>
      <x:c r="H31" s="32" t="str">
        <x:v>Choose this capability when you need to trace prompts, agents, tools, latency, quality and token usage in ai applications.</x:v>
      </x:c>
      <x:c r="I31" s="32" t="str">
        <x:v>Which risks, policies, evaluations, audit evidence and human controls must be enforced?</x:v>
      </x:c>
      <x:c r="J31" s="32" t="str">
        <x:v>Managed speed and native integration versus model portability, transparency and control.</x:v>
      </x:c>
      <x:c r="K31" s="32" t="n">
        <x:v>3</x:v>
      </x:c>
      <x:c r="L31" s="32" t="str">
        <x:v>Moderate</x:v>
      </x:c>
      <x:c r="M31" s="32" t="str">
        <x:v>1–3 weeks</x:v>
      </x:c>
      <x:c r="N31" s="32" t="str">
        <x:v>Medium</x:v>
      </x:c>
      <x:c r="O31" s="32" t="str">
        <x:v>Amazon Bedrock AgentCore Observability
Amazon CloudWatch</x:v>
      </x:c>
      <x:c r="P31" s="32" t="str">
        <x:v>Observability in Foundry Control Plane
Azure Monitor</x:v>
      </x:c>
      <x:c r="Q31" s="32" t="str">
        <x:v>Vertex AI Agent Engine observability
Cloud Trace
Cloud Monitoring</x:v>
      </x:c>
      <x:c r="R31" s="32" t="n">
        <x:f>'Provider Ratings'!AD31</x:f>
        <x:v>3.8</x:v>
      </x:c>
      <x:c r="S31" s="32" t="n">
        <x:f>'Provider Ratings'!AE31</x:f>
        <x:v>3.96</x:v>
      </x:c>
      <x:c r="T31" s="32" t="n">
        <x:f>'Provider Ratings'!AF31</x:f>
        <x:v>3.85</x:v>
      </x:c>
      <x:c r="U31" s="32" t="str">
        <x:f>'Provider Ratings'!AG31</x:f>
        <x:v>Context-dependent tie</x:v>
      </x:c>
      <x:c r="V31" s="32" t="str">
        <x:f>'Provider Ratings'!AH31</x:f>
        <x:v>Scores are close: use ecosystem, data gravity, region, skills, commercials and proof-of-value results to decide.</x:v>
      </x:c>
      <x:c r="W31" s="32" t="str">
        <x:v>Close</x:v>
      </x:c>
      <x:c r="X31" s="32"/>
      <x:c r="Y31" s="32" t="str">
        <x:v>2026-07-12</x:v>
      </x:c>
    </x:row>
    <x:row r="32">
      <x:c r="A32" s="32" t="str">
        <x:v>07 AI &amp; Intelligent Systems</x:v>
      </x:c>
      <x:c r="B32" s="32" t="str">
        <x:v>AI &amp; Machine Learning</x:v>
      </x:c>
      <x:c r="C32" s="32" t="str">
        <x:v>Foundation Models &amp; GenAI</x:v>
      </x:c>
      <x:c r="D32" s="32" t="str">
        <x:v>Platform</x:v>
      </x:c>
      <x:c r="E32" s="32" t="str">
        <x:v>Foundation models</x:v>
      </x:c>
      <x:c r="F32" s="32" t="str">
        <x:v>Managed foundation-model platform</x:v>
      </x:c>
      <x:c r="G32" s="32" t="str">
        <x:v>Access, customise and govern foundation models through managed APIs and tooling.</x:v>
      </x:c>
      <x:c r="H32" s="32" t="str">
        <x:v>Choose this capability when you need to access, customise and govern foundation models through managed apis and tooling.</x:v>
      </x:c>
      <x:c r="I32" s="32" t="str">
        <x:v>Do you need model choice, provider-native models, customisation, enterprise controls, or lowest operational effort?</x:v>
      </x:c>
      <x:c r="J32" s="32" t="str">
        <x:v>Managed speed and native integration versus model portability, transparency and control.</x:v>
      </x:c>
      <x:c r="K32" s="32" t="n">
        <x:v>3</x:v>
      </x:c>
      <x:c r="L32" s="32" t="str">
        <x:v>Moderate</x:v>
      </x:c>
      <x:c r="M32" s="32" t="str">
        <x:v>1–3 weeks</x:v>
      </x:c>
      <x:c r="N32" s="32" t="str">
        <x:v>High</x:v>
      </x:c>
      <x:c r="O32" s="32" t="str">
        <x:v>Amazon Bedrock</x:v>
      </x:c>
      <x:c r="P32" s="32" t="str">
        <x:v>Microsoft Foundry
Azure OpenAI in Foundry Models</x:v>
      </x:c>
      <x:c r="Q32" s="32" t="str">
        <x:v>Vertex AI</x:v>
      </x:c>
      <x:c r="R32" s="32" t="n">
        <x:f>'Provider Ratings'!AD32</x:f>
        <x:v>3.87</x:v>
      </x:c>
      <x:c r="S32" s="32" t="n">
        <x:f>'Provider Ratings'!AE32</x:f>
        <x:v>3.88</x:v>
      </x:c>
      <x:c r="T32" s="32" t="n">
        <x:f>'Provider Ratings'!AF32</x:f>
        <x:v>4.14</x:v>
      </x:c>
      <x:c r="U32" s="32" t="str">
        <x:f>'Provider Ratings'!AG32</x:f>
        <x:v>GCP</x:v>
      </x:c>
      <x:c r="V32" s="32" t="str">
        <x:f>'Provider Ratings'!AH32</x:f>
        <x:v>Start with Google Cloud when data, AI, Kubernetes, network or managed developer experience is the main differentiator.</x:v>
      </x:c>
      <x:c r="W32" s="32" t="str">
        <x:v>Close</x:v>
      </x:c>
      <x:c r="X32" s="32"/>
      <x:c r="Y32" s="32" t="str">
        <x:v>2026-07-12</x:v>
      </x:c>
    </x:row>
    <x:row r="33">
      <x:c r="A33" s="32" t="str">
        <x:v>07 AI &amp; Intelligent Systems</x:v>
      </x:c>
      <x:c r="B33" s="32" t="str">
        <x:v>AI &amp; Machine Learning</x:v>
      </x:c>
      <x:c r="C33" s="32" t="str">
        <x:v>Foundation Models &amp; GenAI</x:v>
      </x:c>
      <x:c r="D33" s="32" t="str">
        <x:v>Workload</x:v>
      </x:c>
      <x:c r="E33" s="32" t="str">
        <x:v>Foundation models</x:v>
      </x:c>
      <x:c r="F33" s="32" t="str">
        <x:v>Provider foundation models</x:v>
      </x:c>
      <x:c r="G33" s="32" t="str">
        <x:v>Cloud-provider-developed multimodal foundation-model family.</x:v>
      </x:c>
      <x:c r="H33" s="32" t="str">
        <x:v>Choose this capability when you need to cloud-provider-developed multimodal foundation-model family.</x:v>
      </x:c>
      <x:c r="I33" s="32" t="str">
        <x:v>Do you need model choice, provider-native models, customisation, enterprise controls, or lowest operational effort?</x:v>
      </x:c>
      <x:c r="J33" s="32" t="str">
        <x:v>Managed speed and native integration versus model portability, transparency and control.</x:v>
      </x:c>
      <x:c r="K33" s="32" t="n">
        <x:v>3</x:v>
      </x:c>
      <x:c r="L33" s="32" t="str">
        <x:v>Moderate</x:v>
      </x:c>
      <x:c r="M33" s="32" t="str">
        <x:v>1–3 weeks</x:v>
      </x:c>
      <x:c r="N33" s="32" t="str">
        <x:v>Medium</x:v>
      </x:c>
      <x:c r="O33" s="32" t="str">
        <x:v>Amazon Nova</x:v>
      </x:c>
      <x:c r="P33" s="32" t="str">
        <x:v>Phi models</x:v>
      </x:c>
      <x:c r="Q33" s="32" t="str">
        <x:v>Gemini models</x:v>
      </x:c>
      <x:c r="R33" s="32" t="n">
        <x:f>'Provider Ratings'!AD33</x:f>
        <x:v>3.91</x:v>
      </x:c>
      <x:c r="S33" s="32" t="n">
        <x:f>'Provider Ratings'!AE33</x:f>
        <x:v>4.01</x:v>
      </x:c>
      <x:c r="T33" s="32" t="n">
        <x:f>'Provider Ratings'!AF33</x:f>
        <x:v>4.18</x:v>
      </x:c>
      <x:c r="U33" s="32" t="str">
        <x:f>'Provider Ratings'!AG33</x:f>
        <x:v>GCP</x:v>
      </x:c>
      <x:c r="V33" s="32" t="str">
        <x:f>'Provider Ratings'!AH33</x:f>
        <x:v>Start with Google Cloud when data, AI, Kubernetes, network or managed developer experience is the main differentiator.</x:v>
      </x:c>
      <x:c r="W33" s="32" t="str">
        <x:v>Close</x:v>
      </x:c>
      <x:c r="X33" s="32"/>
      <x:c r="Y33" s="32" t="str">
        <x:v>2026-07-12</x:v>
      </x:c>
    </x:row>
    <x:row r="34">
      <x:c r="A34" s="32" t="str">
        <x:v>07 AI &amp; Intelligent Systems</x:v>
      </x:c>
      <x:c r="B34" s="32" t="str">
        <x:v>AI &amp; Machine Learning</x:v>
      </x:c>
      <x:c r="C34" s="32" t="str">
        <x:v>Foundation Models &amp; GenAI</x:v>
      </x:c>
      <x:c r="D34" s="32" t="str">
        <x:v>Platform</x:v>
      </x:c>
      <x:c r="E34" s="32" t="str">
        <x:v>Model catalogue</x:v>
      </x:c>
      <x:c r="F34" s="32" t="str">
        <x:v>Foundation-model catalogue</x:v>
      </x:c>
      <x:c r="G34" s="32" t="str">
        <x:v>Discover and deploy first-party and partner models from a managed catalogue.</x:v>
      </x:c>
      <x:c r="H34" s="32" t="str">
        <x:v>Choose this capability when you need to discover and deploy first-party and partner models from a managed catalogue.</x:v>
      </x:c>
      <x:c r="I34" s="32" t="str">
        <x:v>Do you need model choice, provider-native models, customisation, enterprise controls, or lowest operational effort?</x:v>
      </x:c>
      <x:c r="J34" s="32" t="str">
        <x:v>Managed speed and native integration versus model portability, transparency and control.</x:v>
      </x:c>
      <x:c r="K34" s="32" t="n">
        <x:v>3</x:v>
      </x:c>
      <x:c r="L34" s="32" t="str">
        <x:v>Moderate</x:v>
      </x:c>
      <x:c r="M34" s="32" t="str">
        <x:v>1–3 weeks</x:v>
      </x:c>
      <x:c r="N34" s="32" t="str">
        <x:v>High</x:v>
      </x:c>
      <x:c r="O34" s="32" t="str">
        <x:v>Amazon Bedrock model catalog
Amazon SageMaker JumpStart</x:v>
      </x:c>
      <x:c r="P34" s="32" t="str">
        <x:v>Foundry Models</x:v>
      </x:c>
      <x:c r="Q34" s="32" t="str">
        <x:v>Vertex AI Model Garden</x:v>
      </x:c>
      <x:c r="R34" s="32" t="n">
        <x:f>'Provider Ratings'!AD34</x:f>
        <x:v>3.79</x:v>
      </x:c>
      <x:c r="S34" s="32" t="n">
        <x:f>'Provider Ratings'!AE34</x:f>
        <x:v>3.97</x:v>
      </x:c>
      <x:c r="T34" s="32" t="n">
        <x:f>'Provider Ratings'!AF34</x:f>
        <x:v>4.14</x:v>
      </x:c>
      <x:c r="U34" s="32" t="str">
        <x:f>'Provider Ratings'!AG34</x:f>
        <x:v>GCP</x:v>
      </x:c>
      <x:c r="V34" s="32" t="str">
        <x:f>'Provider Ratings'!AH34</x:f>
        <x:v>Start with Google Cloud when data, AI, Kubernetes, network or managed developer experience is the main differentiator.</x:v>
      </x:c>
      <x:c r="W34" s="32" t="str">
        <x:v>Close</x:v>
      </x:c>
      <x:c r="X34" s="32"/>
      <x:c r="Y34" s="32" t="str">
        <x:v>2026-07-12</x:v>
      </x:c>
    </x:row>
    <x:row r="35">
      <x:c r="A35" s="32" t="str">
        <x:v>07 AI &amp; Intelligent Systems</x:v>
      </x:c>
      <x:c r="B35" s="32" t="str">
        <x:v>AI &amp; Machine Learning</x:v>
      </x:c>
      <x:c r="C35" s="32" t="str">
        <x:v>Agents, RAG &amp; Enterprise Search</x:v>
      </x:c>
      <x:c r="D35" s="32" t="str">
        <x:v>Platform</x:v>
      </x:c>
      <x:c r="E35" s="32" t="str">
        <x:v>Agents</x:v>
      </x:c>
      <x:c r="F35" s="32" t="str">
        <x:v>Managed AI agent platform</x:v>
      </x:c>
      <x:c r="G35" s="32" t="str">
        <x:v>Build, deploy and operate agents that reason, retrieve information and invoke tools.</x:v>
      </x:c>
      <x:c r="H35" s="32" t="str">
        <x:v>Choose this capability when you need to build, deploy and operate agents that reason, retrieve information and invoke tools.</x:v>
      </x:c>
      <x:c r="I35" s="32" t="str">
        <x:v>What must the system retrieve, reason over, call as tools, govern and observe?</x:v>
      </x:c>
      <x:c r="J35" s="32" t="str">
        <x:v>Managed speed and native integration versus model portability, transparency and control.</x:v>
      </x:c>
      <x:c r="K35" s="32" t="n">
        <x:v>3</x:v>
      </x:c>
      <x:c r="L35" s="32" t="str">
        <x:v>Moderate</x:v>
      </x:c>
      <x:c r="M35" s="32" t="str">
        <x:v>1–3 weeks</x:v>
      </x:c>
      <x:c r="N35" s="32" t="str">
        <x:v>Medium</x:v>
      </x:c>
      <x:c r="O35" s="32" t="str">
        <x:v>Agents for Amazon Bedrock
Amazon Bedrock AgentCore</x:v>
      </x:c>
      <x:c r="P35" s="32" t="str">
        <x:v>Foundry Agent Service</x:v>
      </x:c>
      <x:c r="Q35" s="32" t="str">
        <x:v>Vertex AI Agent Engine
Gemini Enterprise Agent Platform</x:v>
      </x:c>
      <x:c r="R35" s="32" t="n">
        <x:f>'Provider Ratings'!AD35</x:f>
        <x:v>3.8</x:v>
      </x:c>
      <x:c r="S35" s="32" t="n">
        <x:f>'Provider Ratings'!AE35</x:f>
        <x:v>3.93</x:v>
      </x:c>
      <x:c r="T35" s="32" t="n">
        <x:f>'Provider Ratings'!AF35</x:f>
        <x:v>3.98</x:v>
      </x:c>
      <x:c r="U35" s="32" t="str">
        <x:f>'Provider Ratings'!AG35</x:f>
        <x:v>Context-dependent tie</x:v>
      </x:c>
      <x:c r="V35" s="32" t="str">
        <x:f>'Provider Ratings'!AH35</x:f>
        <x:v>Scores are close: use ecosystem, data gravity, region, skills, commercials and proof-of-value results to decide.</x:v>
      </x:c>
      <x:c r="W35" s="32" t="str">
        <x:v>Close</x:v>
      </x:c>
      <x:c r="X35" s="32"/>
      <x:c r="Y35" s="32" t="str">
        <x:v>2026-07-12</x:v>
      </x:c>
    </x:row>
    <x:row r="36">
      <x:c r="A36" s="32" t="str">
        <x:v>07 AI &amp; Intelligent Systems</x:v>
      </x:c>
      <x:c r="B36" s="32" t="str">
        <x:v>AI &amp; Machine Learning</x:v>
      </x:c>
      <x:c r="C36" s="32" t="str">
        <x:v>Agents, RAG &amp; Enterprise Search</x:v>
      </x:c>
      <x:c r="D36" s="32" t="str">
        <x:v>Workload</x:v>
      </x:c>
      <x:c r="E36" s="32" t="str">
        <x:v>Agents</x:v>
      </x:c>
      <x:c r="F36" s="32" t="str">
        <x:v>Multi-agent orchestration</x:v>
      </x:c>
      <x:c r="G36" s="32" t="str">
        <x:v>Coordinate specialised AI agents, workflows and tools to complete complex tasks.</x:v>
      </x:c>
      <x:c r="H36" s="32" t="str">
        <x:v>Choose this capability when you need to coordinate specialised ai agents, workflows and tools to complete complex tasks.</x:v>
      </x:c>
      <x:c r="I36" s="32" t="str">
        <x:v>What must the system retrieve, reason over, call as tools, govern and observe?</x:v>
      </x:c>
      <x:c r="J36" s="32" t="str">
        <x:v>Managed speed and native integration versus model portability, transparency and control.</x:v>
      </x:c>
      <x:c r="K36" s="32" t="n">
        <x:v>2</x:v>
      </x:c>
      <x:c r="L36" s="32" t="str">
        <x:v>Advanced</x:v>
      </x:c>
      <x:c r="M36" s="32" t="str">
        <x:v>3–8 weeks</x:v>
      </x:c>
      <x:c r="N36" s="32" t="str">
        <x:v>Medium</x:v>
      </x:c>
      <x:c r="O36" s="32" t="str">
        <x:v>Amazon Bedrock multi-agent collaboration</x:v>
      </x:c>
      <x:c r="P36" s="32" t="str">
        <x:v>Foundry Agent Service</x:v>
      </x:c>
      <x:c r="Q36" s="32" t="str">
        <x:v>Agent Development Kit
Vertex AI Agent Engine</x:v>
      </x:c>
      <x:c r="R36" s="32" t="n">
        <x:f>'Provider Ratings'!AD36</x:f>
        <x:v>3.68</x:v>
      </x:c>
      <x:c r="S36" s="32" t="n">
        <x:f>'Provider Ratings'!AE36</x:f>
        <x:v>3.73</x:v>
      </x:c>
      <x:c r="T36" s="32" t="n">
        <x:f>'Provider Ratings'!AF36</x:f>
        <x:v>3.75</x:v>
      </x:c>
      <x:c r="U36" s="32" t="str">
        <x:f>'Provider Ratings'!AG36</x:f>
        <x:v>Context-dependent tie</x:v>
      </x:c>
      <x:c r="V36" s="32" t="str">
        <x:f>'Provider Ratings'!AH36</x:f>
        <x:v>Scores are close: use ecosystem, data gravity, region, skills, commercials and proof-of-value results to decide.</x:v>
      </x:c>
      <x:c r="W36" s="32" t="str">
        <x:v>Close</x:v>
      </x:c>
      <x:c r="X36" s="32"/>
      <x:c r="Y36" s="32" t="str">
        <x:v>2026-07-12</x:v>
      </x:c>
    </x:row>
    <x:row r="37">
      <x:c r="A37" s="32" t="str">
        <x:v>07 AI &amp; Intelligent Systems</x:v>
      </x:c>
      <x:c r="B37" s="32" t="str">
        <x:v>AI &amp; Machine Learning</x:v>
      </x:c>
      <x:c r="C37" s="32" t="str">
        <x:v>Agents, RAG &amp; Enterprise Search</x:v>
      </x:c>
      <x:c r="D37" s="32" t="str">
        <x:v>Workload</x:v>
      </x:c>
      <x:c r="E37" s="32" t="str">
        <x:v>RAG</x:v>
      </x:c>
      <x:c r="F37" s="32" t="str">
        <x:v>Managed knowledge bases for RAG</x:v>
      </x:c>
      <x:c r="G37" s="32" t="str">
        <x:v>Connect enterprise content to foundation models for grounded retrieval-augmented generation.</x:v>
      </x:c>
      <x:c r="H37" s="32" t="str">
        <x:v>Choose this capability when you need to connect enterprise content to foundation models for grounded retrieval-augmented generation.</x:v>
      </x:c>
      <x:c r="I37" s="32" t="str">
        <x:v>What must the system retrieve, reason over, call as tools, govern and observe?</x:v>
      </x:c>
      <x:c r="J37" s="32" t="str">
        <x:v>Managed speed and native integration versus model portability, transparency and control.</x:v>
      </x:c>
      <x:c r="K37" s="32" t="n">
        <x:v>3</x:v>
      </x:c>
      <x:c r="L37" s="32" t="str">
        <x:v>Moderate</x:v>
      </x:c>
      <x:c r="M37" s="32" t="str">
        <x:v>1–3 weeks</x:v>
      </x:c>
      <x:c r="N37" s="32" t="str">
        <x:v>Medium</x:v>
      </x:c>
      <x:c r="O37" s="32" t="str">
        <x:v>Knowledge Bases for Amazon Bedrock</x:v>
      </x:c>
      <x:c r="P37" s="32" t="str">
        <x:v>Azure AI Search
Foundry IQ</x:v>
      </x:c>
      <x:c r="Q37" s="32" t="str">
        <x:v>Vertex AI Search
Vertex AI RAG Engine</x:v>
      </x:c>
      <x:c r="R37" s="32" t="n">
        <x:f>'Provider Ratings'!AD37</x:f>
        <x:v>3.88</x:v>
      </x:c>
      <x:c r="S37" s="32" t="n">
        <x:f>'Provider Ratings'!AE37</x:f>
        <x:v>3.84</x:v>
      </x:c>
      <x:c r="T37" s="32" t="n">
        <x:f>'Provider Ratings'!AF37</x:f>
        <x:v>3.95</x:v>
      </x:c>
      <x:c r="U37" s="32" t="str">
        <x:f>'Provider Ratings'!AG37</x:f>
        <x:v>Context-dependent tie</x:v>
      </x:c>
      <x:c r="V37" s="32" t="str">
        <x:f>'Provider Ratings'!AH37</x:f>
        <x:v>Scores are close: use ecosystem, data gravity, region, skills, commercials and proof-of-value results to decide.</x:v>
      </x:c>
      <x:c r="W37" s="32" t="str">
        <x:v>Close</x:v>
      </x:c>
      <x:c r="X37" s="32"/>
      <x:c r="Y37" s="32" t="str">
        <x:v>2026-07-12</x:v>
      </x:c>
    </x:row>
    <x:row r="38">
      <x:c r="A38" s="32" t="str">
        <x:v>07 AI &amp; Intelligent Systems</x:v>
      </x:c>
      <x:c r="B38" s="32" t="str">
        <x:v>AI &amp; Machine Learning</x:v>
      </x:c>
      <x:c r="C38" s="32" t="str">
        <x:v>Agents, RAG &amp; Enterprise Search</x:v>
      </x:c>
      <x:c r="D38" s="32" t="str">
        <x:v>Workload</x:v>
      </x:c>
      <x:c r="E38" s="32" t="str">
        <x:v>Enterprise search</x:v>
      </x:c>
      <x:c r="F38" s="32" t="str">
        <x:v>AI-powered enterprise search</x:v>
      </x:c>
      <x:c r="G38" s="32" t="str">
        <x:v>Index and retrieve enterprise information using semantic and generative search.</x:v>
      </x:c>
      <x:c r="H38" s="32" t="str">
        <x:v>Choose this capability when you need to index and retrieve enterprise information using semantic and generative search.</x:v>
      </x:c>
      <x:c r="I38" s="32" t="str">
        <x:v>What must the system retrieve, reason over, call as tools, govern and observe?</x:v>
      </x:c>
      <x:c r="J38" s="32" t="str">
        <x:v>Managed speed and native integration versus model portability, transparency and control.</x:v>
      </x:c>
      <x:c r="K38" s="32" t="n">
        <x:v>3</x:v>
      </x:c>
      <x:c r="L38" s="32" t="str">
        <x:v>Moderate</x:v>
      </x:c>
      <x:c r="M38" s="32" t="str">
        <x:v>1–3 weeks</x:v>
      </x:c>
      <x:c r="N38" s="32" t="str">
        <x:v>Medium</x:v>
      </x:c>
      <x:c r="O38" s="32" t="str">
        <x:v>Amazon Kendra
Amazon OpenSearch Service</x:v>
      </x:c>
      <x:c r="P38" s="32" t="str">
        <x:v>Azure AI Search</x:v>
      </x:c>
      <x:c r="Q38" s="32" t="str">
        <x:v>Vertex AI Search</x:v>
      </x:c>
      <x:c r="R38" s="32" t="n">
        <x:f>'Provider Ratings'!AD38</x:f>
        <x:v>3.8</x:v>
      </x:c>
      <x:c r="S38" s="32" t="n">
        <x:f>'Provider Ratings'!AE38</x:f>
        <x:v>3.93</x:v>
      </x:c>
      <x:c r="T38" s="32" t="n">
        <x:f>'Provider Ratings'!AF38</x:f>
        <x:v>4.1</x:v>
      </x:c>
      <x:c r="U38" s="32" t="str">
        <x:f>'Provider Ratings'!AG38</x:f>
        <x:v>GCP</x:v>
      </x:c>
      <x:c r="V38" s="32" t="str">
        <x:f>'Provider Ratings'!AH38</x:f>
        <x:v>Start with Google Cloud when data, AI, Kubernetes, network or managed developer experience is the main differentiator.</x:v>
      </x:c>
      <x:c r="W38" s="32" t="str">
        <x:v>Close</x:v>
      </x:c>
      <x:c r="X38" s="32"/>
      <x:c r="Y38" s="32" t="str">
        <x:v>2026-07-12</x:v>
      </x:c>
    </x:row>
    <x:row r="39">
      <x:c r="A39" s="32" t="str">
        <x:v>07 AI &amp; Intelligent Systems</x:v>
      </x:c>
      <x:c r="B39" s="32" t="str">
        <x:v>AI &amp; Machine Learning</x:v>
      </x:c>
      <x:c r="C39" s="32" t="str">
        <x:v>Agents, RAG &amp; Enterprise Search</x:v>
      </x:c>
      <x:c r="D39" s="32" t="str">
        <x:v>Workload</x:v>
      </x:c>
      <x:c r="E39" s="32" t="str">
        <x:v>Vector search</x:v>
      </x:c>
      <x:c r="F39" s="32" t="str">
        <x:v>Managed vector search</x:v>
      </x:c>
      <x:c r="G39" s="32" t="str">
        <x:v>Store embeddings and run similarity search for RAG and recommendation workloads.</x:v>
      </x:c>
      <x:c r="H39" s="32" t="str">
        <x:v>Choose this capability when you need to store embeddings and run similarity search for rag and recommendation workloads.</x:v>
      </x:c>
      <x:c r="I39" s="32" t="str">
        <x:v>What must the system retrieve, reason over, call as tools, govern and observe?</x:v>
      </x:c>
      <x:c r="J39" s="32" t="str">
        <x:v>Managed speed and native integration versus model portability, transparency and control.</x:v>
      </x:c>
      <x:c r="K39" s="32" t="n">
        <x:v>3</x:v>
      </x:c>
      <x:c r="L39" s="32" t="str">
        <x:v>Moderate</x:v>
      </x:c>
      <x:c r="M39" s="32" t="str">
        <x:v>1–3 weeks</x:v>
      </x:c>
      <x:c r="N39" s="32" t="str">
        <x:v>Medium</x:v>
      </x:c>
      <x:c r="O39" s="32" t="str">
        <x:v>Amazon OpenSearch Service vector engine
Amazon Aurora PostgreSQL pgvector
Amazon DocumentDB vector search</x:v>
      </x:c>
      <x:c r="P39" s="32" t="str">
        <x:v>Azure AI Search vector search
Azure Cosmos DB vector search
Azure Database for PostgreSQL pgvector</x:v>
      </x:c>
      <x:c r="Q39" s="32" t="str">
        <x:v>Vertex AI Vector Search
AlloyDB AI
Cloud SQL pgvector</x:v>
      </x:c>
      <x:c r="R39" s="32" t="n">
        <x:f>'Provider Ratings'!AD39</x:f>
        <x:v>3.8</x:v>
      </x:c>
      <x:c r="S39" s="32" t="n">
        <x:f>'Provider Ratings'!AE39</x:f>
        <x:v>3.84</x:v>
      </x:c>
      <x:c r="T39" s="32" t="n">
        <x:f>'Provider Ratings'!AF39</x:f>
        <x:v>3.95</x:v>
      </x:c>
      <x:c r="U39" s="32" t="str">
        <x:f>'Provider Ratings'!AG39</x:f>
        <x:v>Context-dependent tie</x:v>
      </x:c>
      <x:c r="V39" s="32" t="str">
        <x:f>'Provider Ratings'!AH39</x:f>
        <x:v>Scores are close: use ecosystem, data gravity, region, skills, commercials and proof-of-value results to decide.</x:v>
      </x:c>
      <x:c r="W39" s="32" t="str">
        <x:v>Close</x:v>
      </x:c>
      <x:c r="X39" s="32"/>
      <x:c r="Y39" s="32" t="str">
        <x:v>2026-07-12</x:v>
      </x:c>
    </x:row>
    <x:row r="40">
      <x:c r="A40" s="32" t="str">
        <x:v>07 AI &amp; Intelligent Systems</x:v>
      </x:c>
      <x:c r="B40" s="32" t="str">
        <x:v>AI &amp; Machine Learning</x:v>
      </x:c>
      <x:c r="C40" s="32" t="str">
        <x:v>Foundation Models &amp; GenAI</x:v>
      </x:c>
      <x:c r="D40" s="32" t="str">
        <x:v>Platform</x:v>
      </x:c>
      <x:c r="E40" s="32" t="str">
        <x:v>Model customisation</x:v>
      </x:c>
      <x:c r="F40" s="32" t="str">
        <x:v>Foundation-model customisation</x:v>
      </x:c>
      <x:c r="G40" s="32" t="str">
        <x:v>Adapt a foundation model using fine-tuning, continued pre-training or customisation techniques.</x:v>
      </x:c>
      <x:c r="H40" s="32" t="str">
        <x:v>Choose this capability when you need to adapt a foundation model using fine-tuning, continued pre-training or customisation techniques.</x:v>
      </x:c>
      <x:c r="I40" s="32" t="str">
        <x:v>Do you need model choice, provider-native models, customisation, enterprise controls, or lowest operational effort?</x:v>
      </x:c>
      <x:c r="J40" s="32" t="str">
        <x:v>Managed speed and native integration versus model portability, transparency and control.</x:v>
      </x:c>
      <x:c r="K40" s="32" t="n">
        <x:v>3</x:v>
      </x:c>
      <x:c r="L40" s="32" t="str">
        <x:v>Moderate</x:v>
      </x:c>
      <x:c r="M40" s="32" t="str">
        <x:v>1–3 weeks</x:v>
      </x:c>
      <x:c r="N40" s="32" t="str">
        <x:v>High</x:v>
      </x:c>
      <x:c r="O40" s="32" t="str">
        <x:v>Amazon Bedrock model customization
Amazon SageMaker AI</x:v>
      </x:c>
      <x:c r="P40" s="32" t="str">
        <x:v>Azure OpenAI fine-tuning
Azure Machine Learning</x:v>
      </x:c>
      <x:c r="Q40" s="32" t="str">
        <x:v>Vertex AI tuning</x:v>
      </x:c>
      <x:c r="R40" s="32" t="n">
        <x:f>'Provider Ratings'!AD40</x:f>
        <x:v>3.79</x:v>
      </x:c>
      <x:c r="S40" s="32" t="n">
        <x:f>'Provider Ratings'!AE40</x:f>
        <x:v>3.88</x:v>
      </x:c>
      <x:c r="T40" s="32" t="n">
        <x:f>'Provider Ratings'!AF40</x:f>
        <x:v>4.14</x:v>
      </x:c>
      <x:c r="U40" s="32" t="str">
        <x:f>'Provider Ratings'!AG40</x:f>
        <x:v>GCP</x:v>
      </x:c>
      <x:c r="V40" s="32" t="str">
        <x:f>'Provider Ratings'!AH40</x:f>
        <x:v>Start with Google Cloud when data, AI, Kubernetes, network or managed developer experience is the main differentiator.</x:v>
      </x:c>
      <x:c r="W40" s="32" t="str">
        <x:v>Close</x:v>
      </x:c>
      <x:c r="X40" s="32"/>
      <x:c r="Y40" s="32" t="str">
        <x:v>2026-07-12</x:v>
      </x:c>
    </x:row>
    <x:row r="41">
      <x:c r="A41" s="32" t="str">
        <x:v>07 AI &amp; Intelligent Systems</x:v>
      </x:c>
      <x:c r="B41" s="32" t="str">
        <x:v>AI &amp; Machine Learning</x:v>
      </x:c>
      <x:c r="C41" s="32" t="str">
        <x:v>Foundation Models &amp; GenAI</x:v>
      </x:c>
      <x:c r="D41" s="32" t="str">
        <x:v>Workload</x:v>
      </x:c>
      <x:c r="E41" s="32" t="str">
        <x:v>Prompt engineering</x:v>
      </x:c>
      <x:c r="F41" s="32" t="str">
        <x:v>Prompt development and orchestration</x:v>
      </x:c>
      <x:c r="G41" s="32" t="str">
        <x:v>Design, test, version and connect prompts into AI workflows.</x:v>
      </x:c>
      <x:c r="H41" s="32" t="str">
        <x:v>Choose this capability when you need to design, test, version and connect prompts into ai workflows.</x:v>
      </x:c>
      <x:c r="I41" s="32" t="str">
        <x:v>Do you need model choice, provider-native models, customisation, enterprise controls, or lowest operational effort?</x:v>
      </x:c>
      <x:c r="J41" s="32" t="str">
        <x:v>Managed speed and native integration versus model portability, transparency and control.</x:v>
      </x:c>
      <x:c r="K41" s="32" t="n">
        <x:v>3</x:v>
      </x:c>
      <x:c r="L41" s="32" t="str">
        <x:v>Moderate</x:v>
      </x:c>
      <x:c r="M41" s="32" t="str">
        <x:v>1–3 weeks</x:v>
      </x:c>
      <x:c r="N41" s="32" t="str">
        <x:v>Medium</x:v>
      </x:c>
      <x:c r="O41" s="32" t="str">
        <x:v>Amazon Bedrock Prompt management
Amazon Bedrock Flows</x:v>
      </x:c>
      <x:c r="P41" s="32" t="str">
        <x:v>Prompt flow in Microsoft Foundry</x:v>
      </x:c>
      <x:c r="Q41" s="32" t="str">
        <x:v>Vertex AI Studio
Vertex AI prompt management</x:v>
      </x:c>
      <x:c r="R41" s="32" t="n">
        <x:f>'Provider Ratings'!AD41</x:f>
        <x:v>3.83</x:v>
      </x:c>
      <x:c r="S41" s="32" t="n">
        <x:f>'Provider Ratings'!AE41</x:f>
        <x:v>4.01</x:v>
      </x:c>
      <x:c r="T41" s="32" t="n">
        <x:f>'Provider Ratings'!AF41</x:f>
        <x:v>4.06</x:v>
      </x:c>
      <x:c r="U41" s="32" t="str">
        <x:f>'Provider Ratings'!AG41</x:f>
        <x:v>Context-dependent tie</x:v>
      </x:c>
      <x:c r="V41" s="32" t="str">
        <x:f>'Provider Ratings'!AH41</x:f>
        <x:v>Scores are close: use ecosystem, data gravity, region, skills, commercials and proof-of-value results to decide.</x:v>
      </x:c>
      <x:c r="W41" s="32" t="str">
        <x:v>Close</x:v>
      </x:c>
      <x:c r="X41" s="32"/>
      <x:c r="Y41" s="32" t="str">
        <x:v>2026-07-12</x:v>
      </x:c>
    </x:row>
    <x:row r="42">
      <x:c r="A42" s="32" t="str">
        <x:v>07 AI &amp; Intelligent Systems</x:v>
      </x:c>
      <x:c r="B42" s="32" t="str">
        <x:v>AI &amp; Machine Learning</x:v>
      </x:c>
      <x:c r="C42" s="32" t="str">
        <x:v>ML Platform &amp; MLOps</x:v>
      </x:c>
      <x:c r="D42" s="32" t="str">
        <x:v>Workload</x:v>
      </x:c>
      <x:c r="E42" s="32" t="str">
        <x:v>ML workbench</x:v>
      </x:c>
      <x:c r="F42" s="32" t="str">
        <x:v>Managed data-science notebooks</x:v>
      </x:c>
      <x:c r="G42" s="32" t="str">
        <x:v>Provide managed notebook environments for data exploration and model development.</x:v>
      </x:c>
      <x:c r="H42" s="32" t="str">
        <x:v>Choose this capability when you need to provide managed notebook environments for data exploration and model development.</x:v>
      </x:c>
      <x:c r="I42" s="32" t="str">
        <x:v>Do you need notebooks only, or an end-to-end governed training, registry, deployment and monitoring platform?</x:v>
      </x:c>
      <x:c r="J42" s="32" t="str">
        <x:v>Managed speed and native integration versus model portability, transparency and control.</x:v>
      </x:c>
      <x:c r="K42" s="32" t="n">
        <x:v>3</x:v>
      </x:c>
      <x:c r="L42" s="32" t="str">
        <x:v>Moderate</x:v>
      </x:c>
      <x:c r="M42" s="32" t="str">
        <x:v>1–3 weeks</x:v>
      </x:c>
      <x:c r="N42" s="32" t="str">
        <x:v>Medium</x:v>
      </x:c>
      <x:c r="O42" s="32" t="str">
        <x:v>Amazon SageMaker Studio</x:v>
      </x:c>
      <x:c r="P42" s="32" t="str">
        <x:v>Azure Machine Learning notebooks
Data Science Virtual Machines</x:v>
      </x:c>
      <x:c r="Q42" s="32" t="str">
        <x:v>Vertex AI Workbench
Colab Enterprise</x:v>
      </x:c>
      <x:c r="R42" s="32" t="n">
        <x:f>'Provider Ratings'!AD42</x:f>
        <x:v>3.88</x:v>
      </x:c>
      <x:c r="S42" s="32" t="n">
        <x:f>'Provider Ratings'!AE42</x:f>
        <x:v>3.84</x:v>
      </x:c>
      <x:c r="T42" s="32" t="n">
        <x:f>'Provider Ratings'!AF42</x:f>
        <x:v>4.09</x:v>
      </x:c>
      <x:c r="U42" s="32" t="str">
        <x:f>'Provider Ratings'!AG42</x:f>
        <x:v>GCP</x:v>
      </x:c>
      <x:c r="V42" s="32" t="str">
        <x:f>'Provider Ratings'!AH42</x:f>
        <x:v>Start with Google Cloud when data, AI, Kubernetes, network or managed developer experience is the main differentiator.</x:v>
      </x:c>
      <x:c r="W42" s="32" t="str">
        <x:v>Close</x:v>
      </x:c>
      <x:c r="X42" s="32"/>
      <x:c r="Y42" s="32" t="str">
        <x:v>2026-07-12</x:v>
      </x:c>
    </x:row>
    <x:row r="43">
      <x:c r="A43" s="32" t="str">
        <x:v>07 AI &amp; Intelligent Systems</x:v>
      </x:c>
      <x:c r="B43" s="32" t="str">
        <x:v>AI &amp; Machine Learning</x:v>
      </x:c>
      <x:c r="C43" s="32" t="str">
        <x:v>ML Platform &amp; MLOps</x:v>
      </x:c>
      <x:c r="D43" s="32" t="str">
        <x:v>Workload</x:v>
      </x:c>
      <x:c r="E43" s="32" t="str">
        <x:v>Training</x:v>
      </x:c>
      <x:c r="F43" s="32" t="str">
        <x:v>Managed model training</x:v>
      </x:c>
      <x:c r="G43" s="32" t="str">
        <x:v>Run managed, scalable training jobs using CPUs, GPUs or specialised accelerators.</x:v>
      </x:c>
      <x:c r="H43" s="32" t="str">
        <x:v>Choose this capability when you need to run managed, scalable training jobs using cpus, gpus or specialised accelerators.</x:v>
      </x:c>
      <x:c r="I43" s="32" t="str">
        <x:v>Do you need notebooks only, or an end-to-end governed training, registry, deployment and monitoring platform?</x:v>
      </x:c>
      <x:c r="J43" s="32" t="str">
        <x:v>Managed speed and native integration versus model portability, transparency and control.</x:v>
      </x:c>
      <x:c r="K43" s="32" t="n">
        <x:v>3</x:v>
      </x:c>
      <x:c r="L43" s="32" t="str">
        <x:v>Moderate</x:v>
      </x:c>
      <x:c r="M43" s="32" t="str">
        <x:v>1–3 weeks</x:v>
      </x:c>
      <x:c r="N43" s="32" t="str">
        <x:v>Medium</x:v>
      </x:c>
      <x:c r="O43" s="32" t="str">
        <x:v>Amazon SageMaker Training</x:v>
      </x:c>
      <x:c r="P43" s="32" t="str">
        <x:v>Azure Machine Learning training</x:v>
      </x:c>
      <x:c r="Q43" s="32" t="str">
        <x:v>Vertex AI Training
Agent Platform Managed Training</x:v>
      </x:c>
      <x:c r="R43" s="32" t="n">
        <x:f>'Provider Ratings'!AD43</x:f>
        <x:v>3.88</x:v>
      </x:c>
      <x:c r="S43" s="32" t="n">
        <x:f>'Provider Ratings'!AE43</x:f>
        <x:v>3.93</x:v>
      </x:c>
      <x:c r="T43" s="32" t="n">
        <x:f>'Provider Ratings'!AF43</x:f>
        <x:v>4.09</x:v>
      </x:c>
      <x:c r="U43" s="32" t="str">
        <x:f>'Provider Ratings'!AG43</x:f>
        <x:v>GCP</x:v>
      </x:c>
      <x:c r="V43" s="32" t="str">
        <x:f>'Provider Ratings'!AH43</x:f>
        <x:v>Start with Google Cloud when data, AI, Kubernetes, network or managed developer experience is the main differentiator.</x:v>
      </x:c>
      <x:c r="W43" s="32" t="str">
        <x:v>Close</x:v>
      </x:c>
      <x:c r="X43" s="32"/>
      <x:c r="Y43" s="32" t="str">
        <x:v>2026-07-12</x:v>
      </x:c>
    </x:row>
    <x:row r="44">
      <x:c r="A44" s="32" t="str">
        <x:v>07 AI &amp; Intelligent Systems</x:v>
      </x:c>
      <x:c r="B44" s="32" t="str">
        <x:v>AI &amp; Machine Learning</x:v>
      </x:c>
      <x:c r="C44" s="32" t="str">
        <x:v>ML Platform &amp; MLOps</x:v>
      </x:c>
      <x:c r="D44" s="32" t="str">
        <x:v>Workload</x:v>
      </x:c>
      <x:c r="E44" s="32" t="str">
        <x:v>AutoML</x:v>
      </x:c>
      <x:c r="F44" s="32" t="str">
        <x:v>Automated machine learning</x:v>
      </x:c>
      <x:c r="G44" s="32" t="str">
        <x:v>Automatically build and optimise models with reduced manual feature and algorithm work.</x:v>
      </x:c>
      <x:c r="H44" s="32" t="str">
        <x:v>Choose this capability when you need to automatically build and optimise models with reduced manual feature and algorithm work.</x:v>
      </x:c>
      <x:c r="I44" s="32" t="str">
        <x:v>Do you need notebooks only, or an end-to-end governed training, registry, deployment and monitoring platform?</x:v>
      </x:c>
      <x:c r="J44" s="32" t="str">
        <x:v>Managed speed and native integration versus model portability, transparency and control.</x:v>
      </x:c>
      <x:c r="K44" s="32" t="n">
        <x:v>3</x:v>
      </x:c>
      <x:c r="L44" s="32" t="str">
        <x:v>Moderate</x:v>
      </x:c>
      <x:c r="M44" s="32" t="str">
        <x:v>1–3 weeks</x:v>
      </x:c>
      <x:c r="N44" s="32" t="str">
        <x:v>Medium</x:v>
      </x:c>
      <x:c r="O44" s="32" t="str">
        <x:v>SageMaker Autopilot</x:v>
      </x:c>
      <x:c r="P44" s="32" t="str">
        <x:v>Azure Automated ML</x:v>
      </x:c>
      <x:c r="Q44" s="32" t="str">
        <x:v>Vertex AI AutoML</x:v>
      </x:c>
      <x:c r="R44" s="32" t="n">
        <x:f>'Provider Ratings'!AD44</x:f>
        <x:v>3.95</x:v>
      </x:c>
      <x:c r="S44" s="32" t="n">
        <x:f>'Provider Ratings'!AE44</x:f>
        <x:v>3.99</x:v>
      </x:c>
      <x:c r="T44" s="32" t="n">
        <x:f>'Provider Ratings'!AF44</x:f>
        <x:v>4.24</x:v>
      </x:c>
      <x:c r="U44" s="32" t="str">
        <x:f>'Provider Ratings'!AG44</x:f>
        <x:v>GCP</x:v>
      </x:c>
      <x:c r="V44" s="32" t="str">
        <x:f>'Provider Ratings'!AH44</x:f>
        <x:v>Start with Google Cloud when data, AI, Kubernetes, network or managed developer experience is the main differentiator.</x:v>
      </x:c>
      <x:c r="W44" s="32" t="str">
        <x:v>Exact</x:v>
      </x:c>
      <x:c r="X44" s="32"/>
      <x:c r="Y44" s="32" t="str">
        <x:v>2026-07-12</x:v>
      </x:c>
    </x:row>
    <x:row r="45">
      <x:c r="A45" s="32" t="str">
        <x:v>07 AI &amp; Intelligent Systems</x:v>
      </x:c>
      <x:c r="B45" s="32" t="str">
        <x:v>AI &amp; Machine Learning</x:v>
      </x:c>
      <x:c r="C45" s="32" t="str">
        <x:v>ML Platform &amp; MLOps</x:v>
      </x:c>
      <x:c r="D45" s="32" t="str">
        <x:v>Workload</x:v>
      </x:c>
      <x:c r="E45" s="32" t="str">
        <x:v>MLOps</x:v>
      </x:c>
      <x:c r="F45" s="32" t="str">
        <x:v>ML pipelines</x:v>
      </x:c>
      <x:c r="G45" s="32" t="str">
        <x:v>Orchestrate repeatable data preparation, training, validation and deployment pipelines.</x:v>
      </x:c>
      <x:c r="H45" s="32" t="str">
        <x:v>Choose this capability when you need to orchestrate repeatable data preparation, training, validation and deployment pipelines.</x:v>
      </x:c>
      <x:c r="I45" s="32" t="str">
        <x:v>Do you need notebooks only, or an end-to-end governed training, registry, deployment and monitoring platform?</x:v>
      </x:c>
      <x:c r="J45" s="32" t="str">
        <x:v>Managed speed and native integration versus model portability, transparency and control.</x:v>
      </x:c>
      <x:c r="K45" s="32" t="n">
        <x:v>3</x:v>
      </x:c>
      <x:c r="L45" s="32" t="str">
        <x:v>Moderate</x:v>
      </x:c>
      <x:c r="M45" s="32" t="str">
        <x:v>1–3 weeks</x:v>
      </x:c>
      <x:c r="N45" s="32" t="str">
        <x:v>Medium</x:v>
      </x:c>
      <x:c r="O45" s="32" t="str">
        <x:v>SageMaker Pipelines</x:v>
      </x:c>
      <x:c r="P45" s="32" t="str">
        <x:v>Azure Machine Learning pipelines</x:v>
      </x:c>
      <x:c r="Q45" s="32" t="str">
        <x:v>Vertex AI Pipelines
Agent Platform Pipelines</x:v>
      </x:c>
      <x:c r="R45" s="32" t="n">
        <x:f>'Provider Ratings'!AD45</x:f>
        <x:v>3.95</x:v>
      </x:c>
      <x:c r="S45" s="32" t="n">
        <x:f>'Provider Ratings'!AE45</x:f>
        <x:v>3.99</x:v>
      </x:c>
      <x:c r="T45" s="32" t="n">
        <x:f>'Provider Ratings'!AF45</x:f>
        <x:v>4.14</x:v>
      </x:c>
      <x:c r="U45" s="32" t="str">
        <x:f>'Provider Ratings'!AG45</x:f>
        <x:v>GCP</x:v>
      </x:c>
      <x:c r="V45" s="32" t="str">
        <x:f>'Provider Ratings'!AH45</x:f>
        <x:v>Start with Google Cloud when data, AI, Kubernetes, network or managed developer experience is the main differentiator.</x:v>
      </x:c>
      <x:c r="W45" s="32" t="str">
        <x:v>Exact</x:v>
      </x:c>
      <x:c r="X45" s="32"/>
      <x:c r="Y45" s="32" t="str">
        <x:v>2026-07-12</x:v>
      </x:c>
    </x:row>
    <x:row r="46">
      <x:c r="A46" s="32" t="str">
        <x:v>07 AI &amp; Intelligent Systems</x:v>
      </x:c>
      <x:c r="B46" s="32" t="str">
        <x:v>AI &amp; Machine Learning</x:v>
      </x:c>
      <x:c r="C46" s="32" t="str">
        <x:v>ML Platform &amp; MLOps</x:v>
      </x:c>
      <x:c r="D46" s="32" t="str">
        <x:v>Workload</x:v>
      </x:c>
      <x:c r="E46" s="32" t="str">
        <x:v>MLOps</x:v>
      </x:c>
      <x:c r="F46" s="32" t="str">
        <x:v>Model registry</x:v>
      </x:c>
      <x:c r="G46" s="32" t="str">
        <x:v>Register, version, approve and promote trained models through lifecycle stages.</x:v>
      </x:c>
      <x:c r="H46" s="32" t="str">
        <x:v>Choose this capability when you need to register, version, approve and promote trained models through lifecycle stages.</x:v>
      </x:c>
      <x:c r="I46" s="32" t="str">
        <x:v>Do you need notebooks only, or an end-to-end governed training, registry, deployment and monitoring platform?</x:v>
      </x:c>
      <x:c r="J46" s="32" t="str">
        <x:v>Managed speed and native integration versus model portability, transparency and control.</x:v>
      </x:c>
      <x:c r="K46" s="32" t="n">
        <x:v>3</x:v>
      </x:c>
      <x:c r="L46" s="32" t="str">
        <x:v>Moderate</x:v>
      </x:c>
      <x:c r="M46" s="32" t="str">
        <x:v>1–3 weeks</x:v>
      </x:c>
      <x:c r="N46" s="32" t="str">
        <x:v>Medium</x:v>
      </x:c>
      <x:c r="O46" s="32" t="str">
        <x:v>SageMaker Model Registry</x:v>
      </x:c>
      <x:c r="P46" s="32" t="str">
        <x:v>Azure Machine Learning model registry</x:v>
      </x:c>
      <x:c r="Q46" s="32" t="str">
        <x:v>Vertex AI Model Registry</x:v>
      </x:c>
      <x:c r="R46" s="32" t="n">
        <x:f>'Provider Ratings'!AD46</x:f>
        <x:v>3.95</x:v>
      </x:c>
      <x:c r="S46" s="32" t="n">
        <x:f>'Provider Ratings'!AE46</x:f>
        <x:v>3.99</x:v>
      </x:c>
      <x:c r="T46" s="32" t="n">
        <x:f>'Provider Ratings'!AF46</x:f>
        <x:v>4.24</x:v>
      </x:c>
      <x:c r="U46" s="32" t="str">
        <x:f>'Provider Ratings'!AG46</x:f>
        <x:v>GCP</x:v>
      </x:c>
      <x:c r="V46" s="32" t="str">
        <x:f>'Provider Ratings'!AH46</x:f>
        <x:v>Start with Google Cloud when data, AI, Kubernetes, network or managed developer experience is the main differentiator.</x:v>
      </x:c>
      <x:c r="W46" s="32" t="str">
        <x:v>Exact</x:v>
      </x:c>
      <x:c r="X46" s="32"/>
      <x:c r="Y46" s="32" t="str">
        <x:v>2026-07-12</x:v>
      </x:c>
    </x:row>
    <x:row r="47">
      <x:c r="A47" s="32" t="str">
        <x:v>07 AI &amp; Intelligent Systems</x:v>
      </x:c>
      <x:c r="B47" s="32" t="str">
        <x:v>AI &amp; Machine Learning</x:v>
      </x:c>
      <x:c r="C47" s="32" t="str">
        <x:v>ML Platform &amp; MLOps</x:v>
      </x:c>
      <x:c r="D47" s="32" t="str">
        <x:v>Workload</x:v>
      </x:c>
      <x:c r="E47" s="32" t="str">
        <x:v>MLOps</x:v>
      </x:c>
      <x:c r="F47" s="32" t="str">
        <x:v>Feature store</x:v>
      </x:c>
      <x:c r="G47" s="32" t="str">
        <x:v>Create, govern and serve reusable machine-learning features online and offline.</x:v>
      </x:c>
      <x:c r="H47" s="32" t="str">
        <x:v>Choose this capability when you need to create, govern and serve reusable machine-learning features online and offline.</x:v>
      </x:c>
      <x:c r="I47" s="32" t="str">
        <x:v>Do you need notebooks only, or an end-to-end governed training, registry, deployment and monitoring platform?</x:v>
      </x:c>
      <x:c r="J47" s="32" t="str">
        <x:v>Managed speed and native integration versus model portability, transparency and control.</x:v>
      </x:c>
      <x:c r="K47" s="32" t="n">
        <x:v>3</x:v>
      </x:c>
      <x:c r="L47" s="32" t="str">
        <x:v>Moderate</x:v>
      </x:c>
      <x:c r="M47" s="32" t="str">
        <x:v>1–3 weeks</x:v>
      </x:c>
      <x:c r="N47" s="32" t="str">
        <x:v>Medium</x:v>
      </x:c>
      <x:c r="O47" s="32" t="str">
        <x:v>SageMaker Feature Store</x:v>
      </x:c>
      <x:c r="P47" s="32" t="str">
        <x:v>Azure Machine Learning managed feature store</x:v>
      </x:c>
      <x:c r="Q47" s="32" t="str">
        <x:v>Vertex AI Feature Store</x:v>
      </x:c>
      <x:c r="R47" s="32" t="n">
        <x:f>'Provider Ratings'!AD47</x:f>
        <x:v>3.95</x:v>
      </x:c>
      <x:c r="S47" s="32" t="n">
        <x:f>'Provider Ratings'!AE47</x:f>
        <x:v>3.99</x:v>
      </x:c>
      <x:c r="T47" s="32" t="n">
        <x:f>'Provider Ratings'!AF47</x:f>
        <x:v>4.24</x:v>
      </x:c>
      <x:c r="U47" s="32" t="str">
        <x:f>'Provider Ratings'!AG47</x:f>
        <x:v>GCP</x:v>
      </x:c>
      <x:c r="V47" s="32" t="str">
        <x:f>'Provider Ratings'!AH47</x:f>
        <x:v>Start with Google Cloud when data, AI, Kubernetes, network or managed developer experience is the main differentiator.</x:v>
      </x:c>
      <x:c r="W47" s="32" t="str">
        <x:v>Exact</x:v>
      </x:c>
      <x:c r="X47" s="32"/>
      <x:c r="Y47" s="32" t="str">
        <x:v>2026-07-12</x:v>
      </x:c>
    </x:row>
    <x:row r="48">
      <x:c r="A48" s="32" t="str">
        <x:v>07 AI &amp; Intelligent Systems</x:v>
      </x:c>
      <x:c r="B48" s="32" t="str">
        <x:v>AI &amp; Machine Learning</x:v>
      </x:c>
      <x:c r="C48" s="32" t="str">
        <x:v>ML Platform &amp; MLOps</x:v>
      </x:c>
      <x:c r="D48" s="32" t="str">
        <x:v>Workload</x:v>
      </x:c>
      <x:c r="E48" s="32" t="str">
        <x:v>MLOps</x:v>
      </x:c>
      <x:c r="F48" s="32" t="str">
        <x:v>Model monitoring</x:v>
      </x:c>
      <x:c r="G48" s="32" t="str">
        <x:v>Monitor deployed models for drift, skew, quality and operational issues.</x:v>
      </x:c>
      <x:c r="H48" s="32" t="str">
        <x:v>Choose this capability when you need to monitor deployed models for drift, skew, quality and operational issues.</x:v>
      </x:c>
      <x:c r="I48" s="32" t="str">
        <x:v>Do you need notebooks only, or an end-to-end governed training, registry, deployment and monitoring platform?</x:v>
      </x:c>
      <x:c r="J48" s="32" t="str">
        <x:v>Managed speed and native integration versus model portability, transparency and control.</x:v>
      </x:c>
      <x:c r="K48" s="32" t="n">
        <x:v>3</x:v>
      </x:c>
      <x:c r="L48" s="32" t="str">
        <x:v>Moderate</x:v>
      </x:c>
      <x:c r="M48" s="32" t="str">
        <x:v>1–3 weeks</x:v>
      </x:c>
      <x:c r="N48" s="32" t="str">
        <x:v>Medium</x:v>
      </x:c>
      <x:c r="O48" s="32" t="str">
        <x:v>SageMaker Model Monitor</x:v>
      </x:c>
      <x:c r="P48" s="32" t="str">
        <x:v>Azure Machine Learning model monitoring</x:v>
      </x:c>
      <x:c r="Q48" s="32" t="str">
        <x:v>Vertex AI Model Monitoring</x:v>
      </x:c>
      <x:c r="R48" s="32" t="n">
        <x:f>'Provider Ratings'!AD48</x:f>
        <x:v>3.95</x:v>
      </x:c>
      <x:c r="S48" s="32" t="n">
        <x:f>'Provider Ratings'!AE48</x:f>
        <x:v>3.99</x:v>
      </x:c>
      <x:c r="T48" s="32" t="n">
        <x:f>'Provider Ratings'!AF48</x:f>
        <x:v>4.24</x:v>
      </x:c>
      <x:c r="U48" s="32" t="str">
        <x:f>'Provider Ratings'!AG48</x:f>
        <x:v>GCP</x:v>
      </x:c>
      <x:c r="V48" s="32" t="str">
        <x:f>'Provider Ratings'!AH48</x:f>
        <x:v>Start with Google Cloud when data, AI, Kubernetes, network or managed developer experience is the main differentiator.</x:v>
      </x:c>
      <x:c r="W48" s="32" t="str">
        <x:v>Exact</x:v>
      </x:c>
      <x:c r="X48" s="32"/>
      <x:c r="Y48" s="32" t="str">
        <x:v>2026-07-12</x:v>
      </x:c>
    </x:row>
    <x:row r="49">
      <x:c r="A49" s="32" t="str">
        <x:v>07 AI &amp; Intelligent Systems</x:v>
      </x:c>
      <x:c r="B49" s="32" t="str">
        <x:v>AI &amp; Machine Learning</x:v>
      </x:c>
      <x:c r="C49" s="32" t="str">
        <x:v>ML Platform &amp; MLOps</x:v>
      </x:c>
      <x:c r="D49" s="32" t="str">
        <x:v>Workload</x:v>
      </x:c>
      <x:c r="E49" s="32" t="str">
        <x:v>Inference</x:v>
      </x:c>
      <x:c r="F49" s="32" t="str">
        <x:v>Managed real-time model endpoints</x:v>
      </x:c>
      <x:c r="G49" s="32" t="str">
        <x:v>Serve machine-learning models through autoscaling online inference endpoints.</x:v>
      </x:c>
      <x:c r="H49" s="32" t="str">
        <x:v>Choose this capability when you need to serve machine-learning models through autoscaling online inference endpoints.</x:v>
      </x:c>
      <x:c r="I49" s="32" t="str">
        <x:v>Do you need notebooks only, or an end-to-end governed training, registry, deployment and monitoring platform?</x:v>
      </x:c>
      <x:c r="J49" s="32" t="str">
        <x:v>Managed speed and native integration versus model portability, transparency and control.</x:v>
      </x:c>
      <x:c r="K49" s="32" t="n">
        <x:v>3</x:v>
      </x:c>
      <x:c r="L49" s="32" t="str">
        <x:v>Moderate</x:v>
      </x:c>
      <x:c r="M49" s="32" t="str">
        <x:v>1–3 weeks</x:v>
      </x:c>
      <x:c r="N49" s="32" t="str">
        <x:v>Medium</x:v>
      </x:c>
      <x:c r="O49" s="32" t="str">
        <x:v>SageMaker real-time inference</x:v>
      </x:c>
      <x:c r="P49" s="32" t="str">
        <x:v>Azure Machine Learning managed online endpoints</x:v>
      </x:c>
      <x:c r="Q49" s="32" t="str">
        <x:v>Vertex AI Online Prediction
Agent Platform Inference</x:v>
      </x:c>
      <x:c r="R49" s="32" t="n">
        <x:f>'Provider Ratings'!AD49</x:f>
        <x:v>3.95</x:v>
      </x:c>
      <x:c r="S49" s="32" t="n">
        <x:f>'Provider Ratings'!AE49</x:f>
        <x:v>3.99</x:v>
      </x:c>
      <x:c r="T49" s="32" t="n">
        <x:f>'Provider Ratings'!AF49</x:f>
        <x:v>4.14</x:v>
      </x:c>
      <x:c r="U49" s="32" t="str">
        <x:f>'Provider Ratings'!AG49</x:f>
        <x:v>GCP</x:v>
      </x:c>
      <x:c r="V49" s="32" t="str">
        <x:f>'Provider Ratings'!AH49</x:f>
        <x:v>Start with Google Cloud when data, AI, Kubernetes, network or managed developer experience is the main differentiator.</x:v>
      </x:c>
      <x:c r="W49" s="32" t="str">
        <x:v>Exact</x:v>
      </x:c>
      <x:c r="X49" s="32"/>
      <x:c r="Y49" s="32" t="str">
        <x:v>2026-07-12</x:v>
      </x:c>
    </x:row>
    <x:row r="50">
      <x:c r="A50" s="32" t="str">
        <x:v>07 AI &amp; Intelligent Systems</x:v>
      </x:c>
      <x:c r="B50" s="32" t="str">
        <x:v>AI &amp; Machine Learning</x:v>
      </x:c>
      <x:c r="C50" s="32" t="str">
        <x:v>ML Platform &amp; MLOps</x:v>
      </x:c>
      <x:c r="D50" s="32" t="str">
        <x:v>Workload</x:v>
      </x:c>
      <x:c r="E50" s="32" t="str">
        <x:v>Inference</x:v>
      </x:c>
      <x:c r="F50" s="32" t="str">
        <x:v>Batch model inference</x:v>
      </x:c>
      <x:c r="G50" s="32" t="str">
        <x:v>Run asynchronous predictions over large datasets.</x:v>
      </x:c>
      <x:c r="H50" s="32" t="str">
        <x:v>Choose this capability when you need to run asynchronous predictions over large datasets.</x:v>
      </x:c>
      <x:c r="I50" s="32" t="str">
        <x:v>Do you need notebooks only, or an end-to-end governed training, registry, deployment and monitoring platform?</x:v>
      </x:c>
      <x:c r="J50" s="32" t="str">
        <x:v>Managed speed and native integration versus model portability, transparency and control.</x:v>
      </x:c>
      <x:c r="K50" s="32" t="n">
        <x:v>3</x:v>
      </x:c>
      <x:c r="L50" s="32" t="str">
        <x:v>Moderate</x:v>
      </x:c>
      <x:c r="M50" s="32" t="str">
        <x:v>1–3 weeks</x:v>
      </x:c>
      <x:c r="N50" s="32" t="str">
        <x:v>Medium</x:v>
      </x:c>
      <x:c r="O50" s="32" t="str">
        <x:v>SageMaker Batch Transform</x:v>
      </x:c>
      <x:c r="P50" s="32" t="str">
        <x:v>Azure Machine Learning batch endpoints</x:v>
      </x:c>
      <x:c r="Q50" s="32" t="str">
        <x:v>Vertex AI Batch Prediction</x:v>
      </x:c>
      <x:c r="R50" s="32" t="n">
        <x:f>'Provider Ratings'!AD50</x:f>
        <x:v>3.95</x:v>
      </x:c>
      <x:c r="S50" s="32" t="n">
        <x:f>'Provider Ratings'!AE50</x:f>
        <x:v>3.99</x:v>
      </x:c>
      <x:c r="T50" s="32" t="n">
        <x:f>'Provider Ratings'!AF50</x:f>
        <x:v>4.24</x:v>
      </x:c>
      <x:c r="U50" s="32" t="str">
        <x:f>'Provider Ratings'!AG50</x:f>
        <x:v>GCP</x:v>
      </x:c>
      <x:c r="V50" s="32" t="str">
        <x:f>'Provider Ratings'!AH50</x:f>
        <x:v>Start with Google Cloud when data, AI, Kubernetes, network or managed developer experience is the main differentiator.</x:v>
      </x:c>
      <x:c r="W50" s="32" t="str">
        <x:v>Exact</x:v>
      </x:c>
      <x:c r="X50" s="32"/>
      <x:c r="Y50" s="32" t="str">
        <x:v>2026-07-12</x:v>
      </x:c>
    </x:row>
    <x:row r="51">
      <x:c r="A51" s="32" t="str">
        <x:v>07 AI &amp; Intelligent Systems</x:v>
      </x:c>
      <x:c r="B51" s="32" t="str">
        <x:v>AI &amp; Machine Learning</x:v>
      </x:c>
      <x:c r="C51" s="32" t="str">
        <x:v>Industry &amp; Applied AI</x:v>
      </x:c>
      <x:c r="D51" s="32" t="str">
        <x:v>Workload</x:v>
      </x:c>
      <x:c r="E51" s="32" t="str">
        <x:v>AI infrastructure</x:v>
      </x:c>
      <x:c r="F51" s="32" t="str">
        <x:v>AI accelerators</x:v>
      </x:c>
      <x:c r="G51" s="32" t="str">
        <x:v>Provide specialised GPU or accelerator infrastructure for training and inference.</x:v>
      </x:c>
      <x:c r="H51" s="32" t="str">
        <x:v>Choose this capability when you need to provide specialised gpu or accelerator infrastructure for training and inference.</x:v>
      </x:c>
      <x:c r="I51" s="32" t="str">
        <x:v>What business outcome, scale, control, integration and operating model justify choosing ai accelerators?</x:v>
      </x:c>
      <x:c r="J51" s="32" t="str">
        <x:v>Managed speed and native integration versus model portability, transparency and control.</x:v>
      </x:c>
      <x:c r="K51" s="32" t="n">
        <x:v>3</x:v>
      </x:c>
      <x:c r="L51" s="32" t="str">
        <x:v>Moderate</x:v>
      </x:c>
      <x:c r="M51" s="32" t="str">
        <x:v>1–3 weeks</x:v>
      </x:c>
      <x:c r="N51" s="32" t="str">
        <x:v>Medium</x:v>
      </x:c>
      <x:c r="O51" s="32" t="str">
        <x:v>Amazon EC2 GPU instances
AWS Trainium
AWS Inferentia</x:v>
      </x:c>
      <x:c r="P51" s="32" t="str">
        <x:v>Azure GPU virtual machines
Azure Maia</x:v>
      </x:c>
      <x:c r="Q51" s="32" t="str">
        <x:v>Cloud GPUs
Cloud TPU
AI Hypercomputer</x:v>
      </x:c>
      <x:c r="R51" s="32" t="n">
        <x:f>'Provider Ratings'!AD51</x:f>
        <x:v>3.8</x:v>
      </x:c>
      <x:c r="S51" s="32" t="n">
        <x:f>'Provider Ratings'!AE51</x:f>
        <x:v>3.84</x:v>
      </x:c>
      <x:c r="T51" s="32" t="n">
        <x:f>'Provider Ratings'!AF51</x:f>
        <x:v>3.85</x:v>
      </x:c>
      <x:c r="U51" s="32" t="str">
        <x:f>'Provider Ratings'!AG51</x:f>
        <x:v>Context-dependent tie</x:v>
      </x:c>
      <x:c r="V51" s="32" t="str">
        <x:f>'Provider Ratings'!AH51</x:f>
        <x:v>Scores are close: use ecosystem, data gravity, region, skills, commercials and proof-of-value results to decide.</x:v>
      </x:c>
      <x:c r="W51" s="32" t="str">
        <x:v>Close</x:v>
      </x:c>
      <x:c r="X51" s="32"/>
      <x:c r="Y51" s="32" t="str">
        <x:v>2026-07-12</x:v>
      </x:c>
    </x:row>
    <x:row r="52">
      <x:c r="A52" s="32" t="str">
        <x:v>07 AI &amp; Intelligent Systems</x:v>
      </x:c>
      <x:c r="B52" s="32" t="str">
        <x:v>AI &amp; Machine Learning</x:v>
      </x:c>
      <x:c r="C52" s="32" t="str">
        <x:v>ML Platform &amp; MLOps</x:v>
      </x:c>
      <x:c r="D52" s="32" t="str">
        <x:v>Workload</x:v>
      </x:c>
      <x:c r="E52" s="32" t="str">
        <x:v>Distributed ML</x:v>
      </x:c>
      <x:c r="F52" s="32" t="str">
        <x:v>Distributed ML execution</x:v>
      </x:c>
      <x:c r="G52" s="32" t="str">
        <x:v>Scale Python, ML and AI workloads across distributed compute clusters.</x:v>
      </x:c>
      <x:c r="H52" s="32" t="str">
        <x:v>Choose this capability when you need to scale python, ml and ai workloads across distributed compute clusters.</x:v>
      </x:c>
      <x:c r="I52" s="32" t="str">
        <x:v>Do you need notebooks only, or an end-to-end governed training, registry, deployment and monitoring platform?</x:v>
      </x:c>
      <x:c r="J52" s="32" t="str">
        <x:v>Managed speed and native integration versus model portability, transparency and control.</x:v>
      </x:c>
      <x:c r="K52" s="32" t="n">
        <x:v>3</x:v>
      </x:c>
      <x:c r="L52" s="32" t="str">
        <x:v>Moderate</x:v>
      </x:c>
      <x:c r="M52" s="32" t="str">
        <x:v>1–3 weeks</x:v>
      </x:c>
      <x:c r="N52" s="32" t="str">
        <x:v>Medium</x:v>
      </x:c>
      <x:c r="O52" s="32" t="str">
        <x:v>SageMaker HyperPod
AWS ParallelCluster</x:v>
      </x:c>
      <x:c r="P52" s="32" t="str">
        <x:v>Azure Machine Learning compute clusters
Azure Databricks</x:v>
      </x:c>
      <x:c r="Q52" s="32" t="str">
        <x:v>Ray on Gemini Enterprise Agent Platform
Cluster Director</x:v>
      </x:c>
      <x:c r="R52" s="32" t="n">
        <x:f>'Provider Ratings'!AD52</x:f>
        <x:v>3.8</x:v>
      </x:c>
      <x:c r="S52" s="32" t="n">
        <x:f>'Provider Ratings'!AE52</x:f>
        <x:v>3.84</x:v>
      </x:c>
      <x:c r="T52" s="32" t="n">
        <x:f>'Provider Ratings'!AF52</x:f>
        <x:v>4.06</x:v>
      </x:c>
      <x:c r="U52" s="32" t="str">
        <x:f>'Provider Ratings'!AG52</x:f>
        <x:v>GCP</x:v>
      </x:c>
      <x:c r="V52" s="32" t="str">
        <x:f>'Provider Ratings'!AH52</x:f>
        <x:v>Start with Google Cloud when data, AI, Kubernetes, network or managed developer experience is the main differentiator.</x:v>
      </x:c>
      <x:c r="W52" s="32" t="str">
        <x:v>Close</x:v>
      </x:c>
      <x:c r="X52" s="32"/>
      <x:c r="Y52" s="32" t="str">
        <x:v>2026-07-12</x:v>
      </x:c>
    </x:row>
    <x:row r="53">
      <x:c r="A53" s="32" t="str">
        <x:v>07 AI &amp; Intelligent Systems</x:v>
      </x:c>
      <x:c r="B53" s="32" t="str">
        <x:v>AI &amp; Machine Learning</x:v>
      </x:c>
      <x:c r="C53" s="32" t="str">
        <x:v>Prebuilt Cognitive AI Services</x:v>
      </x:c>
      <x:c r="D53" s="32" t="str">
        <x:v>Workload</x:v>
      </x:c>
      <x:c r="E53" s="32" t="str">
        <x:v>NLP</x:v>
      </x:c>
      <x:c r="F53" s="32" t="str">
        <x:v>Natural-language analysis</x:v>
      </x:c>
      <x:c r="G53" s="32" t="str">
        <x:v>Extract entities, sentiment, classifications and insights from text.</x:v>
      </x:c>
      <x:c r="H53" s="32" t="str">
        <x:v>Choose this capability when you need to extract entities, sentiment, classifications and insights from text.</x:v>
      </x:c>
      <x:c r="I53" s="32" t="str">
        <x:v>What business outcome, scale, control, integration and operating model justify choosing natural-language analysis?</x:v>
      </x:c>
      <x:c r="J53" s="32" t="str">
        <x:v>Managed speed and native integration versus model portability, transparency and control.</x:v>
      </x:c>
      <x:c r="K53" s="32" t="n">
        <x:v>3</x:v>
      </x:c>
      <x:c r="L53" s="32" t="str">
        <x:v>Moderate</x:v>
      </x:c>
      <x:c r="M53" s="32" t="str">
        <x:v>1–3 weeks</x:v>
      </x:c>
      <x:c r="N53" s="32" t="str">
        <x:v>Medium</x:v>
      </x:c>
      <x:c r="O53" s="32" t="str">
        <x:v>Amazon Comprehend</x:v>
      </x:c>
      <x:c r="P53" s="32" t="str">
        <x:v>Azure Language in Foundry Tools</x:v>
      </x:c>
      <x:c r="Q53" s="32" t="str">
        <x:v>Cloud Natural Language</x:v>
      </x:c>
      <x:c r="R53" s="32" t="n">
        <x:f>'Provider Ratings'!AD53</x:f>
        <x:v>3.95</x:v>
      </x:c>
      <x:c r="S53" s="32" t="n">
        <x:f>'Provider Ratings'!AE53</x:f>
        <x:v>3.99</x:v>
      </x:c>
      <x:c r="T53" s="32" t="n">
        <x:f>'Provider Ratings'!AF53</x:f>
        <x:v>4.02</x:v>
      </x:c>
      <x:c r="U53" s="32" t="str">
        <x:f>'Provider Ratings'!AG53</x:f>
        <x:v>Context-dependent tie</x:v>
      </x:c>
      <x:c r="V53" s="32" t="str">
        <x:f>'Provider Ratings'!AH53</x:f>
        <x:v>Scores are close: use ecosystem, data gravity, region, skills, commercials and proof-of-value results to decide.</x:v>
      </x:c>
      <x:c r="W53" s="32" t="str">
        <x:v>Exact</x:v>
      </x:c>
      <x:c r="X53" s="32"/>
      <x:c r="Y53" s="32" t="str">
        <x:v>2026-07-12</x:v>
      </x:c>
    </x:row>
    <x:row r="54">
      <x:c r="A54" s="32" t="str">
        <x:v>07 AI &amp; Intelligent Systems</x:v>
      </x:c>
      <x:c r="B54" s="32" t="str">
        <x:v>AI &amp; Machine Learning</x:v>
      </x:c>
      <x:c r="C54" s="32" t="str">
        <x:v>Prebuilt Cognitive AI Services</x:v>
      </x:c>
      <x:c r="D54" s="32" t="str">
        <x:v>Workload</x:v>
      </x:c>
      <x:c r="E54" s="32" t="str">
        <x:v>Translation</x:v>
      </x:c>
      <x:c r="F54" s="32" t="str">
        <x:v>Machine translation</x:v>
      </x:c>
      <x:c r="G54" s="32" t="str">
        <x:v>Translate text and documents between languages using managed AI.</x:v>
      </x:c>
      <x:c r="H54" s="32" t="str">
        <x:v>Choose this capability when you need to translate text and documents between languages using managed ai.</x:v>
      </x:c>
      <x:c r="I54" s="32" t="str">
        <x:v>What business outcome, scale, control, integration and operating model justify choosing machine translation?</x:v>
      </x:c>
      <x:c r="J54" s="32" t="str">
        <x:v>Managed speed and native integration versus model portability, transparency and control.</x:v>
      </x:c>
      <x:c r="K54" s="32" t="n">
        <x:v>3</x:v>
      </x:c>
      <x:c r="L54" s="32" t="str">
        <x:v>Moderate</x:v>
      </x:c>
      <x:c r="M54" s="32" t="str">
        <x:v>1–3 weeks</x:v>
      </x:c>
      <x:c r="N54" s="32" t="str">
        <x:v>Medium</x:v>
      </x:c>
      <x:c r="O54" s="32" t="str">
        <x:v>Amazon Translate</x:v>
      </x:c>
      <x:c r="P54" s="32" t="str">
        <x:v>Azure Translator</x:v>
      </x:c>
      <x:c r="Q54" s="32" t="str">
        <x:v>Cloud Translation</x:v>
      </x:c>
      <x:c r="R54" s="32" t="n">
        <x:f>'Provider Ratings'!AD54</x:f>
        <x:v>3.95</x:v>
      </x:c>
      <x:c r="S54" s="32" t="n">
        <x:f>'Provider Ratings'!AE54</x:f>
        <x:v>3.99</x:v>
      </x:c>
      <x:c r="T54" s="32" t="n">
        <x:f>'Provider Ratings'!AF54</x:f>
        <x:v>4.02</x:v>
      </x:c>
      <x:c r="U54" s="32" t="str">
        <x:f>'Provider Ratings'!AG54</x:f>
        <x:v>Context-dependent tie</x:v>
      </x:c>
      <x:c r="V54" s="32" t="str">
        <x:f>'Provider Ratings'!AH54</x:f>
        <x:v>Scores are close: use ecosystem, data gravity, region, skills, commercials and proof-of-value results to decide.</x:v>
      </x:c>
      <x:c r="W54" s="32" t="str">
        <x:v>Exact</x:v>
      </x:c>
      <x:c r="X54" s="32"/>
      <x:c r="Y54" s="32" t="str">
        <x:v>2026-07-12</x:v>
      </x:c>
    </x:row>
    <x:row r="55">
      <x:c r="A55" s="32" t="str">
        <x:v>07 AI &amp; Intelligent Systems</x:v>
      </x:c>
      <x:c r="B55" s="32" t="str">
        <x:v>AI &amp; Machine Learning</x:v>
      </x:c>
      <x:c r="C55" s="32" t="str">
        <x:v>Prebuilt Cognitive AI Services</x:v>
      </x:c>
      <x:c r="D55" s="32" t="str">
        <x:v>Workload</x:v>
      </x:c>
      <x:c r="E55" s="32" t="str">
        <x:v>Speech</x:v>
      </x:c>
      <x:c r="F55" s="32" t="str">
        <x:v>Speech-to-text</x:v>
      </x:c>
      <x:c r="G55" s="32" t="str">
        <x:v>Convert live or recorded speech into text.</x:v>
      </x:c>
      <x:c r="H55" s="32" t="str">
        <x:v>Choose this capability when you need to convert live or recorded speech into text.</x:v>
      </x:c>
      <x:c r="I55" s="32" t="str">
        <x:v>What business outcome, scale, control, integration and operating model justify choosing speech-to-text?</x:v>
      </x:c>
      <x:c r="J55" s="32" t="str">
        <x:v>Managed speed and native integration versus model portability, transparency and control.</x:v>
      </x:c>
      <x:c r="K55" s="32" t="n">
        <x:v>3</x:v>
      </x:c>
      <x:c r="L55" s="32" t="str">
        <x:v>Moderate</x:v>
      </x:c>
      <x:c r="M55" s="32" t="str">
        <x:v>1–3 weeks</x:v>
      </x:c>
      <x:c r="N55" s="32" t="str">
        <x:v>Medium</x:v>
      </x:c>
      <x:c r="O55" s="32" t="str">
        <x:v>Amazon Transcribe</x:v>
      </x:c>
      <x:c r="P55" s="32" t="str">
        <x:v>Azure Speech</x:v>
      </x:c>
      <x:c r="Q55" s="32" t="str">
        <x:v>Speech-to-Text</x:v>
      </x:c>
      <x:c r="R55" s="32" t="n">
        <x:f>'Provider Ratings'!AD55</x:f>
        <x:v>3.95</x:v>
      </x:c>
      <x:c r="S55" s="32" t="n">
        <x:f>'Provider Ratings'!AE55</x:f>
        <x:v>3.99</x:v>
      </x:c>
      <x:c r="T55" s="32" t="n">
        <x:f>'Provider Ratings'!AF55</x:f>
        <x:v>4.02</x:v>
      </x:c>
      <x:c r="U55" s="32" t="str">
        <x:f>'Provider Ratings'!AG55</x:f>
        <x:v>Context-dependent tie</x:v>
      </x:c>
      <x:c r="V55" s="32" t="str">
        <x:f>'Provider Ratings'!AH55</x:f>
        <x:v>Scores are close: use ecosystem, data gravity, region, skills, commercials and proof-of-value results to decide.</x:v>
      </x:c>
      <x:c r="W55" s="32" t="str">
        <x:v>Exact</x:v>
      </x:c>
      <x:c r="X55" s="32"/>
      <x:c r="Y55" s="32" t="str">
        <x:v>2026-07-12</x:v>
      </x:c>
    </x:row>
    <x:row r="56">
      <x:c r="A56" s="32" t="str">
        <x:v>07 AI &amp; Intelligent Systems</x:v>
      </x:c>
      <x:c r="B56" s="32" t="str">
        <x:v>AI &amp; Machine Learning</x:v>
      </x:c>
      <x:c r="C56" s="32" t="str">
        <x:v>Prebuilt Cognitive AI Services</x:v>
      </x:c>
      <x:c r="D56" s="32" t="str">
        <x:v>Workload</x:v>
      </x:c>
      <x:c r="E56" s="32" t="str">
        <x:v>Speech</x:v>
      </x:c>
      <x:c r="F56" s="32" t="str">
        <x:v>Text-to-speech</x:v>
      </x:c>
      <x:c r="G56" s="32" t="str">
        <x:v>Generate natural-sounding speech from text.</x:v>
      </x:c>
      <x:c r="H56" s="32" t="str">
        <x:v>Choose this capability when you need to generate natural-sounding speech from text.</x:v>
      </x:c>
      <x:c r="I56" s="32" t="str">
        <x:v>What business outcome, scale, control, integration and operating model justify choosing text-to-speech?</x:v>
      </x:c>
      <x:c r="J56" s="32" t="str">
        <x:v>Managed speed and native integration versus model portability, transparency and control.</x:v>
      </x:c>
      <x:c r="K56" s="32" t="n">
        <x:v>3</x:v>
      </x:c>
      <x:c r="L56" s="32" t="str">
        <x:v>Moderate</x:v>
      </x:c>
      <x:c r="M56" s="32" t="str">
        <x:v>1–3 weeks</x:v>
      </x:c>
      <x:c r="N56" s="32" t="str">
        <x:v>Medium</x:v>
      </x:c>
      <x:c r="O56" s="32" t="str">
        <x:v>Amazon Polly</x:v>
      </x:c>
      <x:c r="P56" s="32" t="str">
        <x:v>Azure Speech</x:v>
      </x:c>
      <x:c r="Q56" s="32" t="str">
        <x:v>Text-to-Speech</x:v>
      </x:c>
      <x:c r="R56" s="32" t="n">
        <x:f>'Provider Ratings'!AD56</x:f>
        <x:v>3.95</x:v>
      </x:c>
      <x:c r="S56" s="32" t="n">
        <x:f>'Provider Ratings'!AE56</x:f>
        <x:v>3.99</x:v>
      </x:c>
      <x:c r="T56" s="32" t="n">
        <x:f>'Provider Ratings'!AF56</x:f>
        <x:v>4.02</x:v>
      </x:c>
      <x:c r="U56" s="32" t="str">
        <x:f>'Provider Ratings'!AG56</x:f>
        <x:v>Context-dependent tie</x:v>
      </x:c>
      <x:c r="V56" s="32" t="str">
        <x:f>'Provider Ratings'!AH56</x:f>
        <x:v>Scores are close: use ecosystem, data gravity, region, skills, commercials and proof-of-value results to decide.</x:v>
      </x:c>
      <x:c r="W56" s="32" t="str">
        <x:v>Exact</x:v>
      </x:c>
      <x:c r="X56" s="32"/>
      <x:c r="Y56" s="32" t="str">
        <x:v>2026-07-12</x:v>
      </x:c>
    </x:row>
    <x:row r="57">
      <x:c r="A57" s="32" t="str">
        <x:v>07 AI &amp; Intelligent Systems</x:v>
      </x:c>
      <x:c r="B57" s="32" t="str">
        <x:v>AI &amp; Machine Learning</x:v>
      </x:c>
      <x:c r="C57" s="32" t="str">
        <x:v>Prebuilt Cognitive AI Services</x:v>
      </x:c>
      <x:c r="D57" s="32" t="str">
        <x:v>Workload</x:v>
      </x:c>
      <x:c r="E57" s="32" t="str">
        <x:v>Vision</x:v>
      </x:c>
      <x:c r="F57" s="32" t="str">
        <x:v>Image analysis</x:v>
      </x:c>
      <x:c r="G57" s="32" t="str">
        <x:v>Detect, classify and extract information from images.</x:v>
      </x:c>
      <x:c r="H57" s="32" t="str">
        <x:v>Choose this capability when you need to detect, classify and extract information from images.</x:v>
      </x:c>
      <x:c r="I57" s="32" t="str">
        <x:v>What business outcome, scale, control, integration and operating model justify choosing image analysis?</x:v>
      </x:c>
      <x:c r="J57" s="32" t="str">
        <x:v>Managed speed and native integration versus model portability, transparency and control.</x:v>
      </x:c>
      <x:c r="K57" s="32" t="n">
        <x:v>3</x:v>
      </x:c>
      <x:c r="L57" s="32" t="str">
        <x:v>Moderate</x:v>
      </x:c>
      <x:c r="M57" s="32" t="str">
        <x:v>1–3 weeks</x:v>
      </x:c>
      <x:c r="N57" s="32" t="str">
        <x:v>Medium</x:v>
      </x:c>
      <x:c r="O57" s="32" t="str">
        <x:v>Amazon Rekognition</x:v>
      </x:c>
      <x:c r="P57" s="32" t="str">
        <x:v>Azure Vision</x:v>
      </x:c>
      <x:c r="Q57" s="32" t="str">
        <x:v>Cloud Vision API</x:v>
      </x:c>
      <x:c r="R57" s="32" t="n">
        <x:f>'Provider Ratings'!AD57</x:f>
        <x:v>3.95</x:v>
      </x:c>
      <x:c r="S57" s="32" t="n">
        <x:f>'Provider Ratings'!AE57</x:f>
        <x:v>3.99</x:v>
      </x:c>
      <x:c r="T57" s="32" t="n">
        <x:f>'Provider Ratings'!AF57</x:f>
        <x:v>4.02</x:v>
      </x:c>
      <x:c r="U57" s="32" t="str">
        <x:f>'Provider Ratings'!AG57</x:f>
        <x:v>Context-dependent tie</x:v>
      </x:c>
      <x:c r="V57" s="32" t="str">
        <x:f>'Provider Ratings'!AH57</x:f>
        <x:v>Scores are close: use ecosystem, data gravity, region, skills, commercials and proof-of-value results to decide.</x:v>
      </x:c>
      <x:c r="W57" s="32" t="str">
        <x:v>Exact</x:v>
      </x:c>
      <x:c r="X57" s="32"/>
      <x:c r="Y57" s="32" t="str">
        <x:v>2026-07-12</x:v>
      </x:c>
    </x:row>
    <x:row r="58">
      <x:c r="A58" s="32" t="str">
        <x:v>07 AI &amp; Intelligent Systems</x:v>
      </x:c>
      <x:c r="B58" s="32" t="str">
        <x:v>AI &amp; Machine Learning</x:v>
      </x:c>
      <x:c r="C58" s="32" t="str">
        <x:v>Industry &amp; Applied AI</x:v>
      </x:c>
      <x:c r="D58" s="32" t="str">
        <x:v>Workload</x:v>
      </x:c>
      <x:c r="E58" s="32" t="str">
        <x:v>Video AI</x:v>
      </x:c>
      <x:c r="F58" s="32" t="str">
        <x:v>Video intelligence</x:v>
      </x:c>
      <x:c r="G58" s="32" t="str">
        <x:v>Analyse, index and extract metadata from video content.</x:v>
      </x:c>
      <x:c r="H58" s="32" t="str">
        <x:v>Choose this capability when you need to analyse, index and extract metadata from video content.</x:v>
      </x:c>
      <x:c r="I58" s="32" t="str">
        <x:v>What business outcome, scale, control, integration and operating model justify choosing video intelligence?</x:v>
      </x:c>
      <x:c r="J58" s="32" t="str">
        <x:v>Managed speed and native integration versus model portability, transparency and control.</x:v>
      </x:c>
      <x:c r="K58" s="32" t="n">
        <x:v>3</x:v>
      </x:c>
      <x:c r="L58" s="32" t="str">
        <x:v>Moderate</x:v>
      </x:c>
      <x:c r="M58" s="32" t="str">
        <x:v>1–3 weeks</x:v>
      </x:c>
      <x:c r="N58" s="32" t="str">
        <x:v>Medium</x:v>
      </x:c>
      <x:c r="O58" s="32" t="str">
        <x:v>Amazon Rekognition Video</x:v>
      </x:c>
      <x:c r="P58" s="32" t="str">
        <x:v>Azure AI Video Indexer
Azure Content Understanding</x:v>
      </x:c>
      <x:c r="Q58" s="32" t="str">
        <x:v>Video Intelligence API
Agent Platform Vision</x:v>
      </x:c>
      <x:c r="R58" s="32" t="n">
        <x:f>'Provider Ratings'!AD58</x:f>
        <x:v>3.88</x:v>
      </x:c>
      <x:c r="S58" s="32" t="n">
        <x:f>'Provider Ratings'!AE58</x:f>
        <x:v>3.84</x:v>
      </x:c>
      <x:c r="T58" s="32" t="n">
        <x:f>'Provider Ratings'!AF58</x:f>
        <x:v>3.85</x:v>
      </x:c>
      <x:c r="U58" s="32" t="str">
        <x:f>'Provider Ratings'!AG58</x:f>
        <x:v>Context-dependent tie</x:v>
      </x:c>
      <x:c r="V58" s="32" t="str">
        <x:f>'Provider Ratings'!AH58</x:f>
        <x:v>Scores are close: use ecosystem, data gravity, region, skills, commercials and proof-of-value results to decide.</x:v>
      </x:c>
      <x:c r="W58" s="32" t="str">
        <x:v>Close</x:v>
      </x:c>
      <x:c r="X58" s="32"/>
      <x:c r="Y58" s="32" t="str">
        <x:v>2026-07-12</x:v>
      </x:c>
    </x:row>
    <x:row r="59">
      <x:c r="A59" s="32" t="str">
        <x:v>07 AI &amp; Intelligent Systems</x:v>
      </x:c>
      <x:c r="B59" s="32" t="str">
        <x:v>AI &amp; Machine Learning</x:v>
      </x:c>
      <x:c r="C59" s="32" t="str">
        <x:v>Prebuilt Cognitive AI Services</x:v>
      </x:c>
      <x:c r="D59" s="32" t="str">
        <x:v>Workload</x:v>
      </x:c>
      <x:c r="E59" s="32" t="str">
        <x:v>Document AI</x:v>
      </x:c>
      <x:c r="F59" s="32" t="str">
        <x:v>Document extraction and OCR</x:v>
      </x:c>
      <x:c r="G59" s="32" t="str">
        <x:v>Extract text, tables, forms and structured fields from documents.</x:v>
      </x:c>
      <x:c r="H59" s="32" t="str">
        <x:v>Choose this capability when you need to extract text, tables, forms and structured fields from documents.</x:v>
      </x:c>
      <x:c r="I59" s="32" t="str">
        <x:v>What business outcome, scale, control, integration and operating model justify choosing document extraction and ocr?</x:v>
      </x:c>
      <x:c r="J59" s="32" t="str">
        <x:v>Managed speed and native integration versus model portability, transparency and control.</x:v>
      </x:c>
      <x:c r="K59" s="32" t="n">
        <x:v>3</x:v>
      </x:c>
      <x:c r="L59" s="32" t="str">
        <x:v>Moderate</x:v>
      </x:c>
      <x:c r="M59" s="32" t="str">
        <x:v>1–3 weeks</x:v>
      </x:c>
      <x:c r="N59" s="32" t="str">
        <x:v>Medium</x:v>
      </x:c>
      <x:c r="O59" s="32" t="str">
        <x:v>Amazon Textract</x:v>
      </x:c>
      <x:c r="P59" s="32" t="str">
        <x:v>Azure Document Intelligence
Azure Content Understanding</x:v>
      </x:c>
      <x:c r="Q59" s="32" t="str">
        <x:v>Document AI</x:v>
      </x:c>
      <x:c r="R59" s="32" t="n">
        <x:f>'Provider Ratings'!AD59</x:f>
        <x:v>3.95</x:v>
      </x:c>
      <x:c r="S59" s="32" t="n">
        <x:f>'Provider Ratings'!AE59</x:f>
        <x:v>3.89</x:v>
      </x:c>
      <x:c r="T59" s="32" t="n">
        <x:f>'Provider Ratings'!AF59</x:f>
        <x:v>4.02</x:v>
      </x:c>
      <x:c r="U59" s="32" t="str">
        <x:f>'Provider Ratings'!AG59</x:f>
        <x:v>Context-dependent tie</x:v>
      </x:c>
      <x:c r="V59" s="32" t="str">
        <x:f>'Provider Ratings'!AH59</x:f>
        <x:v>Scores are close: use ecosystem, data gravity, region, skills, commercials and proof-of-value results to decide.</x:v>
      </x:c>
      <x:c r="W59" s="32" t="str">
        <x:v>Exact</x:v>
      </x:c>
      <x:c r="X59" s="32"/>
      <x:c r="Y59" s="32" t="str">
        <x:v>2026-07-12</x:v>
      </x:c>
    </x:row>
    <x:row r="60">
      <x:c r="A60" s="32" t="str">
        <x:v>07 AI &amp; Intelligent Systems</x:v>
      </x:c>
      <x:c r="B60" s="32" t="str">
        <x:v>AI &amp; Machine Learning</x:v>
      </x:c>
      <x:c r="C60" s="32" t="str">
        <x:v>Prebuilt Cognitive AI Services</x:v>
      </x:c>
      <x:c r="D60" s="32" t="str">
        <x:v>Platform</x:v>
      </x:c>
      <x:c r="E60" s="32" t="str">
        <x:v>Conversational AI</x:v>
      </x:c>
      <x:c r="F60" s="32" t="str">
        <x:v>Conversational bot platform</x:v>
      </x:c>
      <x:c r="G60" s="32" t="str">
        <x:v>Build intent-based conversational assistants for voice and text channels.</x:v>
      </x:c>
      <x:c r="H60" s="32" t="str">
        <x:v>Choose this capability when you need to build intent-based conversational assistants for voice and text channels.</x:v>
      </x:c>
      <x:c r="I60" s="32" t="str">
        <x:v>What business outcome, scale, control, integration and operating model justify choosing conversational bot platform?</x:v>
      </x:c>
      <x:c r="J60" s="32" t="str">
        <x:v>Managed speed and native integration versus model portability, transparency and control.</x:v>
      </x:c>
      <x:c r="K60" s="32" t="n">
        <x:v>3</x:v>
      </x:c>
      <x:c r="L60" s="32" t="str">
        <x:v>Moderate</x:v>
      </x:c>
      <x:c r="M60" s="32" t="str">
        <x:v>1–3 weeks</x:v>
      </x:c>
      <x:c r="N60" s="32" t="str">
        <x:v>Medium</x:v>
      </x:c>
      <x:c r="O60" s="32" t="str">
        <x:v>Amazon Lex</x:v>
      </x:c>
      <x:c r="P60" s="32" t="str">
        <x:v>Azure AI Bot Service
Azure Language</x:v>
      </x:c>
      <x:c r="Q60" s="32" t="str">
        <x:v>Conversational Agents (Dialogflow CX)
Dialogflow ES</x:v>
      </x:c>
      <x:c r="R60" s="32" t="n">
        <x:f>'Provider Ratings'!AD60</x:f>
        <x:v>3.88</x:v>
      </x:c>
      <x:c r="S60" s="32" t="n">
        <x:f>'Provider Ratings'!AE60</x:f>
        <x:v>3.84</x:v>
      </x:c>
      <x:c r="T60" s="32" t="n">
        <x:f>'Provider Ratings'!AF60</x:f>
        <x:v>3.85</x:v>
      </x:c>
      <x:c r="U60" s="32" t="str">
        <x:f>'Provider Ratings'!AG60</x:f>
        <x:v>Context-dependent tie</x:v>
      </x:c>
      <x:c r="V60" s="32" t="str">
        <x:f>'Provider Ratings'!AH60</x:f>
        <x:v>Scores are close: use ecosystem, data gravity, region, skills, commercials and proof-of-value results to decide.</x:v>
      </x:c>
      <x:c r="W60" s="32" t="str">
        <x:v>Close</x:v>
      </x:c>
      <x:c r="X60" s="32"/>
      <x:c r="Y60" s="32" t="str">
        <x:v>2026-07-12</x:v>
      </x:c>
    </x:row>
    <x:row r="61">
      <x:c r="A61" s="32" t="str">
        <x:v>07 AI &amp; Intelligent Systems</x:v>
      </x:c>
      <x:c r="B61" s="32" t="str">
        <x:v>AI &amp; Machine Learning</x:v>
      </x:c>
      <x:c r="C61" s="32" t="str">
        <x:v>Agents, RAG &amp; Enterprise Search</x:v>
      </x:c>
      <x:c r="D61" s="32" t="str">
        <x:v>Workload</x:v>
      </x:c>
      <x:c r="E61" s="32" t="str">
        <x:v>Contact-centre AI</x:v>
      </x:c>
      <x:c r="F61" s="32" t="str">
        <x:v>Agent assistance and conversation analytics</x:v>
      </x:c>
      <x:c r="G61" s="32" t="str">
        <x:v>Assist human contact-centre agents and analyse customer interactions.</x:v>
      </x:c>
      <x:c r="H61" s="32" t="str">
        <x:v>Choose this capability when you need to assist human contact-centre agents and analyse customer interactions.</x:v>
      </x:c>
      <x:c r="I61" s="32" t="str">
        <x:v>What must the system retrieve, reason over, call as tools, govern and observe?</x:v>
      </x:c>
      <x:c r="J61" s="32" t="str">
        <x:v>Managed speed and native integration versus model portability, transparency and control.</x:v>
      </x:c>
      <x:c r="K61" s="32" t="n">
        <x:v>3</x:v>
      </x:c>
      <x:c r="L61" s="32" t="str">
        <x:v>Moderate</x:v>
      </x:c>
      <x:c r="M61" s="32" t="str">
        <x:v>1–3 weeks</x:v>
      </x:c>
      <x:c r="N61" s="32" t="str">
        <x:v>Medium</x:v>
      </x:c>
      <x:c r="O61" s="32" t="str">
        <x:v>Amazon Connect
Amazon Q in Connect
Contact Lens</x:v>
      </x:c>
      <x:c r="P61" s="32" t="str">
        <x:v>Dynamics 365 Contact Center
Azure Communication Services
Microsoft Foundry</x:v>
      </x:c>
      <x:c r="Q61" s="32" t="str">
        <x:v>Agent Assist
Customer Experience Insights
Google Cloud CCaaS</x:v>
      </x:c>
      <x:c r="R61" s="32" t="n">
        <x:f>'Provider Ratings'!AD61</x:f>
        <x:v>3.63</x:v>
      </x:c>
      <x:c r="S61" s="32" t="n">
        <x:f>'Provider Ratings'!AE61</x:f>
        <x:v>3.65</x:v>
      </x:c>
      <x:c r="T61" s="32" t="n">
        <x:f>'Provider Ratings'!AF61</x:f>
        <x:v>3.83</x:v>
      </x:c>
      <x:c r="U61" s="32" t="str">
        <x:f>'Provider Ratings'!AG61</x:f>
        <x:v>GCP</x:v>
      </x:c>
      <x:c r="V61" s="32" t="str">
        <x:f>'Provider Ratings'!AH61</x:f>
        <x:v>Start with Google Cloud when data, AI, Kubernetes, network or managed developer experience is the main differentiator.</x:v>
      </x:c>
      <x:c r="W61" s="32" t="str">
        <x:v>Partial</x:v>
      </x:c>
      <x:c r="X61" s="32"/>
      <x:c r="Y61" s="32" t="str">
        <x:v>2026-07-12</x:v>
      </x:c>
    </x:row>
    <x:row r="62">
      <x:c r="A62" s="32" t="str">
        <x:v>07 AI &amp; Intelligent Systems</x:v>
      </x:c>
      <x:c r="B62" s="32" t="str">
        <x:v>AI &amp; Machine Learning</x:v>
      </x:c>
      <x:c r="C62" s="32" t="str">
        <x:v>Industry &amp; Applied AI</x:v>
      </x:c>
      <x:c r="D62" s="32" t="str">
        <x:v>Workload</x:v>
      </x:c>
      <x:c r="E62" s="32" t="str">
        <x:v>Personalisation</x:v>
      </x:c>
      <x:c r="F62" s="32" t="str">
        <x:v>Managed recommendations</x:v>
      </x:c>
      <x:c r="G62" s="32" t="str">
        <x:v>Deliver personalised rankings and recommendations from behavioural data.</x:v>
      </x:c>
      <x:c r="H62" s="32" t="str">
        <x:v>Choose this capability when you need to deliver personalised rankings and recommendations from behavioural data.</x:v>
      </x:c>
      <x:c r="I62" s="32" t="str">
        <x:v>What business outcome, scale, control, integration and operating model justify choosing managed recommendations?</x:v>
      </x:c>
      <x:c r="J62" s="32" t="str">
        <x:v>Managed speed and native integration versus model portability, transparency and control.</x:v>
      </x:c>
      <x:c r="K62" s="32" t="n">
        <x:v>3</x:v>
      </x:c>
      <x:c r="L62" s="32" t="str">
        <x:v>Moderate</x:v>
      </x:c>
      <x:c r="M62" s="32" t="str">
        <x:v>1–3 weeks</x:v>
      </x:c>
      <x:c r="N62" s="32" t="str">
        <x:v>Medium</x:v>
      </x:c>
      <x:c r="O62" s="32" t="str">
        <x:v>Amazon Personalize</x:v>
      </x:c>
      <x:c r="P62" s="32" t="str">
        <x:v>Azure Machine Learning</x:v>
      </x:c>
      <x:c r="Q62" s="32" t="str">
        <x:v>Recommendations AI / AI Commerce Search</x:v>
      </x:c>
      <x:c r="R62" s="32" t="n">
        <x:f>'Provider Ratings'!AD62</x:f>
        <x:v>3.7</x:v>
      </x:c>
      <x:c r="S62" s="32" t="n">
        <x:f>'Provider Ratings'!AE62</x:f>
        <x:v>3.74</x:v>
      </x:c>
      <x:c r="T62" s="32" t="n">
        <x:f>'Provider Ratings'!AF62</x:f>
        <x:v>3.68</x:v>
      </x:c>
      <x:c r="U62" s="32" t="str">
        <x:f>'Provider Ratings'!AG62</x:f>
        <x:v>Context-dependent tie</x:v>
      </x:c>
      <x:c r="V62" s="32" t="str">
        <x:f>'Provider Ratings'!AH62</x:f>
        <x:v>Scores are close: use ecosystem, data gravity, region, skills, commercials and proof-of-value results to decide.</x:v>
      </x:c>
      <x:c r="W62" s="32" t="str">
        <x:v>Partial</x:v>
      </x:c>
      <x:c r="X62" s="32"/>
      <x:c r="Y62" s="32" t="str">
        <x:v>2026-07-12</x:v>
      </x:c>
    </x:row>
    <x:row r="63">
      <x:c r="A63" s="32" t="str">
        <x:v>07 AI &amp; Intelligent Systems</x:v>
      </x:c>
      <x:c r="B63" s="32" t="str">
        <x:v>AI &amp; Machine Learning</x:v>
      </x:c>
      <x:c r="C63" s="32" t="str">
        <x:v>Industry &amp; Applied AI</x:v>
      </x:c>
      <x:c r="D63" s="32" t="str">
        <x:v>Workload</x:v>
      </x:c>
      <x:c r="E63" s="32" t="str">
        <x:v>Forecasting</x:v>
      </x:c>
      <x:c r="F63" s="32" t="str">
        <x:v>Demand and time-series forecasting</x:v>
      </x:c>
      <x:c r="G63" s="32" t="str">
        <x:v>Create forecasts from historical time-series and related data.</x:v>
      </x:c>
      <x:c r="H63" s="32" t="str">
        <x:v>Choose this capability when you need to create forecasts from historical time-series and related data.</x:v>
      </x:c>
      <x:c r="I63" s="32" t="str">
        <x:v>What business outcome, scale, control, integration and operating model justify choosing demand and time-series forecasting?</x:v>
      </x:c>
      <x:c r="J63" s="32" t="str">
        <x:v>Managed speed and native integration versus model portability, transparency and control.</x:v>
      </x:c>
      <x:c r="K63" s="32" t="n">
        <x:v>3</x:v>
      </x:c>
      <x:c r="L63" s="32" t="str">
        <x:v>Moderate</x:v>
      </x:c>
      <x:c r="M63" s="32" t="str">
        <x:v>1–3 weeks</x:v>
      </x:c>
      <x:c r="N63" s="32" t="str">
        <x:v>Medium</x:v>
      </x:c>
      <x:c r="O63" s="32" t="str">
        <x:v>Amazon SageMaker AI
Amazon Forecast legacy</x:v>
      </x:c>
      <x:c r="P63" s="32" t="str">
        <x:v>Azure Machine Learning
Azure Databricks</x:v>
      </x:c>
      <x:c r="Q63" s="32" t="str">
        <x:v>Vertex AI
BigQuery ML</x:v>
      </x:c>
      <x:c r="R63" s="32" t="n">
        <x:f>'Provider Ratings'!AD63</x:f>
        <x:v>3.26</x:v>
      </x:c>
      <x:c r="S63" s="32" t="n">
        <x:f>'Provider Ratings'!AE63</x:f>
        <x:v>3.65</x:v>
      </x:c>
      <x:c r="T63" s="32" t="n">
        <x:f>'Provider Ratings'!AF63</x:f>
        <x:v>3.68</x:v>
      </x:c>
      <x:c r="U63" s="32" t="str">
        <x:f>'Provider Ratings'!AG63</x:f>
        <x:v>Context-dependent tie</x:v>
      </x:c>
      <x:c r="V63" s="32" t="str">
        <x:f>'Provider Ratings'!AH63</x:f>
        <x:v>Scores are close: use ecosystem, data gravity, region, skills, commercials and proof-of-value results to decide.</x:v>
      </x:c>
      <x:c r="W63" s="32" t="str">
        <x:v>Partial</x:v>
      </x:c>
      <x:c r="X63" s="32"/>
      <x:c r="Y63" s="32" t="str">
        <x:v>2026-07-12</x:v>
      </x:c>
    </x:row>
    <x:row r="64">
      <x:c r="A64" s="32" t="str">
        <x:v>07 AI &amp; Intelligent Systems</x:v>
      </x:c>
      <x:c r="B64" s="32" t="str">
        <x:v>AI &amp; Machine Learning</x:v>
      </x:c>
      <x:c r="C64" s="32" t="str">
        <x:v>Industry &amp; Applied AI</x:v>
      </x:c>
      <x:c r="D64" s="32" t="str">
        <x:v>Workload</x:v>
      </x:c>
      <x:c r="E64" s="32" t="str">
        <x:v>Fraud &amp; risk</x:v>
      </x:c>
      <x:c r="F64" s="32" t="str">
        <x:v>Fraud detection</x:v>
      </x:c>
      <x:c r="G64" s="32" t="str">
        <x:v>Build or consume models that identify suspicious transactions and behaviour.</x:v>
      </x:c>
      <x:c r="H64" s="32" t="str">
        <x:v>Choose this capability when you need to build or consume models that identify suspicious transactions and behaviour.</x:v>
      </x:c>
      <x:c r="I64" s="32" t="str">
        <x:v>What business outcome, scale, control, integration and operating model justify choosing fraud detection?</x:v>
      </x:c>
      <x:c r="J64" s="32" t="str">
        <x:v>Managed speed and native integration versus model portability, transparency and control.</x:v>
      </x:c>
      <x:c r="K64" s="32" t="n">
        <x:v>3</x:v>
      </x:c>
      <x:c r="L64" s="32" t="str">
        <x:v>Moderate</x:v>
      </x:c>
      <x:c r="M64" s="32" t="str">
        <x:v>1–3 weeks</x:v>
      </x:c>
      <x:c r="N64" s="32" t="str">
        <x:v>Medium</x:v>
      </x:c>
      <x:c r="O64" s="32" t="str">
        <x:v>Amazon Fraud Detector
SageMaker AI</x:v>
      </x:c>
      <x:c r="P64" s="32" t="str">
        <x:v>Azure Machine Learning
Microsoft Fabric</x:v>
      </x:c>
      <x:c r="Q64" s="32" t="str">
        <x:v>Anti Money Laundering AI
Vertex AI</x:v>
      </x:c>
      <x:c r="R64" s="32" t="n">
        <x:f>'Provider Ratings'!AD64</x:f>
        <x:v>3.63</x:v>
      </x:c>
      <x:c r="S64" s="32" t="n">
        <x:f>'Provider Ratings'!AE64</x:f>
        <x:v>3.65</x:v>
      </x:c>
      <x:c r="T64" s="32" t="n">
        <x:f>'Provider Ratings'!AF64</x:f>
        <x:v>3.68</x:v>
      </x:c>
      <x:c r="U64" s="32" t="str">
        <x:f>'Provider Ratings'!AG64</x:f>
        <x:v>Context-dependent tie</x:v>
      </x:c>
      <x:c r="V64" s="32" t="str">
        <x:f>'Provider Ratings'!AH64</x:f>
        <x:v>Scores are close: use ecosystem, data gravity, region, skills, commercials and proof-of-value results to decide.</x:v>
      </x:c>
      <x:c r="W64" s="32" t="str">
        <x:v>Partial</x:v>
      </x:c>
      <x:c r="X64" s="32"/>
      <x:c r="Y64" s="32" t="str">
        <x:v>2026-07-12</x:v>
      </x:c>
    </x:row>
    <x:row r="65">
      <x:c r="A65" s="32" t="str">
        <x:v>07 AI &amp; Intelligent Systems</x:v>
      </x:c>
      <x:c r="B65" s="32" t="str">
        <x:v>AI &amp; Machine Learning</x:v>
      </x:c>
      <x:c r="C65" s="32" t="str">
        <x:v>Industry &amp; Applied AI</x:v>
      </x:c>
      <x:c r="D65" s="32" t="str">
        <x:v>Workload</x:v>
      </x:c>
      <x:c r="E65" s="32" t="str">
        <x:v>Anomaly detection</x:v>
      </x:c>
      <x:c r="F65" s="32" t="str">
        <x:v>Anomaly and metric detection</x:v>
      </x:c>
      <x:c r="G65" s="32" t="str">
        <x:v>Identify unusual patterns in metrics, events or industrial equipment.</x:v>
      </x:c>
      <x:c r="H65" s="32" t="str">
        <x:v>Choose this capability when you need to identify unusual patterns in metrics, events or industrial equipment.</x:v>
      </x:c>
      <x:c r="I65" s="32" t="str">
        <x:v>What business outcome, scale, control, integration and operating model justify choosing anomaly and metric detection?</x:v>
      </x:c>
      <x:c r="J65" s="32" t="str">
        <x:v>Managed speed and native integration versus model portability, transparency and control.</x:v>
      </x:c>
      <x:c r="K65" s="32" t="n">
        <x:v>3</x:v>
      </x:c>
      <x:c r="L65" s="32" t="str">
        <x:v>Moderate</x:v>
      </x:c>
      <x:c r="M65" s="32" t="str">
        <x:v>1–3 weeks</x:v>
      </x:c>
      <x:c r="N65" s="32" t="str">
        <x:v>Medium</x:v>
      </x:c>
      <x:c r="O65" s="32" t="str">
        <x:v>Amazon Lookout for Equipment
Amazon DevOps Guru</x:v>
      </x:c>
      <x:c r="P65" s="32" t="str">
        <x:v>Azure Machine Learning
Azure Monitor</x:v>
      </x:c>
      <x:c r="Q65" s="32" t="str">
        <x:v>Vertex AI
Cloud Monitoring</x:v>
      </x:c>
      <x:c r="R65" s="32" t="n">
        <x:f>'Provider Ratings'!AD65</x:f>
        <x:v>3.63</x:v>
      </x:c>
      <x:c r="S65" s="32" t="n">
        <x:f>'Provider Ratings'!AE65</x:f>
        <x:v>3.65</x:v>
      </x:c>
      <x:c r="T65" s="32" t="n">
        <x:f>'Provider Ratings'!AF65</x:f>
        <x:v>3.68</x:v>
      </x:c>
      <x:c r="U65" s="32" t="str">
        <x:f>'Provider Ratings'!AG65</x:f>
        <x:v>Context-dependent tie</x:v>
      </x:c>
      <x:c r="V65" s="32" t="str">
        <x:f>'Provider Ratings'!AH65</x:f>
        <x:v>Scores are close: use ecosystem, data gravity, region, skills, commercials and proof-of-value results to decide.</x:v>
      </x:c>
      <x:c r="W65" s="32" t="str">
        <x:v>Partial</x:v>
      </x:c>
      <x:c r="X65" s="32"/>
      <x:c r="Y65" s="32" t="str">
        <x:v>2026-07-12</x:v>
      </x:c>
    </x:row>
    <x:row r="66">
      <x:c r="A66" s="32" t="str">
        <x:v>07 AI &amp; Intelligent Systems</x:v>
      </x:c>
      <x:c r="B66" s="32" t="str">
        <x:v>AI &amp; Machine Learning</x:v>
      </x:c>
      <x:c r="C66" s="32" t="str">
        <x:v>Industry &amp; Applied AI</x:v>
      </x:c>
      <x:c r="D66" s="32" t="str">
        <x:v>Workload</x:v>
      </x:c>
      <x:c r="E66" s="32" t="str">
        <x:v>Healthcare AI</x:v>
      </x:c>
      <x:c r="F66" s="32" t="str">
        <x:v>Healthcare data and AI</x:v>
      </x:c>
      <x:c r="G66" s="32" t="str">
        <x:v>Ingest, normalise, search and apply AI to healthcare information.</x:v>
      </x:c>
      <x:c r="H66" s="32" t="str">
        <x:v>Choose this capability when you need to ingest, normalise, search and apply ai to healthcare information.</x:v>
      </x:c>
      <x:c r="I66" s="32" t="str">
        <x:v>What business outcome, scale, control, integration and operating model justify choosing healthcare data and ai?</x:v>
      </x:c>
      <x:c r="J66" s="32" t="str">
        <x:v>Managed speed and native integration versus model portability, transparency and control.</x:v>
      </x:c>
      <x:c r="K66" s="32" t="n">
        <x:v>3</x:v>
      </x:c>
      <x:c r="L66" s="32" t="str">
        <x:v>Moderate</x:v>
      </x:c>
      <x:c r="M66" s="32" t="str">
        <x:v>1–3 weeks</x:v>
      </x:c>
      <x:c r="N66" s="32" t="str">
        <x:v>Medium</x:v>
      </x:c>
      <x:c r="O66" s="32" t="str">
        <x:v>AWS HealthLake
AWS HealthScribe
Amazon Comprehend Medical</x:v>
      </x:c>
      <x:c r="P66" s="32" t="str">
        <x:v>Azure Health Data Services
Microsoft Cloud for Healthcare</x:v>
      </x:c>
      <x:c r="Q66" s="32" t="str">
        <x:v>Cloud Healthcare API
Healthcare Data Engine</x:v>
      </x:c>
      <x:c r="R66" s="32" t="n">
        <x:f>'Provider Ratings'!AD66</x:f>
        <x:v>3.8</x:v>
      </x:c>
      <x:c r="S66" s="32" t="n">
        <x:f>'Provider Ratings'!AE66</x:f>
        <x:v>3.84</x:v>
      </x:c>
      <x:c r="T66" s="32" t="n">
        <x:f>'Provider Ratings'!AF66</x:f>
        <x:v>3.85</x:v>
      </x:c>
      <x:c r="U66" s="32" t="str">
        <x:f>'Provider Ratings'!AG66</x:f>
        <x:v>Context-dependent tie</x:v>
      </x:c>
      <x:c r="V66" s="32" t="str">
        <x:f>'Provider Ratings'!AH66</x:f>
        <x:v>Scores are close: use ecosystem, data gravity, region, skills, commercials and proof-of-value results to decide.</x:v>
      </x:c>
      <x:c r="W66" s="32" t="str">
        <x:v>Close</x:v>
      </x:c>
      <x:c r="X66" s="32"/>
      <x:c r="Y66" s="32" t="str">
        <x:v>2026-07-12</x:v>
      </x:c>
    </x:row>
    <x:row r="67">
      <x:c r="A67" s="32" t="str">
        <x:v>07 AI &amp; Intelligent Systems</x:v>
      </x:c>
      <x:c r="B67" s="32" t="str">
        <x:v>AI &amp; Machine Learning</x:v>
      </x:c>
      <x:c r="C67" s="32" t="str">
        <x:v>Industry &amp; Applied AI</x:v>
      </x:c>
      <x:c r="D67" s="32" t="str">
        <x:v>Workload</x:v>
      </x:c>
      <x:c r="E67" s="32" t="str">
        <x:v>Developer AI</x:v>
      </x:c>
      <x:c r="F67" s="32" t="str">
        <x:v>AI coding assistant</x:v>
      </x:c>
      <x:c r="G67" s="32" t="str">
        <x:v>Generate, explain, review and transform code within developer workflows.</x:v>
      </x:c>
      <x:c r="H67" s="32" t="str">
        <x:v>Choose this capability when you need to generate, explain, review and transform code within developer workflows.</x:v>
      </x:c>
      <x:c r="I67" s="32" t="str">
        <x:v>What business outcome, scale, control, integration and operating model justify choosing ai coding assistant?</x:v>
      </x:c>
      <x:c r="J67" s="32" t="str">
        <x:v>Managed speed and native integration versus model portability, transparency and control.</x:v>
      </x:c>
      <x:c r="K67" s="32" t="n">
        <x:v>3</x:v>
      </x:c>
      <x:c r="L67" s="32" t="str">
        <x:v>Moderate</x:v>
      </x:c>
      <x:c r="M67" s="32" t="str">
        <x:v>1–3 weeks</x:v>
      </x:c>
      <x:c r="N67" s="32" t="str">
        <x:v>Medium</x:v>
      </x:c>
      <x:c r="O67" s="32" t="str">
        <x:v>Amazon Q Developer
Kiro</x:v>
      </x:c>
      <x:c r="P67" s="32" t="str">
        <x:v>GitHub Copilot</x:v>
      </x:c>
      <x:c r="Q67" s="32" t="str">
        <x:v>Gemini Code Assist</x:v>
      </x:c>
      <x:c r="R67" s="32" t="n">
        <x:f>'Provider Ratings'!AD67</x:f>
        <x:v>3.8</x:v>
      </x:c>
      <x:c r="S67" s="32" t="n">
        <x:f>'Provider Ratings'!AE67</x:f>
        <x:v>3.93</x:v>
      </x:c>
      <x:c r="T67" s="32" t="n">
        <x:f>'Provider Ratings'!AF67</x:f>
        <x:v>3.94</x:v>
      </x:c>
      <x:c r="U67" s="32" t="str">
        <x:f>'Provider Ratings'!AG67</x:f>
        <x:v>Context-dependent tie</x:v>
      </x:c>
      <x:c r="V67" s="32" t="str">
        <x:f>'Provider Ratings'!AH67</x:f>
        <x:v>Scores are close: use ecosystem, data gravity, region, skills, commercials and proof-of-value results to decide.</x:v>
      </x:c>
      <x:c r="W67" s="32" t="str">
        <x:v>Close</x:v>
      </x:c>
      <x:c r="X67" s="32"/>
      <x:c r="Y67" s="32" t="str">
        <x:v>2026-07-12</x:v>
      </x:c>
    </x:row>
    <x:row r="68">
      <x:c r="A68" s="32" t="str">
        <x:v>07 AI &amp; Intelligent Systems</x:v>
      </x:c>
      <x:c r="B68" s="32" t="str">
        <x:v>AI &amp; Machine Learning</x:v>
      </x:c>
      <x:c r="C68" s="32" t="str">
        <x:v>Industry &amp; Applied AI</x:v>
      </x:c>
      <x:c r="D68" s="32" t="str">
        <x:v>Workload</x:v>
      </x:c>
      <x:c r="E68" s="32" t="str">
        <x:v>Enterprise AI assistant</x:v>
      </x:c>
      <x:c r="F68" s="32" t="str">
        <x:v>Enterprise AI assistant</x:v>
      </x:c>
      <x:c r="G68" s="32" t="str">
        <x:v>Provide grounded conversational assistance across enterprise systems and cloud operations.</x:v>
      </x:c>
      <x:c r="H68" s="32" t="str">
        <x:v>Choose this capability when you need to provide grounded conversational assistance across enterprise systems and cloud operations.</x:v>
      </x:c>
      <x:c r="I68" s="32" t="str">
        <x:v>What business outcome, scale, control, integration and operating model justify choosing enterprise ai assistant?</x:v>
      </x:c>
      <x:c r="J68" s="32" t="str">
        <x:v>Managed speed and native integration versus model portability, transparency and control.</x:v>
      </x:c>
      <x:c r="K68" s="32" t="n">
        <x:v>3</x:v>
      </x:c>
      <x:c r="L68" s="32" t="str">
        <x:v>Moderate</x:v>
      </x:c>
      <x:c r="M68" s="32" t="str">
        <x:v>1–3 weeks</x:v>
      </x:c>
      <x:c r="N68" s="32" t="str">
        <x:v>Medium</x:v>
      </x:c>
      <x:c r="O68" s="32" t="str">
        <x:v>Amazon Q Business</x:v>
      </x:c>
      <x:c r="P68" s="32" t="str">
        <x:v>Microsoft 365 Copilot
Azure Copilot</x:v>
      </x:c>
      <x:c r="Q68" s="32" t="str">
        <x:v>Gemini Enterprise
Gemini Cloud Assist</x:v>
      </x:c>
      <x:c r="R68" s="32" t="n">
        <x:f>'Provider Ratings'!AD68</x:f>
        <x:v>3.7</x:v>
      </x:c>
      <x:c r="S68" s="32" t="n">
        <x:f>'Provider Ratings'!AE68</x:f>
        <x:v>3.65</x:v>
      </x:c>
      <x:c r="T68" s="32" t="n">
        <x:f>'Provider Ratings'!AF68</x:f>
        <x:v>3.68</x:v>
      </x:c>
      <x:c r="U68" s="32" t="str">
        <x:f>'Provider Ratings'!AG68</x:f>
        <x:v>Context-dependent tie</x:v>
      </x:c>
      <x:c r="V68" s="32" t="str">
        <x:f>'Provider Ratings'!AH68</x:f>
        <x:v>Scores are close: use ecosystem, data gravity, region, skills, commercials and proof-of-value results to decide.</x:v>
      </x:c>
      <x:c r="W68" s="32" t="str">
        <x:v>Partial</x:v>
      </x:c>
      <x:c r="X68" s="32"/>
      <x:c r="Y68" s="32" t="str">
        <x:v>2026-07-12</x:v>
      </x:c>
    </x:row>
    <x:row r="69">
      <x:c r="A69" s="32" t="str">
        <x:v>07 AI &amp; Intelligent Systems</x:v>
      </x:c>
      <x:c r="B69" s="32" t="str">
        <x:v>AI &amp; Machine Learning</x:v>
      </x:c>
      <x:c r="C69" s="32" t="str">
        <x:v>Foundation Models &amp; GenAI</x:v>
      </x:c>
      <x:c r="D69" s="32" t="str">
        <x:v>Workload</x:v>
      </x:c>
      <x:c r="E69" s="32" t="str">
        <x:v>Synthetic media</x:v>
      </x:c>
      <x:c r="F69" s="32" t="str">
        <x:v>Image generation</x:v>
      </x:c>
      <x:c r="G69" s="32" t="str">
        <x:v>Generate or edit images from natural-language instructions.</x:v>
      </x:c>
      <x:c r="H69" s="32" t="str">
        <x:v>Choose this capability when you need to generate or edit images from natural-language instructions.</x:v>
      </x:c>
      <x:c r="I69" s="32" t="str">
        <x:v>Do you need model choice, provider-native models, customisation, enterprise controls, or lowest operational effort?</x:v>
      </x:c>
      <x:c r="J69" s="32" t="str">
        <x:v>Managed speed and native integration versus model portability, transparency and control.</x:v>
      </x:c>
      <x:c r="K69" s="32" t="n">
        <x:v>3</x:v>
      </x:c>
      <x:c r="L69" s="32" t="str">
        <x:v>Moderate</x:v>
      </x:c>
      <x:c r="M69" s="32" t="str">
        <x:v>1–3 weeks</x:v>
      </x:c>
      <x:c r="N69" s="32" t="str">
        <x:v>Medium</x:v>
      </x:c>
      <x:c r="O69" s="32" t="str">
        <x:v>Amazon Nova Canvas
Amazon Titan Image Generator</x:v>
      </x:c>
      <x:c r="P69" s="32" t="str">
        <x:v>Azure OpenAI image models
Foundry Models</x:v>
      </x:c>
      <x:c r="Q69" s="32" t="str">
        <x:v>Imagen on Vertex AI</x:v>
      </x:c>
      <x:c r="R69" s="32" t="n">
        <x:f>'Provider Ratings'!AD69</x:f>
        <x:v>3.83</x:v>
      </x:c>
      <x:c r="S69" s="32" t="n">
        <x:f>'Provider Ratings'!AE69</x:f>
        <x:v>3.92</x:v>
      </x:c>
      <x:c r="T69" s="32" t="n">
        <x:f>'Provider Ratings'!AF69</x:f>
        <x:v>4.18</x:v>
      </x:c>
      <x:c r="U69" s="32" t="str">
        <x:f>'Provider Ratings'!AG69</x:f>
        <x:v>GCP</x:v>
      </x:c>
      <x:c r="V69" s="32" t="str">
        <x:f>'Provider Ratings'!AH69</x:f>
        <x:v>Start with Google Cloud when data, AI, Kubernetes, network or managed developer experience is the main differentiator.</x:v>
      </x:c>
      <x:c r="W69" s="32" t="str">
        <x:v>Close</x:v>
      </x:c>
      <x:c r="X69" s="32"/>
      <x:c r="Y69" s="32" t="str">
        <x:v>2026-07-12</x:v>
      </x:c>
    </x:row>
    <x:row r="70">
      <x:c r="A70" s="32" t="str">
        <x:v>04 Compute, Containers &amp; Runtime</x:v>
      </x:c>
      <x:c r="B70" s="32" t="str">
        <x:v>Compute &amp; Application Hosting</x:v>
      </x:c>
      <x:c r="C70" s="32" t="str">
        <x:v>Virtual Machines &amp; Core Compute</x:v>
      </x:c>
      <x:c r="D70" s="32" t="str">
        <x:v>Workload</x:v>
      </x:c>
      <x:c r="E70" s="32" t="str">
        <x:v>Virtual machines</x:v>
      </x:c>
      <x:c r="F70" s="32" t="str">
        <x:v>General-purpose virtual machines</x:v>
      </x:c>
      <x:c r="G70" s="32" t="str">
        <x:v>Provision resizable virtual machines with selectable operating systems and hardware.</x:v>
      </x:c>
      <x:c r="H70" s="32" t="str">
        <x:v>Choose this capability when you need to provision resizable virtual machines with selectable operating systems and hardware.</x:v>
      </x:c>
      <x:c r="I70" s="32" t="str">
        <x:v>How much OS, network and hardware control is required, and who will operate it?</x:v>
      </x:c>
      <x:c r="J70" s="32" t="str">
        <x:v>Operational simplicity versus infrastructure control and portability.</x:v>
      </x:c>
      <x:c r="K70" s="32" t="n">
        <x:v>3</x:v>
      </x:c>
      <x:c r="L70" s="32" t="str">
        <x:v>Moderate</x:v>
      </x:c>
      <x:c r="M70" s="32" t="str">
        <x:v>1–3 weeks</x:v>
      </x:c>
      <x:c r="N70" s="32" t="str">
        <x:v>Low</x:v>
      </x:c>
      <x:c r="O70" s="32" t="str">
        <x:v>Amazon EC2</x:v>
      </x:c>
      <x:c r="P70" s="32" t="str">
        <x:v>Azure Virtual Machines
Linux Virtual Machines</x:v>
      </x:c>
      <x:c r="Q70" s="32" t="str">
        <x:v>Compute Engine</x:v>
      </x:c>
      <x:c r="R70" s="32" t="n">
        <x:f>'Provider Ratings'!AD70</x:f>
        <x:v>4.14</x:v>
      </x:c>
      <x:c r="S70" s="32" t="n">
        <x:f>'Provider Ratings'!AE70</x:f>
        <x:v>3.95</x:v>
      </x:c>
      <x:c r="T70" s="32" t="n">
        <x:f>'Provider Ratings'!AF70</x:f>
        <x:v>4.04</x:v>
      </x:c>
      <x:c r="U70" s="32" t="str">
        <x:f>'Provider Ratings'!AG70</x:f>
        <x:v>Context-dependent tie</x:v>
      </x:c>
      <x:c r="V70" s="32" t="str">
        <x:f>'Provider Ratings'!AH70</x:f>
        <x:v>Scores are close: use ecosystem, data gravity, region, skills, commercials and proof-of-value results to decide.</x:v>
      </x:c>
      <x:c r="W70" s="32" t="str">
        <x:v>Exact</x:v>
      </x:c>
      <x:c r="X70" s="32"/>
      <x:c r="Y70" s="32" t="str">
        <x:v>2026-07-12</x:v>
      </x:c>
    </x:row>
    <x:row r="71">
      <x:c r="A71" s="32" t="str">
        <x:v>04 Compute, Containers &amp; Runtime</x:v>
      </x:c>
      <x:c r="B71" s="32" t="str">
        <x:v>Compute &amp; Application Hosting</x:v>
      </x:c>
      <x:c r="C71" s="32" t="str">
        <x:v>Virtual Machines &amp; Core Compute</x:v>
      </x:c>
      <x:c r="D71" s="32" t="str">
        <x:v>Workload</x:v>
      </x:c>
      <x:c r="E71" s="32" t="str">
        <x:v>Autoscaling</x:v>
      </x:c>
      <x:c r="F71" s="32" t="str">
        <x:v>Virtual-machine autoscaling</x:v>
      </x:c>
      <x:c r="G71" s="32" t="str">
        <x:v>Automatically add or remove virtual-machine capacity based on demand or schedules.</x:v>
      </x:c>
      <x:c r="H71" s="32" t="str">
        <x:v>Choose this capability when you need to automatically add or remove virtual-machine capacity based on demand or schedules.</x:v>
      </x:c>
      <x:c r="I71" s="32" t="str">
        <x:v>How much OS, network and hardware control is required, and who will operate it?</x:v>
      </x:c>
      <x:c r="J71" s="32" t="str">
        <x:v>Operational simplicity versus infrastructure control and portability.</x:v>
      </x:c>
      <x:c r="K71" s="32" t="n">
        <x:v>3</x:v>
      </x:c>
      <x:c r="L71" s="32" t="str">
        <x:v>Moderate</x:v>
      </x:c>
      <x:c r="M71" s="32" t="str">
        <x:v>1–3 weeks</x:v>
      </x:c>
      <x:c r="N71" s="32" t="str">
        <x:v>Low</x:v>
      </x:c>
      <x:c r="O71" s="32" t="str">
        <x:v>Amazon EC2 Auto Scaling</x:v>
      </x:c>
      <x:c r="P71" s="32" t="str">
        <x:v>Virtual Machine Scale Sets</x:v>
      </x:c>
      <x:c r="Q71" s="32" t="str">
        <x:v>Managed instance groups</x:v>
      </x:c>
      <x:c r="R71" s="32" t="n">
        <x:f>'Provider Ratings'!AD71</x:f>
        <x:v>4.14</x:v>
      </x:c>
      <x:c r="S71" s="32" t="n">
        <x:f>'Provider Ratings'!AE71</x:f>
        <x:v>4.06</x:v>
      </x:c>
      <x:c r="T71" s="32" t="n">
        <x:f>'Provider Ratings'!AF71</x:f>
        <x:v>4.04</x:v>
      </x:c>
      <x:c r="U71" s="32" t="str">
        <x:f>'Provider Ratings'!AG71</x:f>
        <x:v>Context-dependent tie</x:v>
      </x:c>
      <x:c r="V71" s="32" t="str">
        <x:f>'Provider Ratings'!AH71</x:f>
        <x:v>Scores are close: use ecosystem, data gravity, region, skills, commercials and proof-of-value results to decide.</x:v>
      </x:c>
      <x:c r="W71" s="32" t="str">
        <x:v>Exact</x:v>
      </x:c>
      <x:c r="X71" s="32"/>
      <x:c r="Y71" s="32" t="str">
        <x:v>2026-07-12</x:v>
      </x:c>
    </x:row>
    <x:row r="72">
      <x:c r="A72" s="32" t="str">
        <x:v>04 Compute, Containers &amp; Runtime</x:v>
      </x:c>
      <x:c r="B72" s="32" t="str">
        <x:v>Compute &amp; Application Hosting</x:v>
      </x:c>
      <x:c r="C72" s="32" t="str">
        <x:v>Virtual Machines &amp; Core Compute</x:v>
      </x:c>
      <x:c r="D72" s="32" t="str">
        <x:v>Workload</x:v>
      </x:c>
      <x:c r="E72" s="32" t="str">
        <x:v>Discount compute</x:v>
      </x:c>
      <x:c r="F72" s="32" t="str">
        <x:v>Interruptible compute</x:v>
      </x:c>
      <x:c r="G72" s="32" t="str">
        <x:v>Run fault-tolerant workloads on discounted spare compute capacity.</x:v>
      </x:c>
      <x:c r="H72" s="32" t="str">
        <x:v>Choose this capability when you need to run fault-tolerant workloads on discounted spare compute capacity.</x:v>
      </x:c>
      <x:c r="I72" s="32" t="str">
        <x:v>How much OS, network and hardware control is required, and who will operate it?</x:v>
      </x:c>
      <x:c r="J72" s="32" t="str">
        <x:v>Operational simplicity versus infrastructure control and portability.</x:v>
      </x:c>
      <x:c r="K72" s="32" t="n">
        <x:v>3</x:v>
      </x:c>
      <x:c r="L72" s="32" t="str">
        <x:v>Moderate</x:v>
      </x:c>
      <x:c r="M72" s="32" t="str">
        <x:v>1–3 weeks</x:v>
      </x:c>
      <x:c r="N72" s="32" t="str">
        <x:v>Low</x:v>
      </x:c>
      <x:c r="O72" s="32" t="str">
        <x:v>Amazon EC2 Spot Instances</x:v>
      </x:c>
      <x:c r="P72" s="32" t="str">
        <x:v>Azure Spot Virtual Machines</x:v>
      </x:c>
      <x:c r="Q72" s="32" t="str">
        <x:v>Spot VMs</x:v>
      </x:c>
      <x:c r="R72" s="32" t="n">
        <x:f>'Provider Ratings'!AD72</x:f>
        <x:v>4.14</x:v>
      </x:c>
      <x:c r="S72" s="32" t="n">
        <x:f>'Provider Ratings'!AE72</x:f>
        <x:v>4.06</x:v>
      </x:c>
      <x:c r="T72" s="32" t="n">
        <x:f>'Provider Ratings'!AF72</x:f>
        <x:v>4.04</x:v>
      </x:c>
      <x:c r="U72" s="32" t="str">
        <x:f>'Provider Ratings'!AG72</x:f>
        <x:v>Context-dependent tie</x:v>
      </x:c>
      <x:c r="V72" s="32" t="str">
        <x:f>'Provider Ratings'!AH72</x:f>
        <x:v>Scores are close: use ecosystem, data gravity, region, skills, commercials and proof-of-value results to decide.</x:v>
      </x:c>
      <x:c r="W72" s="32" t="str">
        <x:v>Exact</x:v>
      </x:c>
      <x:c r="X72" s="32"/>
      <x:c r="Y72" s="32" t="str">
        <x:v>2026-07-12</x:v>
      </x:c>
    </x:row>
    <x:row r="73">
      <x:c r="A73" s="32" t="str">
        <x:v>04 Compute, Containers &amp; Runtime</x:v>
      </x:c>
      <x:c r="B73" s="32" t="str">
        <x:v>Compute &amp; Application Hosting</x:v>
      </x:c>
      <x:c r="C73" s="32" t="str">
        <x:v>Virtual Machines &amp; Core Compute</x:v>
      </x:c>
      <x:c r="D73" s="32" t="str">
        <x:v>Workload</x:v>
      </x:c>
      <x:c r="E73" s="32" t="str">
        <x:v>Dedicated compute</x:v>
      </x:c>
      <x:c r="F73" s="32" t="str">
        <x:v>Dedicated hosts</x:v>
      </x:c>
      <x:c r="G73" s="32" t="str">
        <x:v>Run virtual machines on isolated physical servers dedicated to one customer.</x:v>
      </x:c>
      <x:c r="H73" s="32" t="str">
        <x:v>Choose this capability when you need to run virtual machines on isolated physical servers dedicated to one customer.</x:v>
      </x:c>
      <x:c r="I73" s="32" t="str">
        <x:v>How much OS, network and hardware control is required, and who will operate it?</x:v>
      </x:c>
      <x:c r="J73" s="32" t="str">
        <x:v>Operational simplicity versus infrastructure control and portability.</x:v>
      </x:c>
      <x:c r="K73" s="32" t="n">
        <x:v>3</x:v>
      </x:c>
      <x:c r="L73" s="32" t="str">
        <x:v>Moderate</x:v>
      </x:c>
      <x:c r="M73" s="32" t="str">
        <x:v>1–3 weeks</x:v>
      </x:c>
      <x:c r="N73" s="32" t="str">
        <x:v>Low</x:v>
      </x:c>
      <x:c r="O73" s="32" t="str">
        <x:v>Amazon EC2 Dedicated Hosts</x:v>
      </x:c>
      <x:c r="P73" s="32" t="str">
        <x:v>Azure Dedicated Host</x:v>
      </x:c>
      <x:c r="Q73" s="32" t="str">
        <x:v>Sole-tenant nodes</x:v>
      </x:c>
      <x:c r="R73" s="32" t="n">
        <x:f>'Provider Ratings'!AD73</x:f>
        <x:v>4.14</x:v>
      </x:c>
      <x:c r="S73" s="32" t="n">
        <x:f>'Provider Ratings'!AE73</x:f>
        <x:v>4.06</x:v>
      </x:c>
      <x:c r="T73" s="32" t="n">
        <x:f>'Provider Ratings'!AF73</x:f>
        <x:v>4.04</x:v>
      </x:c>
      <x:c r="U73" s="32" t="str">
        <x:f>'Provider Ratings'!AG73</x:f>
        <x:v>Context-dependent tie</x:v>
      </x:c>
      <x:c r="V73" s="32" t="str">
        <x:f>'Provider Ratings'!AH73</x:f>
        <x:v>Scores are close: use ecosystem, data gravity, region, skills, commercials and proof-of-value results to decide.</x:v>
      </x:c>
      <x:c r="W73" s="32" t="str">
        <x:v>Exact</x:v>
      </x:c>
      <x:c r="X73" s="32"/>
      <x:c r="Y73" s="32" t="str">
        <x:v>2026-07-12</x:v>
      </x:c>
    </x:row>
    <x:row r="74">
      <x:c r="A74" s="32" t="str">
        <x:v>04 Compute, Containers &amp; Runtime</x:v>
      </x:c>
      <x:c r="B74" s="32" t="str">
        <x:v>Compute &amp; Application Hosting</x:v>
      </x:c>
      <x:c r="C74" s="32" t="str">
        <x:v>Virtual Machines &amp; Core Compute</x:v>
      </x:c>
      <x:c r="D74" s="32" t="str">
        <x:v>Workload</x:v>
      </x:c>
      <x:c r="E74" s="32" t="str">
        <x:v>Image management</x:v>
      </x:c>
      <x:c r="F74" s="32" t="str">
        <x:v>Machine image builder</x:v>
      </x:c>
      <x:c r="G74" s="32" t="str">
        <x:v>Automate creation, validation and distribution of hardened machine images.</x:v>
      </x:c>
      <x:c r="H74" s="32" t="str">
        <x:v>Choose this capability when you need to automate creation, validation and distribution of hardened machine images.</x:v>
      </x:c>
      <x:c r="I74" s="32" t="str">
        <x:v>How much OS, network and hardware control is required, and who will operate it?</x:v>
      </x:c>
      <x:c r="J74" s="32" t="str">
        <x:v>Operational simplicity versus infrastructure control and portability.</x:v>
      </x:c>
      <x:c r="K74" s="32" t="n">
        <x:v>3</x:v>
      </x:c>
      <x:c r="L74" s="32" t="str">
        <x:v>Moderate</x:v>
      </x:c>
      <x:c r="M74" s="32" t="str">
        <x:v>1–3 weeks</x:v>
      </x:c>
      <x:c r="N74" s="32" t="str">
        <x:v>Low</x:v>
      </x:c>
      <x:c r="O74" s="32" t="str">
        <x:v>EC2 Image Builder</x:v>
      </x:c>
      <x:c r="P74" s="32" t="str">
        <x:v>Azure VM Image Builder
Azure Compute Gallery</x:v>
      </x:c>
      <x:c r="Q74" s="32" t="str">
        <x:v>Image Builder</x:v>
      </x:c>
      <x:c r="R74" s="32" t="n">
        <x:f>'Provider Ratings'!AD74</x:f>
        <x:v>4.07</x:v>
      </x:c>
      <x:c r="S74" s="32" t="n">
        <x:f>'Provider Ratings'!AE74</x:f>
        <x:v>3.9</x:v>
      </x:c>
      <x:c r="T74" s="32" t="n">
        <x:f>'Provider Ratings'!AF74</x:f>
        <x:v>3.98</x:v>
      </x:c>
      <x:c r="U74" s="32" t="str">
        <x:f>'Provider Ratings'!AG74</x:f>
        <x:v>Context-dependent tie</x:v>
      </x:c>
      <x:c r="V74" s="32" t="str">
        <x:f>'Provider Ratings'!AH74</x:f>
        <x:v>Scores are close: use ecosystem, data gravity, region, skills, commercials and proof-of-value results to decide.</x:v>
      </x:c>
      <x:c r="W74" s="32" t="str">
        <x:v>Close</x:v>
      </x:c>
      <x:c r="X74" s="32"/>
      <x:c r="Y74" s="32" t="str">
        <x:v>2026-07-12</x:v>
      </x:c>
    </x:row>
    <x:row r="75">
      <x:c r="A75" s="32" t="str">
        <x:v>04 Compute, Containers &amp; Runtime</x:v>
      </x:c>
      <x:c r="B75" s="32" t="str">
        <x:v>Compute &amp; Application Hosting</x:v>
      </x:c>
      <x:c r="C75" s="32" t="str">
        <x:v>Virtual Machines &amp; Core Compute</x:v>
      </x:c>
      <x:c r="D75" s="32" t="str">
        <x:v>Workload</x:v>
      </x:c>
      <x:c r="E75" s="32" t="str">
        <x:v>Simple cloud hosting</x:v>
      </x:c>
      <x:c r="F75" s="32" t="str">
        <x:v>Simplified virtual server hosting</x:v>
      </x:c>
      <x:c r="G75" s="32" t="str">
        <x:v>Provide bundled, simplified compute, storage and networking for smaller workloads.</x:v>
      </x:c>
      <x:c r="H75" s="32" t="str">
        <x:v>Choose this capability when you need to provide bundled, simplified compute, storage and networking for smaller workloads.</x:v>
      </x:c>
      <x:c r="I75" s="32" t="str">
        <x:v>How much OS, network and hardware control is required, and who will operate it?</x:v>
      </x:c>
      <x:c r="J75" s="32" t="str">
        <x:v>Operational simplicity versus infrastructure control and portability.</x:v>
      </x:c>
      <x:c r="K75" s="32" t="n">
        <x:v>3</x:v>
      </x:c>
      <x:c r="L75" s="32" t="str">
        <x:v>Moderate</x:v>
      </x:c>
      <x:c r="M75" s="32" t="str">
        <x:v>1–3 weeks</x:v>
      </x:c>
      <x:c r="N75" s="32" t="str">
        <x:v>Low</x:v>
      </x:c>
      <x:c r="O75" s="32" t="str">
        <x:v>Amazon Lightsail</x:v>
      </x:c>
      <x:c r="P75" s="32" t="str">
        <x:v>Azure App Service / Virtual Machines</x:v>
      </x:c>
      <x:c r="Q75" s="32" t="str">
        <x:v>Compute Engine / Cloud Run</x:v>
      </x:c>
      <x:c r="R75" s="32" t="n">
        <x:f>'Provider Ratings'!AD75</x:f>
        <x:v>3.91</x:v>
      </x:c>
      <x:c r="S75" s="32" t="n">
        <x:f>'Provider Ratings'!AE75</x:f>
        <x:v>3.71</x:v>
      </x:c>
      <x:c r="T75" s="32" t="n">
        <x:f>'Provider Ratings'!AF75</x:f>
        <x:v>3.69</x:v>
      </x:c>
      <x:c r="U75" s="32" t="str">
        <x:f>'Provider Ratings'!AG75</x:f>
        <x:v>AWS</x:v>
      </x:c>
      <x:c r="V75" s="32" t="str">
        <x:f>'Provider Ratings'!AH75</x:f>
        <x:v>Start with AWS when infrastructure breadth, native integration and operational maturity are the main differentiators.</x:v>
      </x:c>
      <x:c r="W75" s="32" t="str">
        <x:v>Partial</x:v>
      </x:c>
      <x:c r="X75" s="32"/>
      <x:c r="Y75" s="32" t="str">
        <x:v>2026-07-12</x:v>
      </x:c>
    </x:row>
    <x:row r="76">
      <x:c r="A76" s="32" t="str">
        <x:v>04 Compute, Containers &amp; Runtime</x:v>
      </x:c>
      <x:c r="B76" s="32" t="str">
        <x:v>Compute &amp; Application Hosting</x:v>
      </x:c>
      <x:c r="C76" s="32" t="str">
        <x:v>Specialised &amp; High-Performance Compute</x:v>
      </x:c>
      <x:c r="D76" s="32" t="str">
        <x:v>Workload</x:v>
      </x:c>
      <x:c r="E76" s="32" t="str">
        <x:v>Batch</x:v>
      </x:c>
      <x:c r="F76" s="32" t="str">
        <x:v>Managed batch computing</x:v>
      </x:c>
      <x:c r="G76" s="32" t="str">
        <x:v>Schedule and run large numbers of parallel or queued compute jobs.</x:v>
      </x:c>
      <x:c r="H76" s="32" t="str">
        <x:v>Choose this capability when you need to schedule and run large numbers of parallel or queued compute jobs.</x:v>
      </x:c>
      <x:c r="I76" s="32" t="str">
        <x:v>What business outcome, scale, control, integration and operating model justify choosing managed batch computing?</x:v>
      </x:c>
      <x:c r="J76" s="32" t="str">
        <x:v>Operational simplicity versus infrastructure control and portability.</x:v>
      </x:c>
      <x:c r="K76" s="32" t="n">
        <x:v>3</x:v>
      </x:c>
      <x:c r="L76" s="32" t="str">
        <x:v>Moderate</x:v>
      </x:c>
      <x:c r="M76" s="32" t="str">
        <x:v>1–3 weeks</x:v>
      </x:c>
      <x:c r="N76" s="32" t="str">
        <x:v>Medium</x:v>
      </x:c>
      <x:c r="O76" s="32" t="str">
        <x:v>AWS Batch</x:v>
      </x:c>
      <x:c r="P76" s="32" t="str">
        <x:v>Azure Batch</x:v>
      </x:c>
      <x:c r="Q76" s="32" t="str">
        <x:v>Batch</x:v>
      </x:c>
      <x:c r="R76" s="32" t="n">
        <x:f>'Provider Ratings'!AD76</x:f>
        <x:v>4</x:v>
      </x:c>
      <x:c r="S76" s="32" t="n">
        <x:f>'Provider Ratings'!AE76</x:f>
        <x:v>3.99</x:v>
      </x:c>
      <x:c r="T76" s="32" t="n">
        <x:f>'Provider Ratings'!AF76</x:f>
        <x:v>3.97</x:v>
      </x:c>
      <x:c r="U76" s="32" t="str">
        <x:f>'Provider Ratings'!AG76</x:f>
        <x:v>Context-dependent tie</x:v>
      </x:c>
      <x:c r="V76" s="32" t="str">
        <x:f>'Provider Ratings'!AH76</x:f>
        <x:v>Scores are close: use ecosystem, data gravity, region, skills, commercials and proof-of-value results to decide.</x:v>
      </x:c>
      <x:c r="W76" s="32" t="str">
        <x:v>Exact</x:v>
      </x:c>
      <x:c r="X76" s="32"/>
      <x:c r="Y76" s="32" t="str">
        <x:v>2026-07-12</x:v>
      </x:c>
    </x:row>
    <x:row r="77">
      <x:c r="A77" s="32" t="str">
        <x:v>04 Compute, Containers &amp; Runtime</x:v>
      </x:c>
      <x:c r="B77" s="32" t="str">
        <x:v>Compute &amp; Application Hosting</x:v>
      </x:c>
      <x:c r="C77" s="32" t="str">
        <x:v>Specialised &amp; High-Performance Compute</x:v>
      </x:c>
      <x:c r="D77" s="32" t="str">
        <x:v>Platform</x:v>
      </x:c>
      <x:c r="E77" s="32" t="str">
        <x:v>HPC</x:v>
      </x:c>
      <x:c r="F77" s="32" t="str">
        <x:v>High-performance computing platform</x:v>
      </x:c>
      <x:c r="G77" s="32" t="str">
        <x:v>Provision tightly coupled compute, high-speed networking and schedulers for HPC workloads.</x:v>
      </x:c>
      <x:c r="H77" s="32" t="str">
        <x:v>Choose this capability when you need to provision tightly coupled compute, high-speed networking and schedulers for hpc workloads.</x:v>
      </x:c>
      <x:c r="I77" s="32" t="str">
        <x:v>What business outcome, scale, control, integration and operating model justify choosing high-performance computing platform?</x:v>
      </x:c>
      <x:c r="J77" s="32" t="str">
        <x:v>Operational simplicity versus infrastructure control and portability.</x:v>
      </x:c>
      <x:c r="K77" s="32" t="n">
        <x:v>3</x:v>
      </x:c>
      <x:c r="L77" s="32" t="str">
        <x:v>Moderate</x:v>
      </x:c>
      <x:c r="M77" s="32" t="str">
        <x:v>1–3 weeks</x:v>
      </x:c>
      <x:c r="N77" s="32" t="str">
        <x:v>Medium</x:v>
      </x:c>
      <x:c r="O77" s="32" t="str">
        <x:v>AWS ParallelCluster
Amazon EC2 HPC</x:v>
      </x:c>
      <x:c r="P77" s="32" t="str">
        <x:v>Azure CycleCloud
Azure HPC</x:v>
      </x:c>
      <x:c r="Q77" s="32" t="str">
        <x:v>Cluster Toolkit
Cloud HPC Toolkit</x:v>
      </x:c>
      <x:c r="R77" s="32" t="n">
        <x:f>'Provider Ratings'!AD77</x:f>
        <x:v>3.83</x:v>
      </x:c>
      <x:c r="S77" s="32" t="n">
        <x:f>'Provider Ratings'!AE77</x:f>
        <x:v>3.83</x:v>
      </x:c>
      <x:c r="T77" s="32" t="n">
        <x:f>'Provider Ratings'!AF77</x:f>
        <x:v>3.8</x:v>
      </x:c>
      <x:c r="U77" s="32" t="str">
        <x:f>'Provider Ratings'!AG77</x:f>
        <x:v>Context-dependent tie</x:v>
      </x:c>
      <x:c r="V77" s="32" t="str">
        <x:f>'Provider Ratings'!AH77</x:f>
        <x:v>Scores are close: use ecosystem, data gravity, region, skills, commercials and proof-of-value results to decide.</x:v>
      </x:c>
      <x:c r="W77" s="32" t="str">
        <x:v>Close</x:v>
      </x:c>
      <x:c r="X77" s="32"/>
      <x:c r="Y77" s="32" t="str">
        <x:v>2026-07-12</x:v>
      </x:c>
    </x:row>
    <x:row r="78">
      <x:c r="A78" s="32" t="str">
        <x:v>04 Compute, Containers &amp; Runtime</x:v>
      </x:c>
      <x:c r="B78" s="32" t="str">
        <x:v>Compute &amp; Application Hosting</x:v>
      </x:c>
      <x:c r="C78" s="32" t="str">
        <x:v>Serverless Compute</x:v>
      </x:c>
      <x:c r="D78" s="32" t="str">
        <x:v>Workload</x:v>
      </x:c>
      <x:c r="E78" s="32" t="str">
        <x:v>Serverless functions</x:v>
      </x:c>
      <x:c r="F78" s="32" t="str">
        <x:v>Functions as a service</x:v>
      </x:c>
      <x:c r="G78" s="32" t="str">
        <x:v>Run event-driven code without managing servers.</x:v>
      </x:c>
      <x:c r="H78" s="32" t="str">
        <x:v>Choose this capability when you need to run event-driven code without managing servers.</x:v>
      </x:c>
      <x:c r="I78" s="32" t="str">
        <x:v>Is the workload event-driven and stateless, and can it tolerate runtime, duration and platform constraints?</x:v>
      </x:c>
      <x:c r="J78" s="32" t="str">
        <x:v>Operational simplicity versus infrastructure control and portability.</x:v>
      </x:c>
      <x:c r="K78" s="32" t="n">
        <x:v>3</x:v>
      </x:c>
      <x:c r="L78" s="32" t="str">
        <x:v>Moderate</x:v>
      </x:c>
      <x:c r="M78" s="32" t="str">
        <x:v>1–3 weeks</x:v>
      </x:c>
      <x:c r="N78" s="32" t="str">
        <x:v>High</x:v>
      </x:c>
      <x:c r="O78" s="32" t="str">
        <x:v>AWS Lambda</x:v>
      </x:c>
      <x:c r="P78" s="32" t="str">
        <x:v>Azure Functions</x:v>
      </x:c>
      <x:c r="Q78" s="32" t="str">
        <x:v>Cloud Run functions</x:v>
      </x:c>
      <x:c r="R78" s="32" t="n">
        <x:f>'Provider Ratings'!AD78</x:f>
        <x:v>4.09</x:v>
      </x:c>
      <x:c r="S78" s="32" t="n">
        <x:f>'Provider Ratings'!AE78</x:f>
        <x:v>3.97</x:v>
      </x:c>
      <x:c r="T78" s="32" t="n">
        <x:f>'Provider Ratings'!AF78</x:f>
        <x:v>4.06</x:v>
      </x:c>
      <x:c r="U78" s="32" t="str">
        <x:f>'Provider Ratings'!AG78</x:f>
        <x:v>Context-dependent tie</x:v>
      </x:c>
      <x:c r="V78" s="32" t="str">
        <x:f>'Provider Ratings'!AH78</x:f>
        <x:v>Scores are close: use ecosystem, data gravity, region, skills, commercials and proof-of-value results to decide.</x:v>
      </x:c>
      <x:c r="W78" s="32" t="str">
        <x:v>Exact</x:v>
      </x:c>
      <x:c r="X78" s="32"/>
      <x:c r="Y78" s="32" t="str">
        <x:v>2026-07-12</x:v>
      </x:c>
    </x:row>
    <x:row r="79">
      <x:c r="A79" s="32" t="str">
        <x:v>04 Compute, Containers &amp; Runtime</x:v>
      </x:c>
      <x:c r="B79" s="32" t="str">
        <x:v>Compute &amp; Application Hosting</x:v>
      </x:c>
      <x:c r="C79" s="32" t="str">
        <x:v>Managed Application Platforms</x:v>
      </x:c>
      <x:c r="D79" s="32" t="str">
        <x:v>Platform</x:v>
      </x:c>
      <x:c r="E79" s="32" t="str">
        <x:v>Application PaaS</x:v>
      </x:c>
      <x:c r="F79" s="32" t="str">
        <x:v>Managed web application platform</x:v>
      </x:c>
      <x:c r="G79" s="32" t="str">
        <x:v>Deploy web applications and APIs on a managed runtime platform.</x:v>
      </x:c>
      <x:c r="H79" s="32" t="str">
        <x:v>Choose this capability when you need to deploy web applications and apis on a managed runtime platform.</x:v>
      </x:c>
      <x:c r="I79" s="32" t="str">
        <x:v>What business outcome, scale, control, integration and operating model justify choosing managed web application platform?</x:v>
      </x:c>
      <x:c r="J79" s="32" t="str">
        <x:v>Operational simplicity versus infrastructure control and portability.</x:v>
      </x:c>
      <x:c r="K79" s="32" t="n">
        <x:v>3</x:v>
      </x:c>
      <x:c r="L79" s="32" t="str">
        <x:v>Moderate</x:v>
      </x:c>
      <x:c r="M79" s="32" t="str">
        <x:v>1–3 weeks</x:v>
      </x:c>
      <x:c r="N79" s="32" t="str">
        <x:v>Medium</x:v>
      </x:c>
      <x:c r="O79" s="32" t="str">
        <x:v>AWS Elastic Beanstalk
AWS App Runner</x:v>
      </x:c>
      <x:c r="P79" s="32" t="str">
        <x:v>Azure App Service</x:v>
      </x:c>
      <x:c r="Q79" s="32" t="str">
        <x:v>App Engine
Cloud Run</x:v>
      </x:c>
      <x:c r="R79" s="32" t="n">
        <x:f>'Provider Ratings'!AD79</x:f>
        <x:v>3.8</x:v>
      </x:c>
      <x:c r="S79" s="32" t="n">
        <x:f>'Provider Ratings'!AE79</x:f>
        <x:v>3.95</x:v>
      </x:c>
      <x:c r="T79" s="32" t="n">
        <x:f>'Provider Ratings'!AF79</x:f>
        <x:v>3.82</x:v>
      </x:c>
      <x:c r="U79" s="32" t="str">
        <x:f>'Provider Ratings'!AG79</x:f>
        <x:v>Context-dependent tie</x:v>
      </x:c>
      <x:c r="V79" s="32" t="str">
        <x:f>'Provider Ratings'!AH79</x:f>
        <x:v>Scores are close: use ecosystem, data gravity, region, skills, commercials and proof-of-value results to decide.</x:v>
      </x:c>
      <x:c r="W79" s="32" t="str">
        <x:v>Close</x:v>
      </x:c>
      <x:c r="X79" s="32"/>
      <x:c r="Y79" s="32" t="str">
        <x:v>2026-07-12</x:v>
      </x:c>
    </x:row>
    <x:row r="80">
      <x:c r="A80" s="32" t="str">
        <x:v>04 Compute, Containers &amp; Runtime</x:v>
      </x:c>
      <x:c r="B80" s="32" t="str">
        <x:v>Compute &amp; Application Hosting</x:v>
      </x:c>
      <x:c r="C80" s="32" t="str">
        <x:v>Managed Application Platforms</x:v>
      </x:c>
      <x:c r="D80" s="32" t="str">
        <x:v>Workload</x:v>
      </x:c>
      <x:c r="E80" s="32" t="str">
        <x:v>Static web</x:v>
      </x:c>
      <x:c r="F80" s="32" t="str">
        <x:v>Static web application hosting</x:v>
      </x:c>
      <x:c r="G80" s="32" t="str">
        <x:v>Host globally delivered static sites with integrated deployment workflows.</x:v>
      </x:c>
      <x:c r="H80" s="32" t="str">
        <x:v>Choose this capability when you need to host globally delivered static sites with integrated deployment workflows.</x:v>
      </x:c>
      <x:c r="I80" s="32" t="str">
        <x:v>What business outcome, scale, control, integration and operating model justify choosing static web application hosting?</x:v>
      </x:c>
      <x:c r="J80" s="32" t="str">
        <x:v>Operational simplicity versus infrastructure control and portability.</x:v>
      </x:c>
      <x:c r="K80" s="32" t="n">
        <x:v>4</x:v>
      </x:c>
      <x:c r="L80" s="32" t="str">
        <x:v>Easy</x:v>
      </x:c>
      <x:c r="M80" s="32" t="str">
        <x:v>1–3 days</x:v>
      </x:c>
      <x:c r="N80" s="32" t="str">
        <x:v>Medium</x:v>
      </x:c>
      <x:c r="O80" s="32" t="str">
        <x:v>AWS Amplify Hosting
Amazon S3
Amazon CloudFront</x:v>
      </x:c>
      <x:c r="P80" s="32" t="str">
        <x:v>Azure Static Web Apps</x:v>
      </x:c>
      <x:c r="Q80" s="32" t="str">
        <x:v>Firebase Hosting
Cloud Storage
Cloud CDN</x:v>
      </x:c>
      <x:c r="R80" s="32" t="n">
        <x:f>'Provider Ratings'!AD80</x:f>
        <x:v>4.02</x:v>
      </x:c>
      <x:c r="S80" s="32" t="n">
        <x:f>'Provider Ratings'!AE80</x:f>
        <x:v>4.16</x:v>
      </x:c>
      <x:c r="T80" s="32" t="n">
        <x:f>'Provider Ratings'!AF80</x:f>
        <x:v>4.03</x:v>
      </x:c>
      <x:c r="U80" s="32" t="str">
        <x:f>'Provider Ratings'!AG80</x:f>
        <x:v>Context-dependent tie</x:v>
      </x:c>
      <x:c r="V80" s="32" t="str">
        <x:f>'Provider Ratings'!AH80</x:f>
        <x:v>Scores are close: use ecosystem, data gravity, region, skills, commercials and proof-of-value results to decide.</x:v>
      </x:c>
      <x:c r="W80" s="32" t="str">
        <x:v>Close</x:v>
      </x:c>
      <x:c r="X80" s="32"/>
      <x:c r="Y80" s="32" t="str">
        <x:v>2026-07-12</x:v>
      </x:c>
    </x:row>
    <x:row r="81">
      <x:c r="A81" s="32" t="str">
        <x:v>04 Compute, Containers &amp; Runtime</x:v>
      </x:c>
      <x:c r="B81" s="32" t="str">
        <x:v>Compute &amp; Application Hosting</x:v>
      </x:c>
      <x:c r="C81" s="32" t="str">
        <x:v>Containers &amp; Kubernetes</x:v>
      </x:c>
      <x:c r="D81" s="32" t="str">
        <x:v>Workload</x:v>
      </x:c>
      <x:c r="E81" s="32" t="str">
        <x:v>Container instances</x:v>
      </x:c>
      <x:c r="F81" s="32" t="str">
        <x:v>Serverless container instances</x:v>
      </x:c>
      <x:c r="G81" s="32" t="str">
        <x:v>Run containers without directly managing virtual machines or Kubernetes clusters.</x:v>
      </x:c>
      <x:c r="H81" s="32" t="str">
        <x:v>Choose this capability when you need to run containers without directly managing virtual machines or kubernetes clusters.</x:v>
      </x:c>
      <x:c r="I81" s="32" t="str">
        <x:v>Do you need Kubernetes-specific control, or would a simpler serverless container platform meet the requirement?</x:v>
      </x:c>
      <x:c r="J81" s="32" t="str">
        <x:v>Operational simplicity versus infrastructure control and portability.</x:v>
      </x:c>
      <x:c r="K81" s="32" t="n">
        <x:v>2</x:v>
      </x:c>
      <x:c r="L81" s="32" t="str">
        <x:v>Advanced</x:v>
      </x:c>
      <x:c r="M81" s="32" t="str">
        <x:v>3–8 weeks</x:v>
      </x:c>
      <x:c r="N81" s="32" t="str">
        <x:v>Low</x:v>
      </x:c>
      <x:c r="O81" s="32" t="str">
        <x:v>AWS Fargate
Amazon ECS</x:v>
      </x:c>
      <x:c r="P81" s="32" t="str">
        <x:v>Azure Container Instances</x:v>
      </x:c>
      <x:c r="Q81" s="32" t="str">
        <x:v>Cloud Run</x:v>
      </x:c>
      <x:c r="R81" s="32" t="n">
        <x:f>'Provider Ratings'!AD81</x:f>
        <x:v>3.8</x:v>
      </x:c>
      <x:c r="S81" s="32" t="n">
        <x:f>'Provider Ratings'!AE81</x:f>
        <x:v>3.81</x:v>
      </x:c>
      <x:c r="T81" s="32" t="n">
        <x:f>'Provider Ratings'!AF81</x:f>
        <x:v>4.08</x:v>
      </x:c>
      <x:c r="U81" s="32" t="str">
        <x:f>'Provider Ratings'!AG81</x:f>
        <x:v>GCP</x:v>
      </x:c>
      <x:c r="V81" s="32" t="str">
        <x:f>'Provider Ratings'!AH81</x:f>
        <x:v>Start with Google Cloud when data, AI, Kubernetes, network or managed developer experience is the main differentiator.</x:v>
      </x:c>
      <x:c r="W81" s="32" t="str">
        <x:v>Close</x:v>
      </x:c>
      <x:c r="X81" s="32"/>
      <x:c r="Y81" s="32" t="str">
        <x:v>2026-07-12</x:v>
      </x:c>
    </x:row>
    <x:row r="82">
      <x:c r="A82" s="32" t="str">
        <x:v>04 Compute, Containers &amp; Runtime</x:v>
      </x:c>
      <x:c r="B82" s="32" t="str">
        <x:v>Compute &amp; Application Hosting</x:v>
      </x:c>
      <x:c r="C82" s="32" t="str">
        <x:v>Containers &amp; Kubernetes</x:v>
      </x:c>
      <x:c r="D82" s="32" t="str">
        <x:v>Platform</x:v>
      </x:c>
      <x:c r="E82" s="32" t="str">
        <x:v>Container PaaS</x:v>
      </x:c>
      <x:c r="F82" s="32" t="str">
        <x:v>Serverless container application platform</x:v>
      </x:c>
      <x:c r="G82" s="32" t="str">
        <x:v>Deploy autoscaling containerised applications with managed ingress and revisions.</x:v>
      </x:c>
      <x:c r="H82" s="32" t="str">
        <x:v>Choose this capability when you need to deploy autoscaling containerised applications with managed ingress and revisions.</x:v>
      </x:c>
      <x:c r="I82" s="32" t="str">
        <x:v>Do you need Kubernetes-specific control, or would a simpler serverless container platform meet the requirement?</x:v>
      </x:c>
      <x:c r="J82" s="32" t="str">
        <x:v>Operational simplicity versus infrastructure control and portability.</x:v>
      </x:c>
      <x:c r="K82" s="32" t="n">
        <x:v>2</x:v>
      </x:c>
      <x:c r="L82" s="32" t="str">
        <x:v>Advanced</x:v>
      </x:c>
      <x:c r="M82" s="32" t="str">
        <x:v>3–8 weeks</x:v>
      </x:c>
      <x:c r="N82" s="32" t="str">
        <x:v>Low</x:v>
      </x:c>
      <x:c r="O82" s="32" t="str">
        <x:v>AWS App Runner
AWS Fargate</x:v>
      </x:c>
      <x:c r="P82" s="32" t="str">
        <x:v>Azure Container Apps</x:v>
      </x:c>
      <x:c r="Q82" s="32" t="str">
        <x:v>Cloud Run</x:v>
      </x:c>
      <x:c r="R82" s="32" t="n">
        <x:f>'Provider Ratings'!AD82</x:f>
        <x:v>3.8</x:v>
      </x:c>
      <x:c r="S82" s="32" t="n">
        <x:f>'Provider Ratings'!AE82</x:f>
        <x:v>3.83</x:v>
      </x:c>
      <x:c r="T82" s="32" t="n">
        <x:f>'Provider Ratings'!AF82</x:f>
        <x:v>4.08</x:v>
      </x:c>
      <x:c r="U82" s="32" t="str">
        <x:f>'Provider Ratings'!AG82</x:f>
        <x:v>GCP</x:v>
      </x:c>
      <x:c r="V82" s="32" t="str">
        <x:f>'Provider Ratings'!AH82</x:f>
        <x:v>Start with Google Cloud when data, AI, Kubernetes, network or managed developer experience is the main differentiator.</x:v>
      </x:c>
      <x:c r="W82" s="32" t="str">
        <x:v>Close</x:v>
      </x:c>
      <x:c r="X82" s="32"/>
      <x:c r="Y82" s="32" t="str">
        <x:v>2026-07-12</x:v>
      </x:c>
    </x:row>
    <x:row r="83">
      <x:c r="A83" s="32" t="str">
        <x:v>04 Compute, Containers &amp; Runtime</x:v>
      </x:c>
      <x:c r="B83" s="32" t="str">
        <x:v>Compute &amp; Application Hosting</x:v>
      </x:c>
      <x:c r="C83" s="32" t="str">
        <x:v>Containers &amp; Kubernetes</x:v>
      </x:c>
      <x:c r="D83" s="32" t="str">
        <x:v>Platform</x:v>
      </x:c>
      <x:c r="E83" s="32" t="str">
        <x:v>Kubernetes</x:v>
      </x:c>
      <x:c r="F83" s="32" t="str">
        <x:v>Managed Kubernetes</x:v>
      </x:c>
      <x:c r="G83" s="32" t="str">
        <x:v>Operate Kubernetes clusters with a managed control plane.</x:v>
      </x:c>
      <x:c r="H83" s="32" t="str">
        <x:v>Choose this capability when you need to operate kubernetes clusters with a managed control plane.</x:v>
      </x:c>
      <x:c r="I83" s="32" t="str">
        <x:v>Do you need Kubernetes-specific control, or would a simpler serverless container platform meet the requirement?</x:v>
      </x:c>
      <x:c r="J83" s="32" t="str">
        <x:v>Operational simplicity versus infrastructure control and portability.</x:v>
      </x:c>
      <x:c r="K83" s="32" t="n">
        <x:v>2</x:v>
      </x:c>
      <x:c r="L83" s="32" t="str">
        <x:v>Advanced</x:v>
      </x:c>
      <x:c r="M83" s="32" t="str">
        <x:v>3–8 weeks</x:v>
      </x:c>
      <x:c r="N83" s="32" t="str">
        <x:v>Low</x:v>
      </x:c>
      <x:c r="O83" s="32" t="str">
        <x:v>Amazon Elastic Kubernetes Service</x:v>
      </x:c>
      <x:c r="P83" s="32" t="str">
        <x:v>Azure Kubernetes Service</x:v>
      </x:c>
      <x:c r="Q83" s="32" t="str">
        <x:v>Google Kubernetes Engine</x:v>
      </x:c>
      <x:c r="R83" s="32" t="n">
        <x:f>'Provider Ratings'!AD83</x:f>
        <x:v>3.86</x:v>
      </x:c>
      <x:c r="S83" s="32" t="n">
        <x:f>'Provider Ratings'!AE83</x:f>
        <x:v>3.89</x:v>
      </x:c>
      <x:c r="T83" s="32" t="n">
        <x:f>'Provider Ratings'!AF83</x:f>
        <x:v>4.17</x:v>
      </x:c>
      <x:c r="U83" s="32" t="str">
        <x:f>'Provider Ratings'!AG83</x:f>
        <x:v>GCP</x:v>
      </x:c>
      <x:c r="V83" s="32" t="str">
        <x:f>'Provider Ratings'!AH83</x:f>
        <x:v>Start with Google Cloud when data, AI, Kubernetes, network or managed developer experience is the main differentiator.</x:v>
      </x:c>
      <x:c r="W83" s="32" t="str">
        <x:v>Exact</x:v>
      </x:c>
      <x:c r="X83" s="32"/>
      <x:c r="Y83" s="32" t="str">
        <x:v>2026-07-12</x:v>
      </x:c>
    </x:row>
    <x:row r="84">
      <x:c r="A84" s="32" t="str">
        <x:v>04 Compute, Containers &amp; Runtime</x:v>
      </x:c>
      <x:c r="B84" s="32" t="str">
        <x:v>Compute &amp; Application Hosting</x:v>
      </x:c>
      <x:c r="C84" s="32" t="str">
        <x:v>Containers &amp; Kubernetes</x:v>
      </x:c>
      <x:c r="D84" s="32" t="str">
        <x:v>Workload</x:v>
      </x:c>
      <x:c r="E84" s="32" t="str">
        <x:v>Container registry</x:v>
      </x:c>
      <x:c r="F84" s="32" t="str">
        <x:v>Container image registry</x:v>
      </x:c>
      <x:c r="G84" s="32" t="str">
        <x:v>Store, scan and distribute container images and related artifacts.</x:v>
      </x:c>
      <x:c r="H84" s="32" t="str">
        <x:v>Choose this capability when you need to store, scan and distribute container images and related artifacts.</x:v>
      </x:c>
      <x:c r="I84" s="32" t="str">
        <x:v>Do you need Kubernetes-specific control, or would a simpler serverless container platform meet the requirement?</x:v>
      </x:c>
      <x:c r="J84" s="32" t="str">
        <x:v>Operational simplicity versus infrastructure control and portability.</x:v>
      </x:c>
      <x:c r="K84" s="32" t="n">
        <x:v>2</x:v>
      </x:c>
      <x:c r="L84" s="32" t="str">
        <x:v>Advanced</x:v>
      </x:c>
      <x:c r="M84" s="32" t="str">
        <x:v>3–8 weeks</x:v>
      </x:c>
      <x:c r="N84" s="32" t="str">
        <x:v>Low</x:v>
      </x:c>
      <x:c r="O84" s="32" t="str">
        <x:v>Amazon Elastic Container Registry</x:v>
      </x:c>
      <x:c r="P84" s="32" t="str">
        <x:v>Azure Container Registry</x:v>
      </x:c>
      <x:c r="Q84" s="32" t="str">
        <x:v>Artifact Registry</x:v>
      </x:c>
      <x:c r="R84" s="32" t="n">
        <x:f>'Provider Ratings'!AD84</x:f>
        <x:v>3.86</x:v>
      </x:c>
      <x:c r="S84" s="32" t="n">
        <x:f>'Provider Ratings'!AE84</x:f>
        <x:v>3.89</x:v>
      </x:c>
      <x:c r="T84" s="32" t="n">
        <x:f>'Provider Ratings'!AF84</x:f>
        <x:v>4.17</x:v>
      </x:c>
      <x:c r="U84" s="32" t="str">
        <x:f>'Provider Ratings'!AG84</x:f>
        <x:v>GCP</x:v>
      </x:c>
      <x:c r="V84" s="32" t="str">
        <x:f>'Provider Ratings'!AH84</x:f>
        <x:v>Start with Google Cloud when data, AI, Kubernetes, network or managed developer experience is the main differentiator.</x:v>
      </x:c>
      <x:c r="W84" s="32" t="str">
        <x:v>Exact</x:v>
      </x:c>
      <x:c r="X84" s="32"/>
      <x:c r="Y84" s="32" t="str">
        <x:v>2026-07-12</x:v>
      </x:c>
    </x:row>
    <x:row r="85">
      <x:c r="A85" s="32" t="str">
        <x:v>04 Compute, Containers &amp; Runtime</x:v>
      </x:c>
      <x:c r="B85" s="32" t="str">
        <x:v>Compute &amp; Application Hosting</x:v>
      </x:c>
      <x:c r="C85" s="32" t="str">
        <x:v>Containers &amp; Kubernetes</x:v>
      </x:c>
      <x:c r="D85" s="32" t="str">
        <x:v>Workload</x:v>
      </x:c>
      <x:c r="E85" s="32" t="str">
        <x:v>Container migration</x:v>
      </x:c>
      <x:c r="F85" s="32" t="str">
        <x:v>Application containerisation</x:v>
      </x:c>
      <x:c r="G85" s="32" t="str">
        <x:v>Assess and convert existing applications or virtual machines into containers.</x:v>
      </x:c>
      <x:c r="H85" s="32" t="str">
        <x:v>Choose this capability when you need to assess and convert existing applications or virtual machines into containers.</x:v>
      </x:c>
      <x:c r="I85" s="32" t="str">
        <x:v>Do you need Kubernetes-specific control, or would a simpler serverless container platform meet the requirement?</x:v>
      </x:c>
      <x:c r="J85" s="32" t="str">
        <x:v>Operational simplicity versus infrastructure control and portability.</x:v>
      </x:c>
      <x:c r="K85" s="32" t="n">
        <x:v>2</x:v>
      </x:c>
      <x:c r="L85" s="32" t="str">
        <x:v>Advanced</x:v>
      </x:c>
      <x:c r="M85" s="32" t="str">
        <x:v>3–8 weeks</x:v>
      </x:c>
      <x:c r="N85" s="32" t="str">
        <x:v>Low</x:v>
      </x:c>
      <x:c r="O85" s="32" t="str">
        <x:v>AWS App2Container</x:v>
      </x:c>
      <x:c r="P85" s="32" t="str">
        <x:v>Azure Migrate: App Containerization</x:v>
      </x:c>
      <x:c r="Q85" s="32" t="str">
        <x:v>Migrate to Containers</x:v>
      </x:c>
      <x:c r="R85" s="32" t="n">
        <x:f>'Provider Ratings'!AD85</x:f>
        <x:v>3.83</x:v>
      </x:c>
      <x:c r="S85" s="32" t="n">
        <x:f>'Provider Ratings'!AE85</x:f>
        <x:v>3.83</x:v>
      </x:c>
      <x:c r="T85" s="32" t="n">
        <x:f>'Provider Ratings'!AF85</x:f>
        <x:v>4.1</x:v>
      </x:c>
      <x:c r="U85" s="32" t="str">
        <x:f>'Provider Ratings'!AG85</x:f>
        <x:v>GCP</x:v>
      </x:c>
      <x:c r="V85" s="32" t="str">
        <x:f>'Provider Ratings'!AH85</x:f>
        <x:v>Start with Google Cloud when data, AI, Kubernetes, network or managed developer experience is the main differentiator.</x:v>
      </x:c>
      <x:c r="W85" s="32" t="str">
        <x:v>Close</x:v>
      </x:c>
      <x:c r="X85" s="32"/>
      <x:c r="Y85" s="32" t="str">
        <x:v>2026-07-12</x:v>
      </x:c>
    </x:row>
    <x:row r="86">
      <x:c r="A86" s="32" t="str">
        <x:v>04 Compute, Containers &amp; Runtime</x:v>
      </x:c>
      <x:c r="B86" s="32" t="str">
        <x:v>Compute &amp; Application Hosting</x:v>
      </x:c>
      <x:c r="C86" s="32" t="str">
        <x:v>Virtual Machines &amp; Core Compute</x:v>
      </x:c>
      <x:c r="D86" s="32" t="str">
        <x:v>Workload</x:v>
      </x:c>
      <x:c r="E86" s="32" t="str">
        <x:v>Enterprise Linux</x:v>
      </x:c>
      <x:c r="F86" s="32" t="str">
        <x:v>Cloud-optimised Linux distribution</x:v>
      </x:c>
      <x:c r="G86" s="32" t="str">
        <x:v>Provide a provider-maintained Linux operating system optimised for cloud workloads.</x:v>
      </x:c>
      <x:c r="H86" s="32" t="str">
        <x:v>Choose this capability when you need to provide a provider-maintained linux operating system optimised for cloud workloads.</x:v>
      </x:c>
      <x:c r="I86" s="32" t="str">
        <x:v>How much OS, network and hardware control is required, and who will operate it?</x:v>
      </x:c>
      <x:c r="J86" s="32" t="str">
        <x:v>Operational simplicity versus infrastructure control and portability.</x:v>
      </x:c>
      <x:c r="K86" s="32" t="n">
        <x:v>3</x:v>
      </x:c>
      <x:c r="L86" s="32" t="str">
        <x:v>Moderate</x:v>
      </x:c>
      <x:c r="M86" s="32" t="str">
        <x:v>1–3 weeks</x:v>
      </x:c>
      <x:c r="N86" s="32" t="str">
        <x:v>Low</x:v>
      </x:c>
      <x:c r="O86" s="32" t="str">
        <x:v>Amazon Linux 2023</x:v>
      </x:c>
      <x:c r="P86" s="32" t="str">
        <x:v>Azure Linux</x:v>
      </x:c>
      <x:c r="Q86" s="32" t="str">
        <x:v>Container-Optimized OS</x:v>
      </x:c>
      <x:c r="R86" s="32" t="n">
        <x:f>'Provider Ratings'!AD86</x:f>
        <x:v>4.07</x:v>
      </x:c>
      <x:c r="S86" s="32" t="n">
        <x:f>'Provider Ratings'!AE86</x:f>
        <x:v>4</x:v>
      </x:c>
      <x:c r="T86" s="32" t="n">
        <x:f>'Provider Ratings'!AF86</x:f>
        <x:v>3.98</x:v>
      </x:c>
      <x:c r="U86" s="32" t="str">
        <x:f>'Provider Ratings'!AG86</x:f>
        <x:v>Context-dependent tie</x:v>
      </x:c>
      <x:c r="V86" s="32" t="str">
        <x:f>'Provider Ratings'!AH86</x:f>
        <x:v>Scores are close: use ecosystem, data gravity, region, skills, commercials and proof-of-value results to decide.</x:v>
      </x:c>
      <x:c r="W86" s="32" t="str">
        <x:v>Close</x:v>
      </x:c>
      <x:c r="X86" s="32"/>
      <x:c r="Y86" s="32" t="str">
        <x:v>2026-07-12</x:v>
      </x:c>
    </x:row>
    <x:row r="87">
      <x:c r="A87" s="32" t="str">
        <x:v>04 Compute, Containers &amp; Runtime</x:v>
      </x:c>
      <x:c r="B87" s="32" t="str">
        <x:v>Compute &amp; Application Hosting</x:v>
      </x:c>
      <x:c r="C87" s="32" t="str">
        <x:v>Hybrid, Multicloud &amp; Edge Runtime</x:v>
      </x:c>
      <x:c r="D87" s="32" t="str">
        <x:v>Workload</x:v>
      </x:c>
      <x:c r="E87" s="32" t="str">
        <x:v>VMware</x:v>
      </x:c>
      <x:c r="F87" s="32" t="str">
        <x:v>Managed VMware cloud</x:v>
      </x:c>
      <x:c r="G87" s="32" t="str">
        <x:v>Run VMware environments on cloud infrastructure with familiar VMware tooling.</x:v>
      </x:c>
      <x:c r="H87" s="32" t="str">
        <x:v>Choose this capability when you need to run vmware environments on cloud infrastructure with familiar vmware tooling.</x:v>
      </x:c>
      <x:c r="I87" s="32" t="str">
        <x:v>What business outcome, scale, control, integration and operating model justify choosing managed vmware cloud?</x:v>
      </x:c>
      <x:c r="J87" s="32" t="str">
        <x:v>Operational simplicity versus infrastructure control and portability.</x:v>
      </x:c>
      <x:c r="K87" s="32" t="n">
        <x:v>2</x:v>
      </x:c>
      <x:c r="L87" s="32" t="str">
        <x:v>Advanced</x:v>
      </x:c>
      <x:c r="M87" s="32" t="str">
        <x:v>3–8 weeks</x:v>
      </x:c>
      <x:c r="N87" s="32" t="str">
        <x:v>Medium</x:v>
      </x:c>
      <x:c r="O87" s="32" t="str">
        <x:v>VMware Cloud on AWS</x:v>
      </x:c>
      <x:c r="P87" s="32" t="str">
        <x:v>Azure VMware Solution</x:v>
      </x:c>
      <x:c r="Q87" s="32" t="str">
        <x:v>Google Cloud VMware Engine</x:v>
      </x:c>
      <x:c r="R87" s="32" t="n">
        <x:f>'Provider Ratings'!AD87</x:f>
        <x:v>3.74</x:v>
      </x:c>
      <x:c r="S87" s="32" t="n">
        <x:f>'Provider Ratings'!AE87</x:f>
        <x:v>4.07</x:v>
      </x:c>
      <x:c r="T87" s="32" t="n">
        <x:f>'Provider Ratings'!AF87</x:f>
        <x:v>3.75</x:v>
      </x:c>
      <x:c r="U87" s="32" t="str">
        <x:f>'Provider Ratings'!AG87</x:f>
        <x:v>Azure</x:v>
      </x:c>
      <x:c r="V87" s="32" t="str">
        <x:f>'Provider Ratings'!AH87</x:f>
        <x:v>Start with Azure when Microsoft identity, security, data, productivity or hybrid integration reduces delivery effort.</x:v>
      </x:c>
      <x:c r="W87" s="32" t="str">
        <x:v>Exact</x:v>
      </x:c>
      <x:c r="X87" s="32"/>
      <x:c r="Y87" s="32" t="str">
        <x:v>2026-07-12</x:v>
      </x:c>
    </x:row>
    <x:row r="88">
      <x:c r="A88" s="32" t="str">
        <x:v>04 Compute, Containers &amp; Runtime</x:v>
      </x:c>
      <x:c r="B88" s="32" t="str">
        <x:v>Compute &amp; Application Hosting</x:v>
      </x:c>
      <x:c r="C88" s="32" t="str">
        <x:v>Virtual Machines &amp; Core Compute</x:v>
      </x:c>
      <x:c r="D88" s="32" t="str">
        <x:v>Platform</x:v>
      </x:c>
      <x:c r="E88" s="32" t="str">
        <x:v>SAP</x:v>
      </x:c>
      <x:c r="F88" s="32" t="str">
        <x:v>SAP workload platform</x:v>
      </x:c>
      <x:c r="G88" s="32" t="str">
        <x:v>Run certified SAP applications and databases on cloud infrastructure.</x:v>
      </x:c>
      <x:c r="H88" s="32" t="str">
        <x:v>Choose this capability when you need to run certified sap applications and databases on cloud infrastructure.</x:v>
      </x:c>
      <x:c r="I88" s="32" t="str">
        <x:v>How much OS, network and hardware control is required, and who will operate it?</x:v>
      </x:c>
      <x:c r="J88" s="32" t="str">
        <x:v>Operational simplicity versus infrastructure control and portability.</x:v>
      </x:c>
      <x:c r="K88" s="32" t="n">
        <x:v>3</x:v>
      </x:c>
      <x:c r="L88" s="32" t="str">
        <x:v>Moderate</x:v>
      </x:c>
      <x:c r="M88" s="32" t="str">
        <x:v>1–3 weeks</x:v>
      </x:c>
      <x:c r="N88" s="32" t="str">
        <x:v>Low</x:v>
      </x:c>
      <x:c r="O88" s="32" t="str">
        <x:v>SAP on AWS</x:v>
      </x:c>
      <x:c r="P88" s="32" t="str">
        <x:v>SAP on Azure</x:v>
      </x:c>
      <x:c r="Q88" s="32" t="str">
        <x:v>SAP on Google Cloud</x:v>
      </x:c>
      <x:c r="R88" s="32" t="n">
        <x:f>'Provider Ratings'!AD88</x:f>
        <x:v>4.14</x:v>
      </x:c>
      <x:c r="S88" s="32" t="n">
        <x:f>'Provider Ratings'!AE88</x:f>
        <x:v>4.06</x:v>
      </x:c>
      <x:c r="T88" s="32" t="n">
        <x:f>'Provider Ratings'!AF88</x:f>
        <x:v>4.04</x:v>
      </x:c>
      <x:c r="U88" s="32" t="str">
        <x:f>'Provider Ratings'!AG88</x:f>
        <x:v>Context-dependent tie</x:v>
      </x:c>
      <x:c r="V88" s="32" t="str">
        <x:f>'Provider Ratings'!AH88</x:f>
        <x:v>Scores are close: use ecosystem, data gravity, region, skills, commercials and proof-of-value results to decide.</x:v>
      </x:c>
      <x:c r="W88" s="32" t="str">
        <x:v>Exact</x:v>
      </x:c>
      <x:c r="X88" s="32"/>
      <x:c r="Y88" s="32" t="str">
        <x:v>2026-07-12</x:v>
      </x:c>
    </x:row>
    <x:row r="89">
      <x:c r="A89" s="32" t="str">
        <x:v>04 Compute, Containers &amp; Runtime</x:v>
      </x:c>
      <x:c r="B89" s="32" t="str">
        <x:v>Compute &amp; Application Hosting</x:v>
      </x:c>
      <x:c r="C89" s="32" t="str">
        <x:v>Specialised &amp; High-Performance Compute</x:v>
      </x:c>
      <x:c r="D89" s="32" t="str">
        <x:v>Workload</x:v>
      </x:c>
      <x:c r="E89" s="32" t="str">
        <x:v>Quantum</x:v>
      </x:c>
      <x:c r="F89" s="32" t="str">
        <x:v>Managed quantum computing</x:v>
      </x:c>
      <x:c r="G89" s="32" t="str">
        <x:v>Develop, simulate and execute quantum algorithms using cloud-accessible hardware.</x:v>
      </x:c>
      <x:c r="H89" s="32" t="str">
        <x:v>Choose this capability when you need to develop, simulate and execute quantum algorithms using cloud-accessible hardware.</x:v>
      </x:c>
      <x:c r="I89" s="32" t="str">
        <x:v>What business outcome, scale, control, integration and operating model justify choosing managed quantum computing?</x:v>
      </x:c>
      <x:c r="J89" s="32" t="str">
        <x:v>Operational simplicity versus infrastructure control and portability.</x:v>
      </x:c>
      <x:c r="K89" s="32" t="n">
        <x:v>2</x:v>
      </x:c>
      <x:c r="L89" s="32" t="str">
        <x:v>Advanced</x:v>
      </x:c>
      <x:c r="M89" s="32" t="str">
        <x:v>3–8 weeks</x:v>
      </x:c>
      <x:c r="N89" s="32" t="str">
        <x:v>Medium</x:v>
      </x:c>
      <x:c r="O89" s="32" t="str">
        <x:v>Amazon Braket</x:v>
      </x:c>
      <x:c r="P89" s="32" t="str">
        <x:v>Azure Quantum</x:v>
      </x:c>
      <x:c r="Q89" s="32" t="str">
        <x:v>Quantum AI services and partner access</x:v>
      </x:c>
      <x:c r="R89" s="32" t="n">
        <x:f>'Provider Ratings'!AD89</x:f>
        <x:v>3.54</x:v>
      </x:c>
      <x:c r="S89" s="32" t="n">
        <x:f>'Provider Ratings'!AE89</x:f>
        <x:v>3.54</x:v>
      </x:c>
      <x:c r="T89" s="32" t="n">
        <x:f>'Provider Ratings'!AF89</x:f>
        <x:v>3.06</x:v>
      </x:c>
      <x:c r="U89" s="32" t="str">
        <x:f>'Provider Ratings'!AG89</x:f>
        <x:v>Context-dependent tie</x:v>
      </x:c>
      <x:c r="V89" s="32" t="str">
        <x:f>'Provider Ratings'!AH89</x:f>
        <x:v>Scores are close: use ecosystem, data gravity, region, skills, commercials and proof-of-value results to decide.</x:v>
      </x:c>
      <x:c r="W89" s="32" t="str">
        <x:v>Partial</x:v>
      </x:c>
      <x:c r="X89" s="32"/>
      <x:c r="Y89" s="32" t="str">
        <x:v>2026-07-12</x:v>
      </x:c>
    </x:row>
    <x:row r="90">
      <x:c r="A90" s="32" t="str">
        <x:v>04 Compute, Containers &amp; Runtime</x:v>
      </x:c>
      <x:c r="B90" s="32" t="str">
        <x:v>Compute &amp; Application Hosting</x:v>
      </x:c>
      <x:c r="C90" s="32" t="str">
        <x:v>Hybrid, Multicloud &amp; Edge Runtime</x:v>
      </x:c>
      <x:c r="D90" s="32" t="str">
        <x:v>Workload</x:v>
      </x:c>
      <x:c r="E90" s="32" t="str">
        <x:v>Edge compute</x:v>
      </x:c>
      <x:c r="F90" s="32" t="str">
        <x:v>Provider edge compute</x:v>
      </x:c>
      <x:c r="G90" s="32" t="str">
        <x:v>Run cloud compute and services near users, devices or telecom networks.</x:v>
      </x:c>
      <x:c r="H90" s="32" t="str">
        <x:v>Choose this capability when you need to run cloud compute and services near users, devices or telecom networks.</x:v>
      </x:c>
      <x:c r="I90" s="32" t="str">
        <x:v>What business outcome, scale, control, integration and operating model justify choosing provider edge compute?</x:v>
      </x:c>
      <x:c r="J90" s="32" t="str">
        <x:v>Operational simplicity versus infrastructure control and portability.</x:v>
      </x:c>
      <x:c r="K90" s="32" t="n">
        <x:v>2</x:v>
      </x:c>
      <x:c r="L90" s="32" t="str">
        <x:v>Advanced</x:v>
      </x:c>
      <x:c r="M90" s="32" t="str">
        <x:v>3–8 weeks</x:v>
      </x:c>
      <x:c r="N90" s="32" t="str">
        <x:v>Medium</x:v>
      </x:c>
      <x:c r="O90" s="32" t="str">
        <x:v>AWS Wavelength
AWS Outposts</x:v>
      </x:c>
      <x:c r="P90" s="32" t="str">
        <x:v>Azure Edge Zones
Azure Stack Edge</x:v>
      </x:c>
      <x:c r="Q90" s="32" t="str">
        <x:v>Google Distributed Cloud</x:v>
      </x:c>
      <x:c r="R90" s="32" t="n">
        <x:f>'Provider Ratings'!AD90</x:f>
        <x:v>3.63</x:v>
      </x:c>
      <x:c r="S90" s="32" t="n">
        <x:f>'Provider Ratings'!AE90</x:f>
        <x:v>3.89</x:v>
      </x:c>
      <x:c r="T90" s="32" t="n">
        <x:f>'Provider Ratings'!AF90</x:f>
        <x:v>3.69</x:v>
      </x:c>
      <x:c r="U90" s="32" t="str">
        <x:f>'Provider Ratings'!AG90</x:f>
        <x:v>Azure</x:v>
      </x:c>
      <x:c r="V90" s="32" t="str">
        <x:f>'Provider Ratings'!AH90</x:f>
        <x:v>Start with Azure when Microsoft identity, security, data, productivity or hybrid integration reduces delivery effort.</x:v>
      </x:c>
      <x:c r="W90" s="32" t="str">
        <x:v>Close</x:v>
      </x:c>
      <x:c r="X90" s="32"/>
      <x:c r="Y90" s="32" t="str">
        <x:v>2026-07-12</x:v>
      </x:c>
    </x:row>
    <x:row r="91">
      <x:c r="A91" s="32" t="str">
        <x:v>04 Compute, Containers &amp; Runtime</x:v>
      </x:c>
      <x:c r="B91" s="32" t="str">
        <x:v>Hybrid &amp; Multicloud</x:v>
      </x:c>
      <x:c r="C91" s="32" t="str">
        <x:v>Hybrid, Multicloud &amp; Edge Runtime</x:v>
      </x:c>
      <x:c r="D91" s="32" t="str">
        <x:v>Platform</x:v>
      </x:c>
      <x:c r="E91" s="32" t="str">
        <x:v>Hybrid cloud platform</x:v>
      </x:c>
      <x:c r="F91" s="32" t="str">
        <x:v>On-premises cloud infrastructure</x:v>
      </x:c>
      <x:c r="G91" s="32" t="str">
        <x:v>Run provider-consistent cloud services in customer data centres or edge locations.</x:v>
      </x:c>
      <x:c r="H91" s="32" t="str">
        <x:v>Choose this capability when you need to run provider-consistent cloud services in customer data centres or edge locations.</x:v>
      </x:c>
      <x:c r="I91" s="32" t="str">
        <x:v>What business outcome, scale, control, integration and operating model justify choosing on-premises cloud infrastructure?</x:v>
      </x:c>
      <x:c r="J91" s="32" t="str">
        <x:v>Operational simplicity versus infrastructure control and portability.</x:v>
      </x:c>
      <x:c r="K91" s="32" t="n">
        <x:v>2</x:v>
      </x:c>
      <x:c r="L91" s="32" t="str">
        <x:v>Advanced</x:v>
      </x:c>
      <x:c r="M91" s="32" t="str">
        <x:v>3–8 weeks</x:v>
      </x:c>
      <x:c r="N91" s="32" t="str">
        <x:v>Medium</x:v>
      </x:c>
      <x:c r="O91" s="32" t="str">
        <x:v>AWS Outposts</x:v>
      </x:c>
      <x:c r="P91" s="32" t="str">
        <x:v>Azure Local
Azure Stack Hub</x:v>
      </x:c>
      <x:c r="Q91" s="32" t="str">
        <x:v>Google Distributed Cloud connected
Google Distributed Cloud air-gapped</x:v>
      </x:c>
      <x:c r="R91" s="32" t="n">
        <x:f>'Provider Ratings'!AD91</x:f>
        <x:v>3.66</x:v>
      </x:c>
      <x:c r="S91" s="32" t="n">
        <x:f>'Provider Ratings'!AE91</x:f>
        <x:v>3.89</x:v>
      </x:c>
      <x:c r="T91" s="32" t="n">
        <x:f>'Provider Ratings'!AF91</x:f>
        <x:v>3.6</x:v>
      </x:c>
      <x:c r="U91" s="32" t="str">
        <x:f>'Provider Ratings'!AG91</x:f>
        <x:v>Azure</x:v>
      </x:c>
      <x:c r="V91" s="32" t="str">
        <x:f>'Provider Ratings'!AH91</x:f>
        <x:v>Start with Azure when Microsoft identity, security, data, productivity or hybrid integration reduces delivery effort.</x:v>
      </x:c>
      <x:c r="W91" s="32" t="str">
        <x:v>Close</x:v>
      </x:c>
      <x:c r="X91" s="32"/>
      <x:c r="Y91" s="32" t="str">
        <x:v>2026-07-12</x:v>
      </x:c>
    </x:row>
    <x:row r="92">
      <x:c r="A92" s="32" t="str">
        <x:v>04 Compute, Containers &amp; Runtime</x:v>
      </x:c>
      <x:c r="B92" s="32" t="str">
        <x:v>Hybrid &amp; Multicloud</x:v>
      </x:c>
      <x:c r="C92" s="32" t="str">
        <x:v>Hybrid, Multicloud &amp; Edge Runtime</x:v>
      </x:c>
      <x:c r="D92" s="32" t="str">
        <x:v>Workload</x:v>
      </x:c>
      <x:c r="E92" s="32" t="str">
        <x:v>Hybrid management</x:v>
      </x:c>
      <x:c r="F92" s="32" t="str">
        <x:v>Hybrid and multicloud control plane</x:v>
      </x:c>
      <x:c r="G92" s="32" t="str">
        <x:v>Inventory, govern and operate servers, Kubernetes and data services across environments.</x:v>
      </x:c>
      <x:c r="H92" s="32" t="str">
        <x:v>Choose this capability when you need to inventory, govern and operate servers, kubernetes and data services across environments.</x:v>
      </x:c>
      <x:c r="I92" s="32" t="str">
        <x:v>What business outcome, scale, control, integration and operating model justify choosing hybrid and multicloud control plane?</x:v>
      </x:c>
      <x:c r="J92" s="32" t="str">
        <x:v>Operational simplicity versus infrastructure control and portability.</x:v>
      </x:c>
      <x:c r="K92" s="32" t="n">
        <x:v>2</x:v>
      </x:c>
      <x:c r="L92" s="32" t="str">
        <x:v>Advanced</x:v>
      </x:c>
      <x:c r="M92" s="32" t="str">
        <x:v>3–8 weeks</x:v>
      </x:c>
      <x:c r="N92" s="32" t="str">
        <x:v>Medium</x:v>
      </x:c>
      <x:c r="O92" s="32" t="str">
        <x:v>AWS Systems Manager
Amazon EKS Anywhere</x:v>
      </x:c>
      <x:c r="P92" s="32" t="str">
        <x:v>Azure Arc</x:v>
      </x:c>
      <x:c r="Q92" s="32" t="str">
        <x:v>GKE Enterprise
Config Sync
Policy Controller</x:v>
      </x:c>
      <x:c r="R92" s="32" t="n">
        <x:f>'Provider Ratings'!AD92</x:f>
        <x:v>3.59</x:v>
      </x:c>
      <x:c r="S92" s="32" t="n">
        <x:f>'Provider Ratings'!AE92</x:f>
        <x:v>4.01</x:v>
      </x:c>
      <x:c r="T92" s="32" t="n">
        <x:f>'Provider Ratings'!AF92</x:f>
        <x:v>3.6</x:v>
      </x:c>
      <x:c r="U92" s="32" t="str">
        <x:f>'Provider Ratings'!AG92</x:f>
        <x:v>Azure</x:v>
      </x:c>
      <x:c r="V92" s="32" t="str">
        <x:f>'Provider Ratings'!AH92</x:f>
        <x:v>Start with Azure when Microsoft identity, security, data, productivity or hybrid integration reduces delivery effort.</x:v>
      </x:c>
      <x:c r="W92" s="32" t="str">
        <x:v>Close</x:v>
      </x:c>
      <x:c r="X92" s="32"/>
      <x:c r="Y92" s="32" t="str">
        <x:v>2026-07-12</x:v>
      </x:c>
    </x:row>
    <x:row r="93">
      <x:c r="A93" s="32" t="str">
        <x:v>04 Compute, Containers &amp; Runtime</x:v>
      </x:c>
      <x:c r="B93" s="32" t="str">
        <x:v>Hybrid &amp; Multicloud</x:v>
      </x:c>
      <x:c r="C93" s="32" t="str">
        <x:v>Containers &amp; Kubernetes</x:v>
      </x:c>
      <x:c r="D93" s="32" t="str">
        <x:v>Platform</x:v>
      </x:c>
      <x:c r="E93" s="32" t="str">
        <x:v>Multicloud Kubernetes</x:v>
      </x:c>
      <x:c r="F93" s="32" t="str">
        <x:v>Multicloud Kubernetes management</x:v>
      </x:c>
      <x:c r="G93" s="32" t="str">
        <x:v>Manage Kubernetes fleets spanning cloud and on-premises environments.</x:v>
      </x:c>
      <x:c r="H93" s="32" t="str">
        <x:v>Choose this capability when you need to manage kubernetes fleets spanning cloud and on-premises environments.</x:v>
      </x:c>
      <x:c r="I93" s="32" t="str">
        <x:v>Do you need Kubernetes-specific control, or would a simpler serverless container platform meet the requirement?</x:v>
      </x:c>
      <x:c r="J93" s="32" t="str">
        <x:v>Operational simplicity versus infrastructure control and portability.</x:v>
      </x:c>
      <x:c r="K93" s="32" t="n">
        <x:v>1</x:v>
      </x:c>
      <x:c r="L93" s="32" t="str">
        <x:v>Specialist</x:v>
      </x:c>
      <x:c r="M93" s="32" t="str">
        <x:v>Programme-scale</x:v>
      </x:c>
      <x:c r="N93" s="32" t="str">
        <x:v>Low</x:v>
      </x:c>
      <x:c r="O93" s="32" t="str">
        <x:v>Amazon EKS Anywhere
Amazon ECS Anywhere</x:v>
      </x:c>
      <x:c r="P93" s="32" t="str">
        <x:v>Azure Kubernetes Fleet Manager
Azure Arc-enabled Kubernetes</x:v>
      </x:c>
      <x:c r="Q93" s="32" t="str">
        <x:v>GKE Multi-Cloud
GKE Enterprise</x:v>
      </x:c>
      <x:c r="R93" s="32" t="n">
        <x:f>'Provider Ratings'!AD93</x:f>
        <x:v>3.49</x:v>
      </x:c>
      <x:c r="S93" s="32" t="n">
        <x:f>'Provider Ratings'!AE93</x:f>
        <x:v>3.53</x:v>
      </x:c>
      <x:c r="T93" s="32" t="n">
        <x:f>'Provider Ratings'!AF93</x:f>
        <x:v>3.78</x:v>
      </x:c>
      <x:c r="U93" s="32" t="str">
        <x:f>'Provider Ratings'!AG93</x:f>
        <x:v>GCP</x:v>
      </x:c>
      <x:c r="V93" s="32" t="str">
        <x:f>'Provider Ratings'!AH93</x:f>
        <x:v>Start with Google Cloud when data, AI, Kubernetes, network or managed developer experience is the main differentiator.</x:v>
      </x:c>
      <x:c r="W93" s="32" t="str">
        <x:v>Close</x:v>
      </x:c>
      <x:c r="X93" s="32"/>
      <x:c r="Y93" s="32" t="str">
        <x:v>2026-07-12</x:v>
      </x:c>
    </x:row>
    <x:row r="94">
      <x:c r="A94" s="32" t="str">
        <x:v>04 Compute, Containers &amp; Runtime</x:v>
      </x:c>
      <x:c r="B94" s="32" t="str">
        <x:v>Hybrid &amp; Multicloud</x:v>
      </x:c>
      <x:c r="C94" s="32" t="str">
        <x:v>Hybrid, Multicloud &amp; Edge Runtime</x:v>
      </x:c>
      <x:c r="D94" s="32" t="str">
        <x:v>Platform</x:v>
      </x:c>
      <x:c r="E94" s="32" t="str">
        <x:v>Air-gapped cloud</x:v>
      </x:c>
      <x:c r="F94" s="32" t="str">
        <x:v>Air-gapped cloud platform</x:v>
      </x:c>
      <x:c r="G94" s="32" t="str">
        <x:v>Run cloud capabilities in disconnected or highly restricted environments.</x:v>
      </x:c>
      <x:c r="H94" s="32" t="str">
        <x:v>Choose this capability when you need to run cloud capabilities in disconnected or highly restricted environments.</x:v>
      </x:c>
      <x:c r="I94" s="32" t="str">
        <x:v>What business outcome, scale, control, integration and operating model justify choosing air-gapped cloud platform?</x:v>
      </x:c>
      <x:c r="J94" s="32" t="str">
        <x:v>Operational simplicity versus infrastructure control and portability.</x:v>
      </x:c>
      <x:c r="K94" s="32" t="n">
        <x:v>1</x:v>
      </x:c>
      <x:c r="L94" s="32" t="str">
        <x:v>Specialist</x:v>
      </x:c>
      <x:c r="M94" s="32" t="str">
        <x:v>Programme-scale</x:v>
      </x:c>
      <x:c r="N94" s="32" t="str">
        <x:v>Medium</x:v>
      </x:c>
      <x:c r="O94" s="32" t="str">
        <x:v>AWS Snowball Edge / AWS Outposts variants</x:v>
      </x:c>
      <x:c r="P94" s="32" t="str">
        <x:v>Azure Stack Hub</x:v>
      </x:c>
      <x:c r="Q94" s="32" t="str">
        <x:v>Google Distributed Cloud air-gapped</x:v>
      </x:c>
      <x:c r="R94" s="32" t="n">
        <x:f>'Provider Ratings'!AD94</x:f>
        <x:v>3.23</x:v>
      </x:c>
      <x:c r="S94" s="32" t="n">
        <x:f>'Provider Ratings'!AE94</x:f>
        <x:v>3.62</x:v>
      </x:c>
      <x:c r="T94" s="32" t="n">
        <x:f>'Provider Ratings'!AF94</x:f>
        <x:v>3.35</x:v>
      </x:c>
      <x:c r="U94" s="32" t="str">
        <x:f>'Provider Ratings'!AG94</x:f>
        <x:v>Azure</x:v>
      </x:c>
      <x:c r="V94" s="32" t="str">
        <x:f>'Provider Ratings'!AH94</x:f>
        <x:v>Start with Azure when Microsoft identity, security, data, productivity or hybrid integration reduces delivery effort.</x:v>
      </x:c>
      <x:c r="W94" s="32" t="str">
        <x:v>Partial</x:v>
      </x:c>
      <x:c r="X94" s="32"/>
      <x:c r="Y94" s="32" t="str">
        <x:v>2026-07-12</x:v>
      </x:c>
    </x:row>
    <x:row r="95">
      <x:c r="A95" s="32" t="str">
        <x:v>04 Compute, Containers &amp; Runtime</x:v>
      </x:c>
      <x:c r="B95" s="32" t="str">
        <x:v>Hybrid &amp; Multicloud</x:v>
      </x:c>
      <x:c r="C95" s="32" t="str">
        <x:v>Hybrid, Multicloud &amp; Edge Runtime</x:v>
      </x:c>
      <x:c r="D95" s="32" t="str">
        <x:v>Workload</x:v>
      </x:c>
      <x:c r="E95" s="32" t="str">
        <x:v>Edge appliance</x:v>
      </x:c>
      <x:c r="F95" s="32" t="str">
        <x:v>Cloud edge appliance</x:v>
      </x:c>
      <x:c r="G95" s="32" t="str">
        <x:v>Deploy provider-managed compute and data-transfer hardware at remote sites.</x:v>
      </x:c>
      <x:c r="H95" s="32" t="str">
        <x:v>Choose this capability when you need to deploy provider-managed compute and data-transfer hardware at remote sites.</x:v>
      </x:c>
      <x:c r="I95" s="32" t="str">
        <x:v>What business outcome, scale, control, integration and operating model justify choosing cloud edge appliance?</x:v>
      </x:c>
      <x:c r="J95" s="32" t="str">
        <x:v>Operational simplicity versus infrastructure control and portability.</x:v>
      </x:c>
      <x:c r="K95" s="32" t="n">
        <x:v>2</x:v>
      </x:c>
      <x:c r="L95" s="32" t="str">
        <x:v>Advanced</x:v>
      </x:c>
      <x:c r="M95" s="32" t="str">
        <x:v>3–8 weeks</x:v>
      </x:c>
      <x:c r="N95" s="32" t="str">
        <x:v>Medium</x:v>
      </x:c>
      <x:c r="O95" s="32" t="str">
        <x:v>AWS Snow Family</x:v>
      </x:c>
      <x:c r="P95" s="32" t="str">
        <x:v>Azure Stack Edge
Azure Data Box</x:v>
      </x:c>
      <x:c r="Q95" s="32" t="str">
        <x:v>Google Distributed Cloud appliance
Transfer Appliance</x:v>
      </x:c>
      <x:c r="R95" s="32" t="n">
        <x:f>'Provider Ratings'!AD95</x:f>
        <x:v>3.66</x:v>
      </x:c>
      <x:c r="S95" s="32" t="n">
        <x:f>'Provider Ratings'!AE95</x:f>
        <x:v>3.89</x:v>
      </x:c>
      <x:c r="T95" s="32" t="n">
        <x:f>'Provider Ratings'!AF95</x:f>
        <x:v>3.6</x:v>
      </x:c>
      <x:c r="U95" s="32" t="str">
        <x:f>'Provider Ratings'!AG95</x:f>
        <x:v>Azure</x:v>
      </x:c>
      <x:c r="V95" s="32" t="str">
        <x:f>'Provider Ratings'!AH95</x:f>
        <x:v>Start with Azure when Microsoft identity, security, data, productivity or hybrid integration reduces delivery effort.</x:v>
      </x:c>
      <x:c r="W95" s="32" t="str">
        <x:v>Close</x:v>
      </x:c>
      <x:c r="X95" s="32"/>
      <x:c r="Y95" s="32" t="str">
        <x:v>2026-07-12</x:v>
      </x:c>
    </x:row>
    <x:row r="96">
      <x:c r="A96" s="32" t="str">
        <x:v>03 Network &amp; Connectivity</x:v>
      </x:c>
      <x:c r="B96" s="32" t="str">
        <x:v>Networking</x:v>
      </x:c>
      <x:c r="C96" s="32" t="str">
        <x:v>Virtual Networks &amp; Segmentation</x:v>
      </x:c>
      <x:c r="D96" s="32" t="str">
        <x:v>Foundation</x:v>
      </x:c>
      <x:c r="E96" s="32" t="str">
        <x:v>Virtual network</x:v>
      </x:c>
      <x:c r="F96" s="32" t="str">
        <x:v>Virtual private network</x:v>
      </x:c>
      <x:c r="G96" s="32" t="str">
        <x:v>Create logically isolated cloud networks, subnets, routing and private addressing.</x:v>
      </x:c>
      <x:c r="H96" s="32" t="str">
        <x:v>Choose this capability when you need to create logically isolated cloud networks, subnets, routing and private addressing.</x:v>
      </x:c>
      <x:c r="I96" s="32" t="str">
        <x:v>What business outcome, scale, control, integration and operating model justify choosing virtual private network?</x:v>
      </x:c>
      <x:c r="J96" s="32" t="str">
        <x:v>Global performance and resilience versus design complexity and egress cost.</x:v>
      </x:c>
      <x:c r="K96" s="32" t="n">
        <x:v>3</x:v>
      </x:c>
      <x:c r="L96" s="32" t="str">
        <x:v>Moderate</x:v>
      </x:c>
      <x:c r="M96" s="32" t="str">
        <x:v>1–3 weeks</x:v>
      </x:c>
      <x:c r="N96" s="32" t="str">
        <x:v>Medium</x:v>
      </x:c>
      <x:c r="O96" s="32" t="str">
        <x:v>Amazon VPC</x:v>
      </x:c>
      <x:c r="P96" s="32" t="str">
        <x:v>Azure Virtual Network</x:v>
      </x:c>
      <x:c r="Q96" s="32" t="str">
        <x:v>Virtual Private Cloud</x:v>
      </x:c>
      <x:c r="R96" s="32" t="n">
        <x:f>'Provider Ratings'!AD96</x:f>
        <x:v>3.94</x:v>
      </x:c>
      <x:c r="S96" s="32" t="n">
        <x:f>'Provider Ratings'!AE96</x:f>
        <x:v>3.9</x:v>
      </x:c>
      <x:c r="T96" s="32" t="n">
        <x:f>'Provider Ratings'!AF96</x:f>
        <x:v>3.91</x:v>
      </x:c>
      <x:c r="U96" s="32" t="str">
        <x:f>'Provider Ratings'!AG96</x:f>
        <x:v>Context-dependent tie</x:v>
      </x:c>
      <x:c r="V96" s="32" t="str">
        <x:f>'Provider Ratings'!AH96</x:f>
        <x:v>Scores are close: use ecosystem, data gravity, region, skills, commercials and proof-of-value results to decide.</x:v>
      </x:c>
      <x:c r="W96" s="32" t="str">
        <x:v>Exact</x:v>
      </x:c>
      <x:c r="X96" s="32"/>
      <x:c r="Y96" s="32" t="str">
        <x:v>2026-07-12</x:v>
      </x:c>
    </x:row>
    <x:row r="97">
      <x:c r="A97" s="32" t="str">
        <x:v>03 Network &amp; Connectivity</x:v>
      </x:c>
      <x:c r="B97" s="32" t="str">
        <x:v>Networking</x:v>
      </x:c>
      <x:c r="C97" s="32" t="str">
        <x:v>Virtual Networks &amp; Segmentation</x:v>
      </x:c>
      <x:c r="D97" s="32" t="str">
        <x:v>Workload</x:v>
      </x:c>
      <x:c r="E97" s="32" t="str">
        <x:v>Network segmentation</x:v>
      </x:c>
      <x:c r="F97" s="32" t="str">
        <x:v>Network security groups</x:v>
      </x:c>
      <x:c r="G97" s="32" t="str">
        <x:v>Apply stateful network access rules to interfaces, workloads or subnets.</x:v>
      </x:c>
      <x:c r="H97" s="32" t="str">
        <x:v>Choose this capability when you need to apply stateful network access rules to interfaces, workloads or subnets.</x:v>
      </x:c>
      <x:c r="I97" s="32" t="str">
        <x:v>What business outcome, scale, control, integration and operating model justify choosing network security groups?</x:v>
      </x:c>
      <x:c r="J97" s="32" t="str">
        <x:v>Global performance and resilience versus design complexity and egress cost.</x:v>
      </x:c>
      <x:c r="K97" s="32" t="n">
        <x:v>3</x:v>
      </x:c>
      <x:c r="L97" s="32" t="str">
        <x:v>Moderate</x:v>
      </x:c>
      <x:c r="M97" s="32" t="str">
        <x:v>1–3 weeks</x:v>
      </x:c>
      <x:c r="N97" s="32" t="str">
        <x:v>Medium</x:v>
      </x:c>
      <x:c r="O97" s="32" t="str">
        <x:v>Security Groups
Network ACLs</x:v>
      </x:c>
      <x:c r="P97" s="32" t="str">
        <x:v>Network Security Groups
Application Security Groups</x:v>
      </x:c>
      <x:c r="Q97" s="32" t="str">
        <x:v>VPC firewall rules
Hierarchical firewall policies</x:v>
      </x:c>
      <x:c r="R97" s="32" t="n">
        <x:f>'Provider Ratings'!AD97</x:f>
        <x:v>3.77</x:v>
      </x:c>
      <x:c r="S97" s="32" t="n">
        <x:f>'Provider Ratings'!AE97</x:f>
        <x:v>3.82</x:v>
      </x:c>
      <x:c r="T97" s="32" t="n">
        <x:f>'Provider Ratings'!AF97</x:f>
        <x:v>3.74</x:v>
      </x:c>
      <x:c r="U97" s="32" t="str">
        <x:f>'Provider Ratings'!AG97</x:f>
        <x:v>Context-dependent tie</x:v>
      </x:c>
      <x:c r="V97" s="32" t="str">
        <x:f>'Provider Ratings'!AH97</x:f>
        <x:v>Scores are close: use ecosystem, data gravity, region, skills, commercials and proof-of-value results to decide.</x:v>
      </x:c>
      <x:c r="W97" s="32" t="str">
        <x:v>Close</x:v>
      </x:c>
      <x:c r="X97" s="32"/>
      <x:c r="Y97" s="32" t="str">
        <x:v>2026-07-12</x:v>
      </x:c>
    </x:row>
    <x:row r="98">
      <x:c r="A98" s="32" t="str">
        <x:v>03 Network &amp; Connectivity</x:v>
      </x:c>
      <x:c r="B98" s="32" t="str">
        <x:v>Networking</x:v>
      </x:c>
      <x:c r="C98" s="32" t="str">
        <x:v>Traffic Management &amp; Content Delivery</x:v>
      </x:c>
      <x:c r="D98" s="32" t="str">
        <x:v>Component</x:v>
      </x:c>
      <x:c r="E98" s="32" t="str">
        <x:v>Load balancing</x:v>
      </x:c>
      <x:c r="F98" s="32" t="str">
        <x:v>Layer 4 load balancing</x:v>
      </x:c>
      <x:c r="G98" s="32" t="str">
        <x:v>Distribute TCP or UDP traffic across healthy backend services.</x:v>
      </x:c>
      <x:c r="H98" s="32" t="str">
        <x:v>Choose this capability when you need to distribute tcp or udp traffic across healthy backend services.</x:v>
      </x:c>
      <x:c r="I98" s="32" t="str">
        <x:v>Is routing regional or global, Layer 4 or Layer 7, and what latency, security and failover behaviour is required?</x:v>
      </x:c>
      <x:c r="J98" s="32" t="str">
        <x:v>Global performance and resilience versus design complexity and egress cost.</x:v>
      </x:c>
      <x:c r="K98" s="32" t="n">
        <x:v>4</x:v>
      </x:c>
      <x:c r="L98" s="32" t="str">
        <x:v>Easy</x:v>
      </x:c>
      <x:c r="M98" s="32" t="str">
        <x:v>1–3 days</x:v>
      </x:c>
      <x:c r="N98" s="32" t="str">
        <x:v>Medium</x:v>
      </x:c>
      <x:c r="O98" s="32" t="str">
        <x:v>Network Load Balancer
Gateway Load Balancer</x:v>
      </x:c>
      <x:c r="P98" s="32" t="str">
        <x:v>Azure Load Balancer</x:v>
      </x:c>
      <x:c r="Q98" s="32" t="str">
        <x:v>Cloud Load Balancing</x:v>
      </x:c>
      <x:c r="R98" s="32" t="n">
        <x:f>'Provider Ratings'!AD98</x:f>
        <x:v>3.93</x:v>
      </x:c>
      <x:c r="S98" s="32" t="n">
        <x:f>'Provider Ratings'!AE98</x:f>
        <x:v>4.04</x:v>
      </x:c>
      <x:c r="T98" s="32" t="n">
        <x:f>'Provider Ratings'!AF98</x:f>
        <x:v>4.08</x:v>
      </x:c>
      <x:c r="U98" s="32" t="str">
        <x:f>'Provider Ratings'!AG98</x:f>
        <x:v>Context-dependent tie</x:v>
      </x:c>
      <x:c r="V98" s="32" t="str">
        <x:f>'Provider Ratings'!AH98</x:f>
        <x:v>Scores are close: use ecosystem, data gravity, region, skills, commercials and proof-of-value results to decide.</x:v>
      </x:c>
      <x:c r="W98" s="32" t="str">
        <x:v>Close</x:v>
      </x:c>
      <x:c r="X98" s="32"/>
      <x:c r="Y98" s="32" t="str">
        <x:v>2026-07-12</x:v>
      </x:c>
    </x:row>
    <x:row r="99">
      <x:c r="A99" s="32" t="str">
        <x:v>03 Network &amp; Connectivity</x:v>
      </x:c>
      <x:c r="B99" s="32" t="str">
        <x:v>Networking</x:v>
      </x:c>
      <x:c r="C99" s="32" t="str">
        <x:v>Traffic Management &amp; Content Delivery</x:v>
      </x:c>
      <x:c r="D99" s="32" t="str">
        <x:v>Component</x:v>
      </x:c>
      <x:c r="E99" s="32" t="str">
        <x:v>Load balancing</x:v>
      </x:c>
      <x:c r="F99" s="32" t="str">
        <x:v>Layer 7 application load balancing</x:v>
      </x:c>
      <x:c r="G99" s="32" t="str">
        <x:v>Distribute HTTP and HTTPS traffic using host, path and application-aware routing.</x:v>
      </x:c>
      <x:c r="H99" s="32" t="str">
        <x:v>Choose this capability when you need to distribute http and https traffic using host, path and application-aware routing.</x:v>
      </x:c>
      <x:c r="I99" s="32" t="str">
        <x:v>Is routing regional or global, Layer 4 or Layer 7, and what latency, security and failover behaviour is required?</x:v>
      </x:c>
      <x:c r="J99" s="32" t="str">
        <x:v>Global performance and resilience versus design complexity and egress cost.</x:v>
      </x:c>
      <x:c r="K99" s="32" t="n">
        <x:v>4</x:v>
      </x:c>
      <x:c r="L99" s="32" t="str">
        <x:v>Easy</x:v>
      </x:c>
      <x:c r="M99" s="32" t="str">
        <x:v>1–3 days</x:v>
      </x:c>
      <x:c r="N99" s="32" t="str">
        <x:v>Medium</x:v>
      </x:c>
      <x:c r="O99" s="32" t="str">
        <x:v>Application Load Balancer</x:v>
      </x:c>
      <x:c r="P99" s="32" t="str">
        <x:v>Azure Application Gateway</x:v>
      </x:c>
      <x:c r="Q99" s="32" t="str">
        <x:v>Cloud Load Balancing</x:v>
      </x:c>
      <x:c r="R99" s="32" t="n">
        <x:f>'Provider Ratings'!AD99</x:f>
        <x:v>4.09</x:v>
      </x:c>
      <x:c r="S99" s="32" t="n">
        <x:f>'Provider Ratings'!AE99</x:f>
        <x:v>4.1</x:v>
      </x:c>
      <x:c r="T99" s="32" t="n">
        <x:f>'Provider Ratings'!AF99</x:f>
        <x:v>4.14</x:v>
      </x:c>
      <x:c r="U99" s="32" t="str">
        <x:f>'Provider Ratings'!AG99</x:f>
        <x:v>Context-dependent tie</x:v>
      </x:c>
      <x:c r="V99" s="32" t="str">
        <x:f>'Provider Ratings'!AH99</x:f>
        <x:v>Scores are close: use ecosystem, data gravity, region, skills, commercials and proof-of-value results to decide.</x:v>
      </x:c>
      <x:c r="W99" s="32" t="str">
        <x:v>Exact</x:v>
      </x:c>
      <x:c r="X99" s="32"/>
      <x:c r="Y99" s="32" t="str">
        <x:v>2026-07-12</x:v>
      </x:c>
    </x:row>
    <x:row r="100">
      <x:c r="A100" s="32" t="str">
        <x:v>03 Network &amp; Connectivity</x:v>
      </x:c>
      <x:c r="B100" s="32" t="str">
        <x:v>Networking</x:v>
      </x:c>
      <x:c r="C100" s="32" t="str">
        <x:v>Traffic Management &amp; Content Delivery</x:v>
      </x:c>
      <x:c r="D100" s="32" t="str">
        <x:v>Workload</x:v>
      </x:c>
      <x:c r="E100" s="32" t="str">
        <x:v>Global traffic</x:v>
      </x:c>
      <x:c r="F100" s="32" t="str">
        <x:v>Global application acceleration</x:v>
      </x:c>
      <x:c r="G100" s="32" t="str">
        <x:v>Route users to healthy regional endpoints over the provider's global network.</x:v>
      </x:c>
      <x:c r="H100" s="32" t="str">
        <x:v>Choose this capability when you need to route users to healthy regional endpoints over the provider's global network.</x:v>
      </x:c>
      <x:c r="I100" s="32" t="str">
        <x:v>Is routing regional or global, Layer 4 or Layer 7, and what latency, security and failover behaviour is required?</x:v>
      </x:c>
      <x:c r="J100" s="32" t="str">
        <x:v>Global performance and resilience versus design complexity and egress cost.</x:v>
      </x:c>
      <x:c r="K100" s="32" t="n">
        <x:v>3</x:v>
      </x:c>
      <x:c r="L100" s="32" t="str">
        <x:v>Moderate</x:v>
      </x:c>
      <x:c r="M100" s="32" t="str">
        <x:v>1–3 weeks</x:v>
      </x:c>
      <x:c r="N100" s="32" t="str">
        <x:v>Medium</x:v>
      </x:c>
      <x:c r="O100" s="32" t="str">
        <x:v>AWS Global Accelerator</x:v>
      </x:c>
      <x:c r="P100" s="32" t="str">
        <x:v>Azure Front Door</x:v>
      </x:c>
      <x:c r="Q100" s="32" t="str">
        <x:v>Cloud Load Balancing
Premium Network Service Tier</x:v>
      </x:c>
      <x:c r="R100" s="32" t="n">
        <x:f>'Provider Ratings'!AD100</x:f>
        <x:v>3.82</x:v>
      </x:c>
      <x:c r="S100" s="32" t="n">
        <x:f>'Provider Ratings'!AE100</x:f>
        <x:v>3.84</x:v>
      </x:c>
      <x:c r="T100" s="32" t="n">
        <x:f>'Provider Ratings'!AF100</x:f>
        <x:v>3.79</x:v>
      </x:c>
      <x:c r="U100" s="32" t="str">
        <x:f>'Provider Ratings'!AG100</x:f>
        <x:v>Context-dependent tie</x:v>
      </x:c>
      <x:c r="V100" s="32" t="str">
        <x:f>'Provider Ratings'!AH100</x:f>
        <x:v>Scores are close: use ecosystem, data gravity, region, skills, commercials and proof-of-value results to decide.</x:v>
      </x:c>
      <x:c r="W100" s="32" t="str">
        <x:v>Close</x:v>
      </x:c>
      <x:c r="X100" s="32"/>
      <x:c r="Y100" s="32" t="str">
        <x:v>2026-07-12</x:v>
      </x:c>
    </x:row>
    <x:row r="101">
      <x:c r="A101" s="32" t="str">
        <x:v>03 Network &amp; Connectivity</x:v>
      </x:c>
      <x:c r="B101" s="32" t="str">
        <x:v>Networking</x:v>
      </x:c>
      <x:c r="C101" s="32" t="str">
        <x:v>DNS &amp; Naming</x:v>
      </x:c>
      <x:c r="D101" s="32" t="str">
        <x:v>Component</x:v>
      </x:c>
      <x:c r="E101" s="32" t="str">
        <x:v>DNS</x:v>
      </x:c>
      <x:c r="F101" s="32" t="str">
        <x:v>Managed DNS</x:v>
      </x:c>
      <x:c r="G101" s="32" t="str">
        <x:v>Host public and private DNS zones with resilient authoritative name resolution.</x:v>
      </x:c>
      <x:c r="H101" s="32" t="str">
        <x:v>Choose this capability when you need to host public and private dns zones with resilient authoritative name resolution.</x:v>
      </x:c>
      <x:c r="I101" s="32" t="str">
        <x:v>What business outcome, scale, control, integration and operating model justify choosing managed dns?</x:v>
      </x:c>
      <x:c r="J101" s="32" t="str">
        <x:v>Global performance and resilience versus design complexity and egress cost.</x:v>
      </x:c>
      <x:c r="K101" s="32" t="n">
        <x:v>5</x:v>
      </x:c>
      <x:c r="L101" s="32" t="str">
        <x:v>Very easy</x:v>
      </x:c>
      <x:c r="M101" s="32" t="str">
        <x:v>Hours</x:v>
      </x:c>
      <x:c r="N101" s="32" t="str">
        <x:v>Medium</x:v>
      </x:c>
      <x:c r="O101" s="32" t="str">
        <x:v>Amazon Route 53</x:v>
      </x:c>
      <x:c r="P101" s="32" t="str">
        <x:v>Azure DNS
Azure Private DNS</x:v>
      </x:c>
      <x:c r="Q101" s="32" t="str">
        <x:v>Cloud DNS</x:v>
      </x:c>
      <x:c r="R101" s="32" t="n">
        <x:f>'Provider Ratings'!AD101</x:f>
        <x:v>4.31</x:v>
      </x:c>
      <x:c r="S101" s="32" t="n">
        <x:f>'Provider Ratings'!AE101</x:f>
        <x:v>4.22</x:v>
      </x:c>
      <x:c r="T101" s="32" t="n">
        <x:f>'Provider Ratings'!AF101</x:f>
        <x:v>4.28</x:v>
      </x:c>
      <x:c r="U101" s="32" t="str">
        <x:f>'Provider Ratings'!AG101</x:f>
        <x:v>Context-dependent tie</x:v>
      </x:c>
      <x:c r="V101" s="32" t="str">
        <x:f>'Provider Ratings'!AH101</x:f>
        <x:v>Scores are close: use ecosystem, data gravity, region, skills, commercials and proof-of-value results to decide.</x:v>
      </x:c>
      <x:c r="W101" s="32" t="str">
        <x:v>Exact</x:v>
      </x:c>
      <x:c r="X101" s="32"/>
      <x:c r="Y101" s="32" t="str">
        <x:v>2026-07-12</x:v>
      </x:c>
    </x:row>
    <x:row r="102">
      <x:c r="A102" s="32" t="str">
        <x:v>03 Network &amp; Connectivity</x:v>
      </x:c>
      <x:c r="B102" s="32" t="str">
        <x:v>Networking</x:v>
      </x:c>
      <x:c r="C102" s="32" t="str">
        <x:v>DNS &amp; Naming</x:v>
      </x:c>
      <x:c r="D102" s="32" t="str">
        <x:v>Workload</x:v>
      </x:c>
      <x:c r="E102" s="32" t="str">
        <x:v>Domains</x:v>
      </x:c>
      <x:c r="F102" s="32" t="str">
        <x:v>Domain registration</x:v>
      </x:c>
      <x:c r="G102" s="32" t="str">
        <x:v>Register and manage internet domain names.</x:v>
      </x:c>
      <x:c r="H102" s="32" t="str">
        <x:v>Choose this capability when you need to register and manage internet domain names.</x:v>
      </x:c>
      <x:c r="I102" s="32" t="str">
        <x:v>What business outcome, scale, control, integration and operating model justify choosing domain registration?</x:v>
      </x:c>
      <x:c r="J102" s="32" t="str">
        <x:v>Global performance and resilience versus design complexity and egress cost.</x:v>
      </x:c>
      <x:c r="K102" s="32" t="n">
        <x:v>4</x:v>
      </x:c>
      <x:c r="L102" s="32" t="str">
        <x:v>Easy</x:v>
      </x:c>
      <x:c r="M102" s="32" t="str">
        <x:v>1–3 days</x:v>
      </x:c>
      <x:c r="N102" s="32" t="str">
        <x:v>Medium</x:v>
      </x:c>
      <x:c r="O102" s="32" t="str">
        <x:v>Amazon Route 53 Domains</x:v>
      </x:c>
      <x:c r="P102" s="32" t="str">
        <x:v>App Service Domains</x:v>
      </x:c>
      <x:c r="Q102" s="32" t="str">
        <x:v>Cloud Domains</x:v>
      </x:c>
      <x:c r="R102" s="32" t="n">
        <x:f>'Provider Ratings'!AD102</x:f>
        <x:v>4.07</x:v>
      </x:c>
      <x:c r="S102" s="32" t="n">
        <x:f>'Provider Ratings'!AE102</x:f>
        <x:v>4.06</x:v>
      </x:c>
      <x:c r="T102" s="32" t="n">
        <x:f>'Provider Ratings'!AF102</x:f>
        <x:v>4.05</x:v>
      </x:c>
      <x:c r="U102" s="32" t="str">
        <x:f>'Provider Ratings'!AG102</x:f>
        <x:v>Context-dependent tie</x:v>
      </x:c>
      <x:c r="V102" s="32" t="str">
        <x:f>'Provider Ratings'!AH102</x:f>
        <x:v>Scores are close: use ecosystem, data gravity, region, skills, commercials and proof-of-value results to decide.</x:v>
      </x:c>
      <x:c r="W102" s="32" t="str">
        <x:v>Close</x:v>
      </x:c>
      <x:c r="X102" s="32"/>
      <x:c r="Y102" s="32" t="str">
        <x:v>2026-07-12</x:v>
      </x:c>
    </x:row>
    <x:row r="103">
      <x:c r="A103" s="32" t="str">
        <x:v>03 Network &amp; Connectivity</x:v>
      </x:c>
      <x:c r="B103" s="32" t="str">
        <x:v>Networking</x:v>
      </x:c>
      <x:c r="C103" s="32" t="str">
        <x:v>Traffic Management &amp; Content Delivery</x:v>
      </x:c>
      <x:c r="D103" s="32" t="str">
        <x:v>Workload</x:v>
      </x:c>
      <x:c r="E103" s="32" t="str">
        <x:v>CDN</x:v>
      </x:c>
      <x:c r="F103" s="32" t="str">
        <x:v>Content delivery network</x:v>
      </x:c>
      <x:c r="G103" s="32" t="str">
        <x:v>Cache and deliver web content from globally distributed edge locations.</x:v>
      </x:c>
      <x:c r="H103" s="32" t="str">
        <x:v>Choose this capability when you need to cache and deliver web content from globally distributed edge locations.</x:v>
      </x:c>
      <x:c r="I103" s="32" t="str">
        <x:v>Is routing regional or global, Layer 4 or Layer 7, and what latency, security and failover behaviour is required?</x:v>
      </x:c>
      <x:c r="J103" s="32" t="str">
        <x:v>Global performance and resilience versus design complexity and egress cost.</x:v>
      </x:c>
      <x:c r="K103" s="32" t="n">
        <x:v>3</x:v>
      </x:c>
      <x:c r="L103" s="32" t="str">
        <x:v>Moderate</x:v>
      </x:c>
      <x:c r="M103" s="32" t="str">
        <x:v>1–3 weeks</x:v>
      </x:c>
      <x:c r="N103" s="32" t="str">
        <x:v>Medium</x:v>
      </x:c>
      <x:c r="O103" s="32" t="str">
        <x:v>Amazon CloudFront</x:v>
      </x:c>
      <x:c r="P103" s="32" t="str">
        <x:v>Azure Front Door
Azure CDN</x:v>
      </x:c>
      <x:c r="Q103" s="32" t="str">
        <x:v>Cloud CDN</x:v>
      </x:c>
      <x:c r="R103" s="32" t="n">
        <x:f>'Provider Ratings'!AD103</x:f>
        <x:v>3.87</x:v>
      </x:c>
      <x:c r="S103" s="32" t="n">
        <x:f>'Provider Ratings'!AE103</x:f>
        <x:v>3.75</x:v>
      </x:c>
      <x:c r="T103" s="32" t="n">
        <x:f>'Provider Ratings'!AF103</x:f>
        <x:v>3.91</x:v>
      </x:c>
      <x:c r="U103" s="32" t="str">
        <x:f>'Provider Ratings'!AG103</x:f>
        <x:v>Context-dependent tie</x:v>
      </x:c>
      <x:c r="V103" s="32" t="str">
        <x:f>'Provider Ratings'!AH103</x:f>
        <x:v>Scores are close: use ecosystem, data gravity, region, skills, commercials and proof-of-value results to decide.</x:v>
      </x:c>
      <x:c r="W103" s="32" t="str">
        <x:v>Close</x:v>
      </x:c>
      <x:c r="X103" s="32"/>
      <x:c r="Y103" s="32" t="str">
        <x:v>2026-07-12</x:v>
      </x:c>
    </x:row>
    <x:row r="104">
      <x:c r="A104" s="32" t="str">
        <x:v>03 Network &amp; Connectivity</x:v>
      </x:c>
      <x:c r="B104" s="32" t="str">
        <x:v>Networking</x:v>
      </x:c>
      <x:c r="C104" s="32" t="str">
        <x:v>Traffic Management &amp; Content Delivery</x:v>
      </x:c>
      <x:c r="D104" s="32" t="str">
        <x:v>Workload</x:v>
      </x:c>
      <x:c r="E104" s="32" t="str">
        <x:v>Media CDN</x:v>
      </x:c>
      <x:c r="F104" s="32" t="str">
        <x:v>High-capacity media CDN</x:v>
      </x:c>
      <x:c r="G104" s="32" t="str">
        <x:v>Deliver large-scale streaming media and video using edge caching.</x:v>
      </x:c>
      <x:c r="H104" s="32" t="str">
        <x:v>Choose this capability when you need to deliver large-scale streaming media and video using edge caching.</x:v>
      </x:c>
      <x:c r="I104" s="32" t="str">
        <x:v>Is routing regional or global, Layer 4 or Layer 7, and what latency, security and failover behaviour is required?</x:v>
      </x:c>
      <x:c r="J104" s="32" t="str">
        <x:v>Global performance and resilience versus design complexity and egress cost.</x:v>
      </x:c>
      <x:c r="K104" s="32" t="n">
        <x:v>3</x:v>
      </x:c>
      <x:c r="L104" s="32" t="str">
        <x:v>Moderate</x:v>
      </x:c>
      <x:c r="M104" s="32" t="str">
        <x:v>1–3 weeks</x:v>
      </x:c>
      <x:c r="N104" s="32" t="str">
        <x:v>Medium</x:v>
      </x:c>
      <x:c r="O104" s="32" t="str">
        <x:v>Amazon CloudFront</x:v>
      </x:c>
      <x:c r="P104" s="32" t="str">
        <x:v>Azure Front Door
Azure CDN</x:v>
      </x:c>
      <x:c r="Q104" s="32" t="str">
        <x:v>Media CDN</x:v>
      </x:c>
      <x:c r="R104" s="32" t="n">
        <x:f>'Provider Ratings'!AD104</x:f>
        <x:v>3.77</x:v>
      </x:c>
      <x:c r="S104" s="32" t="n">
        <x:f>'Provider Ratings'!AE104</x:f>
        <x:v>3.56</x:v>
      </x:c>
      <x:c r="T104" s="32" t="n">
        <x:f>'Provider Ratings'!AF104</x:f>
        <x:v>3.69</x:v>
      </x:c>
      <x:c r="U104" s="32" t="str">
        <x:f>'Provider Ratings'!AG104</x:f>
        <x:v>Context-dependent tie</x:v>
      </x:c>
      <x:c r="V104" s="32" t="str">
        <x:f>'Provider Ratings'!AH104</x:f>
        <x:v>Scores are close: use ecosystem, data gravity, region, skills, commercials and proof-of-value results to decide.</x:v>
      </x:c>
      <x:c r="W104" s="32" t="str">
        <x:v>Partial</x:v>
      </x:c>
      <x:c r="X104" s="32"/>
      <x:c r="Y104" s="32" t="str">
        <x:v>2026-07-12</x:v>
      </x:c>
    </x:row>
    <x:row r="105">
      <x:c r="A105" s="32" t="str">
        <x:v>03 Network &amp; Connectivity</x:v>
      </x:c>
      <x:c r="B105" s="32" t="str">
        <x:v>Networking</x:v>
      </x:c>
      <x:c r="C105" s="32" t="str">
        <x:v>Virtual Networks &amp; Segmentation</x:v>
      </x:c>
      <x:c r="D105" s="32" t="str">
        <x:v>Workload</x:v>
      </x:c>
      <x:c r="E105" s="32" t="str">
        <x:v>NAT</x:v>
      </x:c>
      <x:c r="F105" s="32" t="str">
        <x:v>Managed network address translation</x:v>
      </x:c>
      <x:c r="G105" s="32" t="str">
        <x:v>Provide controlled outbound internet access for private workloads.</x:v>
      </x:c>
      <x:c r="H105" s="32" t="str">
        <x:v>Choose this capability when you need to provide controlled outbound internet access for private workloads.</x:v>
      </x:c>
      <x:c r="I105" s="32" t="str">
        <x:v>What business outcome, scale, control, integration and operating model justify choosing managed network address translation?</x:v>
      </x:c>
      <x:c r="J105" s="32" t="str">
        <x:v>Global performance and resilience versus design complexity and egress cost.</x:v>
      </x:c>
      <x:c r="K105" s="32" t="n">
        <x:v>3</x:v>
      </x:c>
      <x:c r="L105" s="32" t="str">
        <x:v>Moderate</x:v>
      </x:c>
      <x:c r="M105" s="32" t="str">
        <x:v>1–3 weeks</x:v>
      </x:c>
      <x:c r="N105" s="32" t="str">
        <x:v>Medium</x:v>
      </x:c>
      <x:c r="O105" s="32" t="str">
        <x:v>NAT Gateway</x:v>
      </x:c>
      <x:c r="P105" s="32" t="str">
        <x:v>Azure NAT Gateway</x:v>
      </x:c>
      <x:c r="Q105" s="32" t="str">
        <x:v>Cloud NAT</x:v>
      </x:c>
      <x:c r="R105" s="32" t="n">
        <x:f>'Provider Ratings'!AD105</x:f>
        <x:v>3.94</x:v>
      </x:c>
      <x:c r="S105" s="32" t="n">
        <x:f>'Provider Ratings'!AE105</x:f>
        <x:v>3.9</x:v>
      </x:c>
      <x:c r="T105" s="32" t="n">
        <x:f>'Provider Ratings'!AF105</x:f>
        <x:v>3.91</x:v>
      </x:c>
      <x:c r="U105" s="32" t="str">
        <x:f>'Provider Ratings'!AG105</x:f>
        <x:v>Context-dependent tie</x:v>
      </x:c>
      <x:c r="V105" s="32" t="str">
        <x:f>'Provider Ratings'!AH105</x:f>
        <x:v>Scores are close: use ecosystem, data gravity, region, skills, commercials and proof-of-value results to decide.</x:v>
      </x:c>
      <x:c r="W105" s="32" t="str">
        <x:v>Exact</x:v>
      </x:c>
      <x:c r="X105" s="32"/>
      <x:c r="Y105" s="32" t="str">
        <x:v>2026-07-12</x:v>
      </x:c>
    </x:row>
    <x:row r="106">
      <x:c r="A106" s="32" t="str">
        <x:v>03 Network &amp; Connectivity</x:v>
      </x:c>
      <x:c r="B106" s="32" t="str">
        <x:v>Networking</x:v>
      </x:c>
      <x:c r="C106" s="32" t="str">
        <x:v>Hybrid &amp; Private Connectivity</x:v>
      </x:c>
      <x:c r="D106" s="32" t="str">
        <x:v>Workload</x:v>
      </x:c>
      <x:c r="E106" s="32" t="str">
        <x:v>Hybrid connectivity</x:v>
      </x:c>
      <x:c r="F106" s="32" t="str">
        <x:v>Site-to-site VPN</x:v>
      </x:c>
      <x:c r="G106" s="32" t="str">
        <x:v>Connect on-premises networks to cloud virtual networks through encrypted tunnels.</x:v>
      </x:c>
      <x:c r="H106" s="32" t="str">
        <x:v>Choose this capability when you need to connect on-premises networks to cloud virtual networks through encrypted tunnels.</x:v>
      </x:c>
      <x:c r="I106" s="32" t="str">
        <x:v>What bandwidth, latency, encryption, routing and resilience are required between environments?</x:v>
      </x:c>
      <x:c r="J106" s="32" t="str">
        <x:v>Global performance and resilience versus design complexity and egress cost.</x:v>
      </x:c>
      <x:c r="K106" s="32" t="n">
        <x:v>3</x:v>
      </x:c>
      <x:c r="L106" s="32" t="str">
        <x:v>Moderate</x:v>
      </x:c>
      <x:c r="M106" s="32" t="str">
        <x:v>1–3 weeks</x:v>
      </x:c>
      <x:c r="N106" s="32" t="str">
        <x:v>Medium</x:v>
      </x:c>
      <x:c r="O106" s="32" t="str">
        <x:v>AWS Site-to-Site VPN</x:v>
      </x:c>
      <x:c r="P106" s="32" t="str">
        <x:v>Azure VPN Gateway</x:v>
      </x:c>
      <x:c r="Q106" s="32" t="str">
        <x:v>Cloud VPN</x:v>
      </x:c>
      <x:c r="R106" s="32" t="n">
        <x:f>'Provider Ratings'!AD106</x:f>
        <x:v>3.88</x:v>
      </x:c>
      <x:c r="S106" s="32" t="n">
        <x:f>'Provider Ratings'!AE106</x:f>
        <x:v>4.18</x:v>
      </x:c>
      <x:c r="T106" s="32" t="n">
        <x:f>'Provider Ratings'!AF106</x:f>
        <x:v>3.85</x:v>
      </x:c>
      <x:c r="U106" s="32" t="str">
        <x:f>'Provider Ratings'!AG106</x:f>
        <x:v>Azure</x:v>
      </x:c>
      <x:c r="V106" s="32" t="str">
        <x:f>'Provider Ratings'!AH106</x:f>
        <x:v>Start with Azure when Microsoft identity, security, data, productivity or hybrid integration reduces delivery effort.</x:v>
      </x:c>
      <x:c r="W106" s="32" t="str">
        <x:v>Exact</x:v>
      </x:c>
      <x:c r="X106" s="32"/>
      <x:c r="Y106" s="32" t="str">
        <x:v>2026-07-12</x:v>
      </x:c>
    </x:row>
    <x:row r="107">
      <x:c r="A107" s="32" t="str">
        <x:v>03 Network &amp; Connectivity</x:v>
      </x:c>
      <x:c r="B107" s="32" t="str">
        <x:v>Networking</x:v>
      </x:c>
      <x:c r="C107" s="32" t="str">
        <x:v>Hybrid &amp; Private Connectivity</x:v>
      </x:c>
      <x:c r="D107" s="32" t="str">
        <x:v>Workload</x:v>
      </x:c>
      <x:c r="E107" s="32" t="str">
        <x:v>Hybrid connectivity</x:v>
      </x:c>
      <x:c r="F107" s="32" t="str">
        <x:v>Dedicated private connectivity</x:v>
      </x:c>
      <x:c r="G107" s="32" t="str">
        <x:v>Connect data centres to cloud through dedicated private circuits.</x:v>
      </x:c>
      <x:c r="H107" s="32" t="str">
        <x:v>Choose this capability when you need to connect data centres to cloud through dedicated private circuits.</x:v>
      </x:c>
      <x:c r="I107" s="32" t="str">
        <x:v>What bandwidth, latency, encryption, routing and resilience are required between environments?</x:v>
      </x:c>
      <x:c r="J107" s="32" t="str">
        <x:v>Global performance and resilience versus design complexity and egress cost.</x:v>
      </x:c>
      <x:c r="K107" s="32" t="n">
        <x:v>3</x:v>
      </x:c>
      <x:c r="L107" s="32" t="str">
        <x:v>Moderate</x:v>
      </x:c>
      <x:c r="M107" s="32" t="str">
        <x:v>1–3 weeks</x:v>
      </x:c>
      <x:c r="N107" s="32" t="str">
        <x:v>Medium</x:v>
      </x:c>
      <x:c r="O107" s="32" t="str">
        <x:v>AWS Direct Connect</x:v>
      </x:c>
      <x:c r="P107" s="32" t="str">
        <x:v>Azure ExpressRoute</x:v>
      </x:c>
      <x:c r="Q107" s="32" t="str">
        <x:v>Cloud Interconnect</x:v>
      </x:c>
      <x:c r="R107" s="32" t="n">
        <x:f>'Provider Ratings'!AD107</x:f>
        <x:v>3.88</x:v>
      </x:c>
      <x:c r="S107" s="32" t="n">
        <x:f>'Provider Ratings'!AE107</x:f>
        <x:v>4.18</x:v>
      </x:c>
      <x:c r="T107" s="32" t="n">
        <x:f>'Provider Ratings'!AF107</x:f>
        <x:v>3.85</x:v>
      </x:c>
      <x:c r="U107" s="32" t="str">
        <x:f>'Provider Ratings'!AG107</x:f>
        <x:v>Azure</x:v>
      </x:c>
      <x:c r="V107" s="32" t="str">
        <x:f>'Provider Ratings'!AH107</x:f>
        <x:v>Start with Azure when Microsoft identity, security, data, productivity or hybrid integration reduces delivery effort.</x:v>
      </x:c>
      <x:c r="W107" s="32" t="str">
        <x:v>Exact</x:v>
      </x:c>
      <x:c r="X107" s="32"/>
      <x:c r="Y107" s="32" t="str">
        <x:v>2026-07-12</x:v>
      </x:c>
    </x:row>
    <x:row r="108">
      <x:c r="A108" s="32" t="str">
        <x:v>03 Network &amp; Connectivity</x:v>
      </x:c>
      <x:c r="B108" s="32" t="str">
        <x:v>Networking</x:v>
      </x:c>
      <x:c r="C108" s="32" t="str">
        <x:v>Hybrid &amp; Private Connectivity</x:v>
      </x:c>
      <x:c r="D108" s="32" t="str">
        <x:v>Workload</x:v>
      </x:c>
      <x:c r="E108" s="32" t="str">
        <x:v>Transit networking</x:v>
      </x:c>
      <x:c r="F108" s="32" t="str">
        <x:v>Cloud network transit hub</x:v>
      </x:c>
      <x:c r="G108" s="32" t="str">
        <x:v>Connect many virtual networks, branches and hybrid links through a central hub.</x:v>
      </x:c>
      <x:c r="H108" s="32" t="str">
        <x:v>Choose this capability when you need to connect many virtual networks, branches and hybrid links through a central hub.</x:v>
      </x:c>
      <x:c r="I108" s="32" t="str">
        <x:v>What bandwidth, latency, encryption, routing and resilience are required between environments?</x:v>
      </x:c>
      <x:c r="J108" s="32" t="str">
        <x:v>Global performance and resilience versus design complexity and egress cost.</x:v>
      </x:c>
      <x:c r="K108" s="32" t="n">
        <x:v>3</x:v>
      </x:c>
      <x:c r="L108" s="32" t="str">
        <x:v>Moderate</x:v>
      </x:c>
      <x:c r="M108" s="32" t="str">
        <x:v>1–3 weeks</x:v>
      </x:c>
      <x:c r="N108" s="32" t="str">
        <x:v>Medium</x:v>
      </x:c>
      <x:c r="O108" s="32" t="str">
        <x:v>AWS Transit Gateway
AWS Cloud WAN</x:v>
      </x:c>
      <x:c r="P108" s="32" t="str">
        <x:v>Azure Virtual WAN</x:v>
      </x:c>
      <x:c r="Q108" s="32" t="str">
        <x:v>Network Connectivity Center</x:v>
      </x:c>
      <x:c r="R108" s="32" t="n">
        <x:f>'Provider Ratings'!AD108</x:f>
        <x:v>3.75</x:v>
      </x:c>
      <x:c r="S108" s="32" t="n">
        <x:f>'Provider Ratings'!AE108</x:f>
        <x:v>4.12</x:v>
      </x:c>
      <x:c r="T108" s="32" t="n">
        <x:f>'Provider Ratings'!AF108</x:f>
        <x:v>3.82</x:v>
      </x:c>
      <x:c r="U108" s="32" t="str">
        <x:f>'Provider Ratings'!AG108</x:f>
        <x:v>Azure</x:v>
      </x:c>
      <x:c r="V108" s="32" t="str">
        <x:f>'Provider Ratings'!AH108</x:f>
        <x:v>Start with Azure when Microsoft identity, security, data, productivity or hybrid integration reduces delivery effort.</x:v>
      </x:c>
      <x:c r="W108" s="32" t="str">
        <x:v>Close</x:v>
      </x:c>
      <x:c r="X108" s="32"/>
      <x:c r="Y108" s="32" t="str">
        <x:v>2026-07-12</x:v>
      </x:c>
    </x:row>
    <x:row r="109">
      <x:c r="A109" s="32" t="str">
        <x:v>03 Network &amp; Connectivity</x:v>
      </x:c>
      <x:c r="B109" s="32" t="str">
        <x:v>Networking</x:v>
      </x:c>
      <x:c r="C109" s="32" t="str">
        <x:v>Service Networking &amp; Private Access</x:v>
      </x:c>
      <x:c r="D109" s="32" t="str">
        <x:v>Workload</x:v>
      </x:c>
      <x:c r="E109" s="32" t="str">
        <x:v>Private services</x:v>
      </x:c>
      <x:c r="F109" s="32" t="str">
        <x:v>Private service endpoint</x:v>
      </x:c>
      <x:c r="G109" s="32" t="str">
        <x:v>Access managed services privately without traversing the public internet.</x:v>
      </x:c>
      <x:c r="H109" s="32" t="str">
        <x:v>Choose this capability when you need to access managed services privately without traversing the public internet.</x:v>
      </x:c>
      <x:c r="I109" s="32" t="str">
        <x:v>What business outcome, scale, control, integration and operating model justify choosing private service endpoint?</x:v>
      </x:c>
      <x:c r="J109" s="32" t="str">
        <x:v>Global performance and resilience versus design complexity and egress cost.</x:v>
      </x:c>
      <x:c r="K109" s="32" t="n">
        <x:v>3</x:v>
      </x:c>
      <x:c r="L109" s="32" t="str">
        <x:v>Moderate</x:v>
      </x:c>
      <x:c r="M109" s="32" t="str">
        <x:v>1–3 weeks</x:v>
      </x:c>
      <x:c r="N109" s="32" t="str">
        <x:v>Medium</x:v>
      </x:c>
      <x:c r="O109" s="32" t="str">
        <x:v>AWS PrivateLink
VPC endpoints</x:v>
      </x:c>
      <x:c r="P109" s="32" t="str">
        <x:v>Azure Private Link
Private Endpoints</x:v>
      </x:c>
      <x:c r="Q109" s="32" t="str">
        <x:v>Private Service Connect</x:v>
      </x:c>
      <x:c r="R109" s="32" t="n">
        <x:f>'Provider Ratings'!AD109</x:f>
        <x:v>3.82</x:v>
      </x:c>
      <x:c r="S109" s="32" t="n">
        <x:f>'Provider Ratings'!AE109</x:f>
        <x:v>3.8</x:v>
      </x:c>
      <x:c r="T109" s="32" t="n">
        <x:f>'Provider Ratings'!AF109</x:f>
        <x:v>3.91</x:v>
      </x:c>
      <x:c r="U109" s="32" t="str">
        <x:f>'Provider Ratings'!AG109</x:f>
        <x:v>Context-dependent tie</x:v>
      </x:c>
      <x:c r="V109" s="32" t="str">
        <x:f>'Provider Ratings'!AH109</x:f>
        <x:v>Scores are close: use ecosystem, data gravity, region, skills, commercials and proof-of-value results to decide.</x:v>
      </x:c>
      <x:c r="W109" s="32" t="str">
        <x:v>Exact</x:v>
      </x:c>
      <x:c r="X109" s="32"/>
      <x:c r="Y109" s="32" t="str">
        <x:v>2026-07-12</x:v>
      </x:c>
    </x:row>
    <x:row r="110">
      <x:c r="A110" s="32" t="str">
        <x:v>03 Network &amp; Connectivity</x:v>
      </x:c>
      <x:c r="B110" s="32" t="str">
        <x:v>Networking</x:v>
      </x:c>
      <x:c r="C110" s="32" t="str">
        <x:v>Service Networking &amp; Private Access</x:v>
      </x:c>
      <x:c r="D110" s="32" t="str">
        <x:v>Workload</x:v>
      </x:c>
      <x:c r="E110" s="32" t="str">
        <x:v>Service networking</x:v>
      </x:c>
      <x:c r="F110" s="32" t="str">
        <x:v>Service mesh</x:v>
      </x:c>
      <x:c r="G110" s="32" t="str">
        <x:v>Manage service-to-service traffic, identity, observability and policy for microservices.</x:v>
      </x:c>
      <x:c r="H110" s="32" t="str">
        <x:v>Choose this capability when you need to manage service-to-service traffic, identity, observability and policy for microservices.</x:v>
      </x:c>
      <x:c r="I110" s="32" t="str">
        <x:v>What business outcome, scale, control, integration and operating model justify choosing service mesh?</x:v>
      </x:c>
      <x:c r="J110" s="32" t="str">
        <x:v>Global performance and resilience versus design complexity and egress cost.</x:v>
      </x:c>
      <x:c r="K110" s="32" t="n">
        <x:v>3</x:v>
      </x:c>
      <x:c r="L110" s="32" t="str">
        <x:v>Moderate</x:v>
      </x:c>
      <x:c r="M110" s="32" t="str">
        <x:v>1–3 weeks</x:v>
      </x:c>
      <x:c r="N110" s="32" t="str">
        <x:v>Medium</x:v>
      </x:c>
      <x:c r="O110" s="32" t="str">
        <x:v>AWS App Mesh
Amazon VPC Lattice</x:v>
      </x:c>
      <x:c r="P110" s="32" t="str">
        <x:v>Azure Service Mesh / Istio add-on for AKS</x:v>
      </x:c>
      <x:c r="Q110" s="32" t="str">
        <x:v>Cloud Service Mesh</x:v>
      </x:c>
      <x:c r="R110" s="32" t="n">
        <x:f>'Provider Ratings'!AD110</x:f>
        <x:v>3.77</x:v>
      </x:c>
      <x:c r="S110" s="32" t="n">
        <x:f>'Provider Ratings'!AE110</x:f>
        <x:v>3.75</x:v>
      </x:c>
      <x:c r="T110" s="32" t="n">
        <x:f>'Provider Ratings'!AF110</x:f>
        <x:v>3.84</x:v>
      </x:c>
      <x:c r="U110" s="32" t="str">
        <x:f>'Provider Ratings'!AG110</x:f>
        <x:v>Context-dependent tie</x:v>
      </x:c>
      <x:c r="V110" s="32" t="str">
        <x:f>'Provider Ratings'!AH110</x:f>
        <x:v>Scores are close: use ecosystem, data gravity, region, skills, commercials and proof-of-value results to decide.</x:v>
      </x:c>
      <x:c r="W110" s="32" t="str">
        <x:v>Close</x:v>
      </x:c>
      <x:c r="X110" s="32"/>
      <x:c r="Y110" s="32" t="str">
        <x:v>2026-07-12</x:v>
      </x:c>
    </x:row>
    <x:row r="111">
      <x:c r="A111" s="32" t="str">
        <x:v>03 Network &amp; Connectivity</x:v>
      </x:c>
      <x:c r="B111" s="32" t="str">
        <x:v>Networking</x:v>
      </x:c>
      <x:c r="C111" s="32" t="str">
        <x:v>Service Networking &amp; Private Access</x:v>
      </x:c>
      <x:c r="D111" s="32" t="str">
        <x:v>Workload</x:v>
      </x:c>
      <x:c r="E111" s="32" t="str">
        <x:v>Service discovery</x:v>
      </x:c>
      <x:c r="F111" s="32" t="str">
        <x:v>Service discovery</x:v>
      </x:c>
      <x:c r="G111" s="32" t="str">
        <x:v>Register and discover services by logical name and health.</x:v>
      </x:c>
      <x:c r="H111" s="32" t="str">
        <x:v>Choose this capability when you need to register and discover services by logical name and health.</x:v>
      </x:c>
      <x:c r="I111" s="32" t="str">
        <x:v>What business outcome, scale, control, integration and operating model justify choosing service discovery?</x:v>
      </x:c>
      <x:c r="J111" s="32" t="str">
        <x:v>Global performance and resilience versus design complexity and egress cost.</x:v>
      </x:c>
      <x:c r="K111" s="32" t="n">
        <x:v>3</x:v>
      </x:c>
      <x:c r="L111" s="32" t="str">
        <x:v>Moderate</x:v>
      </x:c>
      <x:c r="M111" s="32" t="str">
        <x:v>1–3 weeks</x:v>
      </x:c>
      <x:c r="N111" s="32" t="str">
        <x:v>Medium</x:v>
      </x:c>
      <x:c r="O111" s="32" t="str">
        <x:v>AWS Cloud Map</x:v>
      </x:c>
      <x:c r="P111" s="32" t="str">
        <x:v>Azure Private DNS
Azure Service Fabric naming</x:v>
      </x:c>
      <x:c r="Q111" s="32" t="str">
        <x:v>Service Directory</x:v>
      </x:c>
      <x:c r="R111" s="32" t="n">
        <x:f>'Provider Ratings'!AD111</x:f>
        <x:v>3.87</x:v>
      </x:c>
      <x:c r="S111" s="32" t="n">
        <x:f>'Provider Ratings'!AE111</x:f>
        <x:v>3.75</x:v>
      </x:c>
      <x:c r="T111" s="32" t="n">
        <x:f>'Provider Ratings'!AF111</x:f>
        <x:v>3.84</x:v>
      </x:c>
      <x:c r="U111" s="32" t="str">
        <x:f>'Provider Ratings'!AG111</x:f>
        <x:v>Context-dependent tie</x:v>
      </x:c>
      <x:c r="V111" s="32" t="str">
        <x:f>'Provider Ratings'!AH111</x:f>
        <x:v>Scores are close: use ecosystem, data gravity, region, skills, commercials and proof-of-value results to decide.</x:v>
      </x:c>
      <x:c r="W111" s="32" t="str">
        <x:v>Close</x:v>
      </x:c>
      <x:c r="X111" s="32"/>
      <x:c r="Y111" s="32" t="str">
        <x:v>2026-07-12</x:v>
      </x:c>
    </x:row>
    <x:row r="112">
      <x:c r="A112" s="32" t="str">
        <x:v>03 Network &amp; Connectivity</x:v>
      </x:c>
      <x:c r="B112" s="32" t="str">
        <x:v>Networking</x:v>
      </x:c>
      <x:c r="C112" s="32" t="str">
        <x:v>Service Networking &amp; Private Access</x:v>
      </x:c>
      <x:c r="D112" s="32" t="str">
        <x:v>Workload</x:v>
      </x:c>
      <x:c r="E112" s="32" t="str">
        <x:v>API networking</x:v>
      </x:c>
      <x:c r="F112" s="32" t="str">
        <x:v>API gateway</x:v>
      </x:c>
      <x:c r="G112" s="32" t="str">
        <x:v>Publish, secure, throttle, transform and monitor APIs.</x:v>
      </x:c>
      <x:c r="H112" s="32" t="str">
        <x:v>Choose this capability when you need to publish, secure, throttle, transform and monitor apis.</x:v>
      </x:c>
      <x:c r="I112" s="32" t="str">
        <x:v>What business outcome, scale, control, integration and operating model justify choosing api gateway?</x:v>
      </x:c>
      <x:c r="J112" s="32" t="str">
        <x:v>Global performance and resilience versus design complexity and egress cost.</x:v>
      </x:c>
      <x:c r="K112" s="32" t="n">
        <x:v>3</x:v>
      </x:c>
      <x:c r="L112" s="32" t="str">
        <x:v>Moderate</x:v>
      </x:c>
      <x:c r="M112" s="32" t="str">
        <x:v>1–3 weeks</x:v>
      </x:c>
      <x:c r="N112" s="32" t="str">
        <x:v>Medium</x:v>
      </x:c>
      <x:c r="O112" s="32" t="str">
        <x:v>Amazon API Gateway</x:v>
      </x:c>
      <x:c r="P112" s="32" t="str">
        <x:v>Azure API Management</x:v>
      </x:c>
      <x:c r="Q112" s="32" t="str">
        <x:v>API Gateway
Apigee</x:v>
      </x:c>
      <x:c r="R112" s="32" t="n">
        <x:f>'Provider Ratings'!AD112</x:f>
        <x:v>3.87</x:v>
      </x:c>
      <x:c r="S112" s="32" t="n">
        <x:f>'Provider Ratings'!AE112</x:f>
        <x:v>3.84</x:v>
      </x:c>
      <x:c r="T112" s="32" t="n">
        <x:f>'Provider Ratings'!AF112</x:f>
        <x:v>3.74</x:v>
      </x:c>
      <x:c r="U112" s="32" t="str">
        <x:f>'Provider Ratings'!AG112</x:f>
        <x:v>Context-dependent tie</x:v>
      </x:c>
      <x:c r="V112" s="32" t="str">
        <x:f>'Provider Ratings'!AH112</x:f>
        <x:v>Scores are close: use ecosystem, data gravity, region, skills, commercials and proof-of-value results to decide.</x:v>
      </x:c>
      <x:c r="W112" s="32" t="str">
        <x:v>Close</x:v>
      </x:c>
      <x:c r="X112" s="32"/>
      <x:c r="Y112" s="32" t="str">
        <x:v>2026-07-12</x:v>
      </x:c>
    </x:row>
    <x:row r="113">
      <x:c r="A113" s="32" t="str">
        <x:v>03 Network &amp; Connectivity</x:v>
      </x:c>
      <x:c r="B113" s="32" t="str">
        <x:v>Networking</x:v>
      </x:c>
      <x:c r="C113" s="32" t="str">
        <x:v>Network Operations</x:v>
      </x:c>
      <x:c r="D113" s="32" t="str">
        <x:v>Workload</x:v>
      </x:c>
      <x:c r="E113" s="32" t="str">
        <x:v>Network management</x:v>
      </x:c>
      <x:c r="F113" s="32" t="str">
        <x:v>Central network management</x:v>
      </x:c>
      <x:c r="G113" s="32" t="str">
        <x:v>Centrally configure and govern virtual networks, connectivity and routing.</x:v>
      </x:c>
      <x:c r="H113" s="32" t="str">
        <x:v>Choose this capability when you need to centrally configure and govern virtual networks, connectivity and routing.</x:v>
      </x:c>
      <x:c r="I113" s="32" t="str">
        <x:v>What business outcome, scale, control, integration and operating model justify choosing central network management?</x:v>
      </x:c>
      <x:c r="J113" s="32" t="str">
        <x:v>Global performance and resilience versus design complexity and egress cost.</x:v>
      </x:c>
      <x:c r="K113" s="32" t="n">
        <x:v>3</x:v>
      </x:c>
      <x:c r="L113" s="32" t="str">
        <x:v>Moderate</x:v>
      </x:c>
      <x:c r="M113" s="32" t="str">
        <x:v>1–3 weeks</x:v>
      </x:c>
      <x:c r="N113" s="32" t="str">
        <x:v>Medium</x:v>
      </x:c>
      <x:c r="O113" s="32" t="str">
        <x:v>AWS Network Manager
AWS Cloud WAN</x:v>
      </x:c>
      <x:c r="P113" s="32" t="str">
        <x:v>Azure Virtual Network Manager</x:v>
      </x:c>
      <x:c r="Q113" s="32" t="str">
        <x:v>Network Connectivity Center</x:v>
      </x:c>
      <x:c r="R113" s="32" t="n">
        <x:f>'Provider Ratings'!AD113</x:f>
        <x:v>3.77</x:v>
      </x:c>
      <x:c r="S113" s="32" t="n">
        <x:f>'Provider Ratings'!AE113</x:f>
        <x:v>3.84</x:v>
      </x:c>
      <x:c r="T113" s="32" t="n">
        <x:f>'Provider Ratings'!AF113</x:f>
        <x:v>3.91</x:v>
      </x:c>
      <x:c r="U113" s="32" t="str">
        <x:f>'Provider Ratings'!AG113</x:f>
        <x:v>Context-dependent tie</x:v>
      </x:c>
      <x:c r="V113" s="32" t="str">
        <x:f>'Provider Ratings'!AH113</x:f>
        <x:v>Scores are close: use ecosystem, data gravity, region, skills, commercials and proof-of-value results to decide.</x:v>
      </x:c>
      <x:c r="W113" s="32" t="str">
        <x:v>Close</x:v>
      </x:c>
      <x:c r="X113" s="32"/>
      <x:c r="Y113" s="32" t="str">
        <x:v>2026-07-12</x:v>
      </x:c>
    </x:row>
    <x:row r="114">
      <x:c r="A114" s="32" t="str">
        <x:v>03 Network &amp; Connectivity</x:v>
      </x:c>
      <x:c r="B114" s="32" t="str">
        <x:v>Networking</x:v>
      </x:c>
      <x:c r="C114" s="32" t="str">
        <x:v>Network Operations</x:v>
      </x:c>
      <x:c r="D114" s="32" t="str">
        <x:v>Workload</x:v>
      </x:c>
      <x:c r="E114" s="32" t="str">
        <x:v>Network visibility</x:v>
      </x:c>
      <x:c r="F114" s="32" t="str">
        <x:v>Network monitoring and diagnostics</x:v>
      </x:c>
      <x:c r="G114" s="32" t="str">
        <x:v>Analyse topology, flows, connectivity, latency and network health.</x:v>
      </x:c>
      <x:c r="H114" s="32" t="str">
        <x:v>Choose this capability when you need to analyse topology, flows, connectivity, latency and network health.</x:v>
      </x:c>
      <x:c r="I114" s="32" t="str">
        <x:v>What business outcome, scale, control, integration and operating model justify choosing network monitoring and diagnostics?</x:v>
      </x:c>
      <x:c r="J114" s="32" t="str">
        <x:v>Global performance and resilience versus design complexity and egress cost.</x:v>
      </x:c>
      <x:c r="K114" s="32" t="n">
        <x:v>3</x:v>
      </x:c>
      <x:c r="L114" s="32" t="str">
        <x:v>Moderate</x:v>
      </x:c>
      <x:c r="M114" s="32" t="str">
        <x:v>1–3 weeks</x:v>
      </x:c>
      <x:c r="N114" s="32" t="str">
        <x:v>Medium</x:v>
      </x:c>
      <x:c r="O114" s="32" t="str">
        <x:v>VPC Flow Logs
Reachability Analyzer
Network Access Analyzer</x:v>
      </x:c>
      <x:c r="P114" s="32" t="str">
        <x:v>Azure Network Watcher</x:v>
      </x:c>
      <x:c r="Q114" s="32" t="str">
        <x:v>Network Intelligence Center
VPC Flow Logs</x:v>
      </x:c>
      <x:c r="R114" s="32" t="n">
        <x:f>'Provider Ratings'!AD114</x:f>
        <x:v>3.77</x:v>
      </x:c>
      <x:c r="S114" s="32" t="n">
        <x:f>'Provider Ratings'!AE114</x:f>
        <x:v>3.89</x:v>
      </x:c>
      <x:c r="T114" s="32" t="n">
        <x:f>'Provider Ratings'!AF114</x:f>
        <x:v>3.82</x:v>
      </x:c>
      <x:c r="U114" s="32" t="str">
        <x:f>'Provider Ratings'!AG114</x:f>
        <x:v>Context-dependent tie</x:v>
      </x:c>
      <x:c r="V114" s="32" t="str">
        <x:f>'Provider Ratings'!AH114</x:f>
        <x:v>Scores are close: use ecosystem, data gravity, region, skills, commercials and proof-of-value results to decide.</x:v>
      </x:c>
      <x:c r="W114" s="32" t="str">
        <x:v>Close</x:v>
      </x:c>
      <x:c r="X114" s="32"/>
      <x:c r="Y114" s="32" t="str">
        <x:v>2026-07-12</x:v>
      </x:c>
    </x:row>
    <x:row r="115">
      <x:c r="A115" s="32" t="str">
        <x:v>03 Network &amp; Connectivity</x:v>
      </x:c>
      <x:c r="B115" s="32" t="str">
        <x:v>Networking</x:v>
      </x:c>
      <x:c r="C115" s="32" t="str">
        <x:v>DNS &amp; Naming</x:v>
      </x:c>
      <x:c r="D115" s="32" t="str">
        <x:v>Component</x:v>
      </x:c>
      <x:c r="E115" s="32" t="str">
        <x:v>Traffic management</x:v>
      </x:c>
      <x:c r="F115" s="32" t="str">
        <x:v>DNS-based traffic management</x:v>
      </x:c>
      <x:c r="G115" s="32" t="str">
        <x:v>Route traffic across endpoints using health, latency, geography or weighted policies.</x:v>
      </x:c>
      <x:c r="H115" s="32" t="str">
        <x:v>Choose this capability when you need to route traffic across endpoints using health, latency, geography or weighted policies.</x:v>
      </x:c>
      <x:c r="I115" s="32" t="str">
        <x:v>What business outcome, scale, control, integration and operating model justify choosing dns-based traffic management?</x:v>
      </x:c>
      <x:c r="J115" s="32" t="str">
        <x:v>Global performance and resilience versus design complexity and egress cost.</x:v>
      </x:c>
      <x:c r="K115" s="32" t="n">
        <x:v>5</x:v>
      </x:c>
      <x:c r="L115" s="32" t="str">
        <x:v>Very easy</x:v>
      </x:c>
      <x:c r="M115" s="32" t="str">
        <x:v>Hours</x:v>
      </x:c>
      <x:c r="N115" s="32" t="str">
        <x:v>Medium</x:v>
      </x:c>
      <x:c r="O115" s="32" t="str">
        <x:v>Amazon Route 53 routing policies</x:v>
      </x:c>
      <x:c r="P115" s="32" t="str">
        <x:v>Azure Traffic Manager</x:v>
      </x:c>
      <x:c r="Q115" s="32" t="str">
        <x:v>Cloud DNS routing policies</x:v>
      </x:c>
      <x:c r="R115" s="32" t="n">
        <x:f>'Provider Ratings'!AD115</x:f>
        <x:v>4.23</x:v>
      </x:c>
      <x:c r="S115" s="32" t="n">
        <x:f>'Provider Ratings'!AE115</x:f>
        <x:v>4.26</x:v>
      </x:c>
      <x:c r="T115" s="32" t="n">
        <x:f>'Provider Ratings'!AF115</x:f>
        <x:v>4.3</x:v>
      </x:c>
      <x:c r="U115" s="32" t="str">
        <x:f>'Provider Ratings'!AG115</x:f>
        <x:v>Context-dependent tie</x:v>
      </x:c>
      <x:c r="V115" s="32" t="str">
        <x:f>'Provider Ratings'!AH115</x:f>
        <x:v>Scores are close: use ecosystem, data gravity, region, skills, commercials and proof-of-value results to decide.</x:v>
      </x:c>
      <x:c r="W115" s="32" t="str">
        <x:v>Close</x:v>
      </x:c>
      <x:c r="X115" s="32"/>
      <x:c r="Y115" s="32" t="str">
        <x:v>2026-07-12</x:v>
      </x:c>
    </x:row>
    <x:row r="116">
      <x:c r="A116" s="32" t="str">
        <x:v>03 Network &amp; Connectivity</x:v>
      </x:c>
      <x:c r="B116" s="32" t="str">
        <x:v>Networking</x:v>
      </x:c>
      <x:c r="C116" s="32" t="str">
        <x:v>Service Networking &amp; Private Access</x:v>
      </x:c>
      <x:c r="D116" s="32" t="str">
        <x:v>Workload</x:v>
      </x:c>
      <x:c r="E116" s="32" t="str">
        <x:v>Zero trust access</x:v>
      </x:c>
      <x:c r="F116" s="32" t="str">
        <x:v>Identity-aware application access</x:v>
      </x:c>
      <x:c r="G116" s="32" t="str">
        <x:v>Provide identity-based access to private applications without broad network access.</x:v>
      </x:c>
      <x:c r="H116" s="32" t="str">
        <x:v>Choose this capability when you need to provide identity-based access to private applications without broad network access.</x:v>
      </x:c>
      <x:c r="I116" s="32" t="str">
        <x:v>What business outcome, scale, control, integration and operating model justify choosing identity-aware application access?</x:v>
      </x:c>
      <x:c r="J116" s="32" t="str">
        <x:v>Global performance and resilience versus design complexity and egress cost.</x:v>
      </x:c>
      <x:c r="K116" s="32" t="n">
        <x:v>3</x:v>
      </x:c>
      <x:c r="L116" s="32" t="str">
        <x:v>Moderate</x:v>
      </x:c>
      <x:c r="M116" s="32" t="str">
        <x:v>1–3 weeks</x:v>
      </x:c>
      <x:c r="N116" s="32" t="str">
        <x:v>Medium</x:v>
      </x:c>
      <x:c r="O116" s="32" t="str">
        <x:v>AWS Verified Access</x:v>
      </x:c>
      <x:c r="P116" s="32" t="str">
        <x:v>Microsoft Entra Private Access
Azure Application Proxy</x:v>
      </x:c>
      <x:c r="Q116" s="32" t="str">
        <x:v>Identity-Aware Proxy</x:v>
      </x:c>
      <x:c r="R116" s="32" t="n">
        <x:f>'Provider Ratings'!AD116</x:f>
        <x:v>3.87</x:v>
      </x:c>
      <x:c r="S116" s="32" t="n">
        <x:f>'Provider Ratings'!AE116</x:f>
        <x:v>3.9</x:v>
      </x:c>
      <x:c r="T116" s="32" t="n">
        <x:f>'Provider Ratings'!AF116</x:f>
        <x:v>3.84</x:v>
      </x:c>
      <x:c r="U116" s="32" t="str">
        <x:f>'Provider Ratings'!AG116</x:f>
        <x:v>Context-dependent tie</x:v>
      </x:c>
      <x:c r="V116" s="32" t="str">
        <x:f>'Provider Ratings'!AH116</x:f>
        <x:v>Scores are close: use ecosystem, data gravity, region, skills, commercials and proof-of-value results to decide.</x:v>
      </x:c>
      <x:c r="W116" s="32" t="str">
        <x:v>Close</x:v>
      </x:c>
      <x:c r="X116" s="32"/>
      <x:c r="Y116" s="32" t="str">
        <x:v>2026-07-12</x:v>
      </x:c>
    </x:row>
    <x:row r="117">
      <x:c r="A117" s="32" t="str">
        <x:v>03 Network &amp; Connectivity</x:v>
      </x:c>
      <x:c r="B117" s="32" t="str">
        <x:v>Networking</x:v>
      </x:c>
      <x:c r="C117" s="32" t="str">
        <x:v>Virtual Networks &amp; Segmentation</x:v>
      </x:c>
      <x:c r="D117" s="32" t="str">
        <x:v>Workload</x:v>
      </x:c>
      <x:c r="E117" s="32" t="str">
        <x:v>Private wireless</x:v>
      </x:c>
      <x:c r="F117" s="32" t="str">
        <x:v>Private 5G and edge networking</x:v>
      </x:c>
      <x:c r="G117" s="32" t="str">
        <x:v>Deploy private cellular connectivity integrated with cloud management.</x:v>
      </x:c>
      <x:c r="H117" s="32" t="str">
        <x:v>Choose this capability when you need to deploy private cellular connectivity integrated with cloud management.</x:v>
      </x:c>
      <x:c r="I117" s="32" t="str">
        <x:v>What business outcome, scale, control, integration and operating model justify choosing private 5g and edge networking?</x:v>
      </x:c>
      <x:c r="J117" s="32" t="str">
        <x:v>Global performance and resilience versus design complexity and egress cost.</x:v>
      </x:c>
      <x:c r="K117" s="32" t="n">
        <x:v>2</x:v>
      </x:c>
      <x:c r="L117" s="32" t="str">
        <x:v>Advanced</x:v>
      </x:c>
      <x:c r="M117" s="32" t="str">
        <x:v>3–8 weeks</x:v>
      </x:c>
      <x:c r="N117" s="32" t="str">
        <x:v>Medium</x:v>
      </x:c>
      <x:c r="O117" s="32" t="str">
        <x:v>AWS Private 5G
Integrated Private Wireless on AWS</x:v>
      </x:c>
      <x:c r="P117" s="32" t="str">
        <x:v>Azure Private 5G Core</x:v>
      </x:c>
      <x:c r="Q117" s="32" t="str">
        <x:v>Google Distributed Cloud Edge telecom solutions</x:v>
      </x:c>
      <x:c r="R117" s="32" t="n">
        <x:f>'Provider Ratings'!AD117</x:f>
        <x:v>3.39</x:v>
      </x:c>
      <x:c r="S117" s="32" t="n">
        <x:f>'Provider Ratings'!AE117</x:f>
        <x:v>3.45</x:v>
      </x:c>
      <x:c r="T117" s="32" t="n">
        <x:f>'Provider Ratings'!AF117</x:f>
        <x:v>3.46</x:v>
      </x:c>
      <x:c r="U117" s="32" t="str">
        <x:f>'Provider Ratings'!AG117</x:f>
        <x:v>Context-dependent tie</x:v>
      </x:c>
      <x:c r="V117" s="32" t="str">
        <x:f>'Provider Ratings'!AH117</x:f>
        <x:v>Scores are close: use ecosystem, data gravity, region, skills, commercials and proof-of-value results to decide.</x:v>
      </x:c>
      <x:c r="W117" s="32" t="str">
        <x:v>Partial</x:v>
      </x:c>
      <x:c r="X117" s="32"/>
      <x:c r="Y117" s="32" t="str">
        <x:v>2026-07-12</x:v>
      </x:c>
    </x:row>
    <x:row r="118">
      <x:c r="A118" s="32" t="str">
        <x:v>02 Security, Identity &amp; Compliance</x:v>
      </x:c>
      <x:c r="B118" s="32" t="str">
        <x:v>Security, Identity &amp; Compliance</x:v>
      </x:c>
      <x:c r="C118" s="32" t="str">
        <x:v>Identity &amp; Access</x:v>
      </x:c>
      <x:c r="D118" s="32" t="str">
        <x:v>Foundation</x:v>
      </x:c>
      <x:c r="E118" s="32" t="str">
        <x:v>Workforce identity</x:v>
      </x:c>
      <x:c r="F118" s="32" t="str">
        <x:v>Identity and access management</x:v>
      </x:c>
      <x:c r="G118" s="32" t="str">
        <x:v>Authenticate identities and authorise access to cloud resources.</x:v>
      </x:c>
      <x:c r="H118" s="32" t="str">
        <x:v>Choose this capability when you need to authenticate identities and authorise access to cloud resources.</x:v>
      </x:c>
      <x:c r="I118" s="32" t="str">
        <x:v>Who or what needs access, at which scope, under which identity lifecycle and least-privilege controls?</x:v>
      </x:c>
      <x:c r="J118" s="32" t="str">
        <x:v>Centralised control and deep integration versus cross-cloud consistency and tool consolidation.</x:v>
      </x:c>
      <x:c r="K118" s="32" t="n">
        <x:v>3</x:v>
      </x:c>
      <x:c r="L118" s="32" t="str">
        <x:v>Moderate</x:v>
      </x:c>
      <x:c r="M118" s="32" t="str">
        <x:v>1–3 weeks</x:v>
      </x:c>
      <x:c r="N118" s="32" t="str">
        <x:v>Medium</x:v>
      </x:c>
      <x:c r="O118" s="32" t="str">
        <x:v>AWS Identity and Access Management</x:v>
      </x:c>
      <x:c r="P118" s="32" t="str">
        <x:v>Microsoft Entra ID
Azure RBAC</x:v>
      </x:c>
      <x:c r="Q118" s="32" t="str">
        <x:v>Cloud Identity
Identity and Access Management</x:v>
      </x:c>
      <x:c r="R118" s="32" t="n">
        <x:f>'Provider Ratings'!AD118</x:f>
        <x:v>3.82</x:v>
      </x:c>
      <x:c r="S118" s="32" t="n">
        <x:f>'Provider Ratings'!AE118</x:f>
        <x:v>4</x:v>
      </x:c>
      <x:c r="T118" s="32" t="n">
        <x:f>'Provider Ratings'!AF118</x:f>
        <x:v>3.72</x:v>
      </x:c>
      <x:c r="U118" s="32" t="str">
        <x:f>'Provider Ratings'!AG118</x:f>
        <x:v>Azure</x:v>
      </x:c>
      <x:c r="V118" s="32" t="str">
        <x:f>'Provider Ratings'!AH118</x:f>
        <x:v>Start with Azure when Microsoft identity, security, data, productivity or hybrid integration reduces delivery effort.</x:v>
      </x:c>
      <x:c r="W118" s="32" t="str">
        <x:v>Close</x:v>
      </x:c>
      <x:c r="X118" s="32"/>
      <x:c r="Y118" s="32" t="str">
        <x:v>2026-07-12</x:v>
      </x:c>
    </x:row>
    <x:row r="119">
      <x:c r="A119" s="32" t="str">
        <x:v>02 Security, Identity &amp; Compliance</x:v>
      </x:c>
      <x:c r="B119" s="32" t="str">
        <x:v>Security, Identity &amp; Compliance</x:v>
      </x:c>
      <x:c r="C119" s="32" t="str">
        <x:v>Identity &amp; Access</x:v>
      </x:c>
      <x:c r="D119" s="32" t="str">
        <x:v>Platform</x:v>
      </x:c>
      <x:c r="E119" s="32" t="str">
        <x:v>Customer identity</x:v>
      </x:c>
      <x:c r="F119" s="32" t="str">
        <x:v>Customer identity platform</x:v>
      </x:c>
      <x:c r="G119" s="32" t="str">
        <x:v>Add sign-up, sign-in, federation and access controls to customer-facing applications.</x:v>
      </x:c>
      <x:c r="H119" s="32" t="str">
        <x:v>Choose this capability when you need to add sign-up, sign-in, federation and access controls to customer-facing applications.</x:v>
      </x:c>
      <x:c r="I119" s="32" t="str">
        <x:v>Who or what needs access, at which scope, under which identity lifecycle and least-privilege controls?</x:v>
      </x:c>
      <x:c r="J119" s="32" t="str">
        <x:v>Centralised control and deep integration versus cross-cloud consistency and tool consolidation.</x:v>
      </x:c>
      <x:c r="K119" s="32" t="n">
        <x:v>3</x:v>
      </x:c>
      <x:c r="L119" s="32" t="str">
        <x:v>Moderate</x:v>
      </x:c>
      <x:c r="M119" s="32" t="str">
        <x:v>1–3 weeks</x:v>
      </x:c>
      <x:c r="N119" s="32" t="str">
        <x:v>Medium</x:v>
      </x:c>
      <x:c r="O119" s="32" t="str">
        <x:v>Amazon Cognito</x:v>
      </x:c>
      <x:c r="P119" s="32" t="str">
        <x:v>Microsoft Entra External ID</x:v>
      </x:c>
      <x:c r="Q119" s="32" t="str">
        <x:v>Identity Platform</x:v>
      </x:c>
      <x:c r="R119" s="32" t="n">
        <x:f>'Provider Ratings'!AD119</x:f>
        <x:v>3.89</x:v>
      </x:c>
      <x:c r="S119" s="32" t="n">
        <x:f>'Provider Ratings'!AE119</x:f>
        <x:v>4.17</x:v>
      </x:c>
      <x:c r="T119" s="32" t="n">
        <x:f>'Provider Ratings'!AF119</x:f>
        <x:v>3.87</x:v>
      </x:c>
      <x:c r="U119" s="32" t="str">
        <x:f>'Provider Ratings'!AG119</x:f>
        <x:v>Azure</x:v>
      </x:c>
      <x:c r="V119" s="32" t="str">
        <x:f>'Provider Ratings'!AH119</x:f>
        <x:v>Start with Azure when Microsoft identity, security, data, productivity or hybrid integration reduces delivery effort.</x:v>
      </x:c>
      <x:c r="W119" s="32" t="str">
        <x:v>Exact</x:v>
      </x:c>
      <x:c r="X119" s="32"/>
      <x:c r="Y119" s="32" t="str">
        <x:v>2026-07-12</x:v>
      </x:c>
    </x:row>
    <x:row r="120">
      <x:c r="A120" s="32" t="str">
        <x:v>02 Security, Identity &amp; Compliance</x:v>
      </x:c>
      <x:c r="B120" s="32" t="str">
        <x:v>Security, Identity &amp; Compliance</x:v>
      </x:c>
      <x:c r="C120" s="32" t="str">
        <x:v>Identity &amp; Access</x:v>
      </x:c>
      <x:c r="D120" s="32" t="str">
        <x:v>Workload</x:v>
      </x:c>
      <x:c r="E120" s="32" t="str">
        <x:v>Directory</x:v>
      </x:c>
      <x:c r="F120" s="32" t="str">
        <x:v>Managed directory service</x:v>
      </x:c>
      <x:c r="G120" s="32" t="str">
        <x:v>Provide managed directory and domain services for enterprise workloads.</x:v>
      </x:c>
      <x:c r="H120" s="32" t="str">
        <x:v>Choose this capability when you need to provide managed directory and domain services for enterprise workloads.</x:v>
      </x:c>
      <x:c r="I120" s="32" t="str">
        <x:v>Who or what needs access, at which scope, under which identity lifecycle and least-privilege controls?</x:v>
      </x:c>
      <x:c r="J120" s="32" t="str">
        <x:v>Centralised control and deep integration versus cross-cloud consistency and tool consolidation.</x:v>
      </x:c>
      <x:c r="K120" s="32" t="n">
        <x:v>3</x:v>
      </x:c>
      <x:c r="L120" s="32" t="str">
        <x:v>Moderate</x:v>
      </x:c>
      <x:c r="M120" s="32" t="str">
        <x:v>1–3 weeks</x:v>
      </x:c>
      <x:c r="N120" s="32" t="str">
        <x:v>Medium</x:v>
      </x:c>
      <x:c r="O120" s="32" t="str">
        <x:v>AWS Directory Service</x:v>
      </x:c>
      <x:c r="P120" s="32" t="str">
        <x:v>Microsoft Entra Domain Services</x:v>
      </x:c>
      <x:c r="Q120" s="32" t="str">
        <x:v>Managed Microsoft AD</x:v>
      </x:c>
      <x:c r="R120" s="32" t="n">
        <x:f>'Provider Ratings'!AD120</x:f>
        <x:v>3.89</x:v>
      </x:c>
      <x:c r="S120" s="32" t="n">
        <x:f>'Provider Ratings'!AE120</x:f>
        <x:v>4.17</x:v>
      </x:c>
      <x:c r="T120" s="32" t="n">
        <x:f>'Provider Ratings'!AF120</x:f>
        <x:v>3.87</x:v>
      </x:c>
      <x:c r="U120" s="32" t="str">
        <x:f>'Provider Ratings'!AG120</x:f>
        <x:v>Azure</x:v>
      </x:c>
      <x:c r="V120" s="32" t="str">
        <x:f>'Provider Ratings'!AH120</x:f>
        <x:v>Start with Azure when Microsoft identity, security, data, productivity or hybrid integration reduces delivery effort.</x:v>
      </x:c>
      <x:c r="W120" s="32" t="str">
        <x:v>Exact</x:v>
      </x:c>
      <x:c r="X120" s="32"/>
      <x:c r="Y120" s="32" t="str">
        <x:v>2026-07-12</x:v>
      </x:c>
    </x:row>
    <x:row r="121">
      <x:c r="A121" s="32" t="str">
        <x:v>02 Security, Identity &amp; Compliance</x:v>
      </x:c>
      <x:c r="B121" s="32" t="str">
        <x:v>Security, Identity &amp; Compliance</x:v>
      </x:c>
      <x:c r="C121" s="32" t="str">
        <x:v>Identity &amp; Access</x:v>
      </x:c>
      <x:c r="D121" s="32" t="str">
        <x:v>Workload</x:v>
      </x:c>
      <x:c r="E121" s="32" t="str">
        <x:v>Authorisation</x:v>
      </x:c>
      <x:c r="F121" s="32" t="str">
        <x:v>Fine-grained application authorisation</x:v>
      </x:c>
      <x:c r="G121" s="32" t="str">
        <x:v>Externalise and evaluate fine-grained application permissions and policies.</x:v>
      </x:c>
      <x:c r="H121" s="32" t="str">
        <x:v>Choose this capability when you need to externalise and evaluate fine-grained application permissions and policies.</x:v>
      </x:c>
      <x:c r="I121" s="32" t="str">
        <x:v>Who or what needs access, at which scope, under which identity lifecycle and least-privilege controls?</x:v>
      </x:c>
      <x:c r="J121" s="32" t="str">
        <x:v>Centralised control and deep integration versus cross-cloud consistency and tool consolidation.</x:v>
      </x:c>
      <x:c r="K121" s="32" t="n">
        <x:v>3</x:v>
      </x:c>
      <x:c r="L121" s="32" t="str">
        <x:v>Moderate</x:v>
      </x:c>
      <x:c r="M121" s="32" t="str">
        <x:v>1–3 weeks</x:v>
      </x:c>
      <x:c r="N121" s="32" t="str">
        <x:v>Medium</x:v>
      </x:c>
      <x:c r="O121" s="32" t="str">
        <x:v>Amazon Verified Permissions</x:v>
      </x:c>
      <x:c r="P121" s="32" t="str">
        <x:v>Microsoft Entra ID Governance
Azure App Configuration / custom policy engines</x:v>
      </x:c>
      <x:c r="Q121" s="32" t="str">
        <x:v>IAM Conditions
Policy Intelligence</x:v>
      </x:c>
      <x:c r="R121" s="32" t="n">
        <x:f>'Provider Ratings'!AD121</x:f>
        <x:v>3.64</x:v>
      </x:c>
      <x:c r="S121" s="32" t="n">
        <x:f>'Provider Ratings'!AE121</x:f>
        <x:v>3.83</x:v>
      </x:c>
      <x:c r="T121" s="32" t="n">
        <x:f>'Provider Ratings'!AF121</x:f>
        <x:v>3.57</x:v>
      </x:c>
      <x:c r="U121" s="32" t="str">
        <x:f>'Provider Ratings'!AG121</x:f>
        <x:v>Azure</x:v>
      </x:c>
      <x:c r="V121" s="32" t="str">
        <x:f>'Provider Ratings'!AH121</x:f>
        <x:v>Start with Azure when Microsoft identity, security, data, productivity or hybrid integration reduces delivery effort.</x:v>
      </x:c>
      <x:c r="W121" s="32" t="str">
        <x:v>Partial</x:v>
      </x:c>
      <x:c r="X121" s="32"/>
      <x:c r="Y121" s="32" t="str">
        <x:v>2026-07-12</x:v>
      </x:c>
    </x:row>
    <x:row r="122">
      <x:c r="A122" s="32" t="str">
        <x:v>02 Security, Identity &amp; Compliance</x:v>
      </x:c>
      <x:c r="B122" s="32" t="str">
        <x:v>Security, Identity &amp; Compliance</x:v>
      </x:c>
      <x:c r="C122" s="32" t="str">
        <x:v>Cryptography, Keys &amp; Secrets</x:v>
      </x:c>
      <x:c r="D122" s="32" t="str">
        <x:v>Component</x:v>
      </x:c>
      <x:c r="E122" s="32" t="str">
        <x:v>Secrets</x:v>
      </x:c>
      <x:c r="F122" s="32" t="str">
        <x:v>Secrets management</x:v>
      </x:c>
      <x:c r="G122" s="32" t="str">
        <x:v>Securely store, rotate and retrieve application credentials and secrets.</x:v>
      </x:c>
      <x:c r="H122" s="32" t="str">
        <x:v>Choose this capability when you need to securely store, rotate and retrieve application credentials and secrets.</x:v>
      </x:c>
      <x:c r="I122" s="32" t="str">
        <x:v>What business outcome, scale, control, integration and operating model justify choosing secrets management?</x:v>
      </x:c>
      <x:c r="J122" s="32" t="str">
        <x:v>Centralised control and deep integration versus cross-cloud consistency and tool consolidation.</x:v>
      </x:c>
      <x:c r="K122" s="32" t="n">
        <x:v>4</x:v>
      </x:c>
      <x:c r="L122" s="32" t="str">
        <x:v>Easy</x:v>
      </x:c>
      <x:c r="M122" s="32" t="str">
        <x:v>1–3 days</x:v>
      </x:c>
      <x:c r="N122" s="32" t="str">
        <x:v>Medium</x:v>
      </x:c>
      <x:c r="O122" s="32" t="str">
        <x:v>AWS Secrets Manager
Systems Manager Parameter Store</x:v>
      </x:c>
      <x:c r="P122" s="32" t="str">
        <x:v>Azure Key Vault</x:v>
      </x:c>
      <x:c r="Q122" s="32" t="str">
        <x:v>Secret Manager</x:v>
      </x:c>
      <x:c r="R122" s="32" t="n">
        <x:f>'Provider Ratings'!AD122</x:f>
        <x:v>3.98</x:v>
      </x:c>
      <x:c r="S122" s="32" t="n">
        <x:f>'Provider Ratings'!AE122</x:f>
        <x:v>4.1</x:v>
      </x:c>
      <x:c r="T122" s="32" t="n">
        <x:f>'Provider Ratings'!AF122</x:f>
        <x:v>4.07</x:v>
      </x:c>
      <x:c r="U122" s="32" t="str">
        <x:f>'Provider Ratings'!AG122</x:f>
        <x:v>Context-dependent tie</x:v>
      </x:c>
      <x:c r="V122" s="32" t="str">
        <x:f>'Provider Ratings'!AH122</x:f>
        <x:v>Scores are close: use ecosystem, data gravity, region, skills, commercials and proof-of-value results to decide.</x:v>
      </x:c>
      <x:c r="W122" s="32" t="str">
        <x:v>Exact</x:v>
      </x:c>
      <x:c r="X122" s="32"/>
      <x:c r="Y122" s="32" t="str">
        <x:v>2026-07-12</x:v>
      </x:c>
    </x:row>
    <x:row r="123">
      <x:c r="A123" s="32" t="str">
        <x:v>02 Security, Identity &amp; Compliance</x:v>
      </x:c>
      <x:c r="B123" s="32" t="str">
        <x:v>Security, Identity &amp; Compliance</x:v>
      </x:c>
      <x:c r="C123" s="32" t="str">
        <x:v>Cryptography, Keys &amp; Secrets</x:v>
      </x:c>
      <x:c r="D123" s="32" t="str">
        <x:v>Workload</x:v>
      </x:c>
      <x:c r="E123" s="32" t="str">
        <x:v>Keys</x:v>
      </x:c>
      <x:c r="F123" s="32" t="str">
        <x:v>Key management service</x:v>
      </x:c>
      <x:c r="G123" s="32" t="str">
        <x:v>Create and control encryption keys for cloud data and applications.</x:v>
      </x:c>
      <x:c r="H123" s="32" t="str">
        <x:v>Choose this capability when you need to create and control encryption keys for cloud data and applications.</x:v>
      </x:c>
      <x:c r="I123" s="32" t="str">
        <x:v>What business outcome, scale, control, integration and operating model justify choosing key management service?</x:v>
      </x:c>
      <x:c r="J123" s="32" t="str">
        <x:v>Centralised control and deep integration versus cross-cloud consistency and tool consolidation.</x:v>
      </x:c>
      <x:c r="K123" s="32" t="n">
        <x:v>3</x:v>
      </x:c>
      <x:c r="L123" s="32" t="str">
        <x:v>Moderate</x:v>
      </x:c>
      <x:c r="M123" s="32" t="str">
        <x:v>1–3 weeks</x:v>
      </x:c>
      <x:c r="N123" s="32" t="str">
        <x:v>Medium</x:v>
      </x:c>
      <x:c r="O123" s="32" t="str">
        <x:v>AWS Key Management Service</x:v>
      </x:c>
      <x:c r="P123" s="32" t="str">
        <x:v>Azure Key Vault Managed HSM
Azure Key Vault</x:v>
      </x:c>
      <x:c r="Q123" s="32" t="str">
        <x:v>Cloud Key Management Service</x:v>
      </x:c>
      <x:c r="R123" s="32" t="n">
        <x:f>'Provider Ratings'!AD123</x:f>
        <x:v>3.89</x:v>
      </x:c>
      <x:c r="S123" s="32" t="n">
        <x:f>'Provider Ratings'!AE123</x:f>
        <x:v>3.8</x:v>
      </x:c>
      <x:c r="T123" s="32" t="n">
        <x:f>'Provider Ratings'!AF123</x:f>
        <x:v>3.87</x:v>
      </x:c>
      <x:c r="U123" s="32" t="str">
        <x:f>'Provider Ratings'!AG123</x:f>
        <x:v>Context-dependent tie</x:v>
      </x:c>
      <x:c r="V123" s="32" t="str">
        <x:f>'Provider Ratings'!AH123</x:f>
        <x:v>Scores are close: use ecosystem, data gravity, region, skills, commercials and proof-of-value results to decide.</x:v>
      </x:c>
      <x:c r="W123" s="32" t="str">
        <x:v>Exact</x:v>
      </x:c>
      <x:c r="X123" s="32"/>
      <x:c r="Y123" s="32" t="str">
        <x:v>2026-07-12</x:v>
      </x:c>
    </x:row>
    <x:row r="124">
      <x:c r="A124" s="32" t="str">
        <x:v>02 Security, Identity &amp; Compliance</x:v>
      </x:c>
      <x:c r="B124" s="32" t="str">
        <x:v>Security, Identity &amp; Compliance</x:v>
      </x:c>
      <x:c r="C124" s="32" t="str">
        <x:v>Cryptography, Keys &amp; Secrets</x:v>
      </x:c>
      <x:c r="D124" s="32" t="str">
        <x:v>Workload</x:v>
      </x:c>
      <x:c r="E124" s="32" t="str">
        <x:v>HSM</x:v>
      </x:c>
      <x:c r="F124" s="32" t="str">
        <x:v>Dedicated cloud HSM</x:v>
      </x:c>
      <x:c r="G124" s="32" t="str">
        <x:v>Use dedicated hardware security modules under customer control.</x:v>
      </x:c>
      <x:c r="H124" s="32" t="str">
        <x:v>Choose this capability when you need to use dedicated hardware security modules under customer control.</x:v>
      </x:c>
      <x:c r="I124" s="32" t="str">
        <x:v>What business outcome, scale, control, integration and operating model justify choosing dedicated cloud hsm?</x:v>
      </x:c>
      <x:c r="J124" s="32" t="str">
        <x:v>Centralised control and deep integration versus cross-cloud consistency and tool consolidation.</x:v>
      </x:c>
      <x:c r="K124" s="32" t="n">
        <x:v>3</x:v>
      </x:c>
      <x:c r="L124" s="32" t="str">
        <x:v>Moderate</x:v>
      </x:c>
      <x:c r="M124" s="32" t="str">
        <x:v>1–3 weeks</x:v>
      </x:c>
      <x:c r="N124" s="32" t="str">
        <x:v>Medium</x:v>
      </x:c>
      <x:c r="O124" s="32" t="str">
        <x:v>AWS CloudHSM</x:v>
      </x:c>
      <x:c r="P124" s="32" t="str">
        <x:v>Azure Cloud HSM
Azure Managed HSM</x:v>
      </x:c>
      <x:c r="Q124" s="32" t="str">
        <x:v>Cloud HSM</x:v>
      </x:c>
      <x:c r="R124" s="32" t="n">
        <x:f>'Provider Ratings'!AD124</x:f>
        <x:v>3.89</x:v>
      </x:c>
      <x:c r="S124" s="32" t="n">
        <x:f>'Provider Ratings'!AE124</x:f>
        <x:v>3.8</x:v>
      </x:c>
      <x:c r="T124" s="32" t="n">
        <x:f>'Provider Ratings'!AF124</x:f>
        <x:v>3.87</x:v>
      </x:c>
      <x:c r="U124" s="32" t="str">
        <x:f>'Provider Ratings'!AG124</x:f>
        <x:v>Context-dependent tie</x:v>
      </x:c>
      <x:c r="V124" s="32" t="str">
        <x:f>'Provider Ratings'!AH124</x:f>
        <x:v>Scores are close: use ecosystem, data gravity, region, skills, commercials and proof-of-value results to decide.</x:v>
      </x:c>
      <x:c r="W124" s="32" t="str">
        <x:v>Exact</x:v>
      </x:c>
      <x:c r="X124" s="32"/>
      <x:c r="Y124" s="32" t="str">
        <x:v>2026-07-12</x:v>
      </x:c>
    </x:row>
    <x:row r="125">
      <x:c r="A125" s="32" t="str">
        <x:v>02 Security, Identity &amp; Compliance</x:v>
      </x:c>
      <x:c r="B125" s="32" t="str">
        <x:v>Security, Identity &amp; Compliance</x:v>
      </x:c>
      <x:c r="C125" s="32" t="str">
        <x:v>Cryptography, Keys &amp; Secrets</x:v>
      </x:c>
      <x:c r="D125" s="32" t="str">
        <x:v>Component</x:v>
      </x:c>
      <x:c r="E125" s="32" t="str">
        <x:v>Certificates</x:v>
      </x:c>
      <x:c r="F125" s="32" t="str">
        <x:v>Certificate management</x:v>
      </x:c>
      <x:c r="G125" s="32" t="str">
        <x:v>Provision, manage and rotate public or private TLS certificates.</x:v>
      </x:c>
      <x:c r="H125" s="32" t="str">
        <x:v>Choose this capability when you need to provision, manage and rotate public or private tls certificates.</x:v>
      </x:c>
      <x:c r="I125" s="32" t="str">
        <x:v>What business outcome, scale, control, integration and operating model justify choosing certificate management?</x:v>
      </x:c>
      <x:c r="J125" s="32" t="str">
        <x:v>Centralised control and deep integration versus cross-cloud consistency and tool consolidation.</x:v>
      </x:c>
      <x:c r="K125" s="32" t="n">
        <x:v>5</x:v>
      </x:c>
      <x:c r="L125" s="32" t="str">
        <x:v>Very easy</x:v>
      </x:c>
      <x:c r="M125" s="32" t="str">
        <x:v>Hours</x:v>
      </x:c>
      <x:c r="N125" s="32" t="str">
        <x:v>Medium</x:v>
      </x:c>
      <x:c r="O125" s="32" t="str">
        <x:v>AWS Certificate Manager
AWS Private CA</x:v>
      </x:c>
      <x:c r="P125" s="32" t="str">
        <x:v>Azure Key Vault Certificates
Microsoft Cloud PKI</x:v>
      </x:c>
      <x:c r="Q125" s="32" t="str">
        <x:v>Certificate Manager
Certificate Authority Service</x:v>
      </x:c>
      <x:c r="R125" s="32" t="n">
        <x:f>'Provider Ratings'!AD125</x:f>
        <x:v>4.13</x:v>
      </x:c>
      <x:c r="S125" s="32" t="n">
        <x:f>'Provider Ratings'!AE125</x:f>
        <x:v>4.15</x:v>
      </x:c>
      <x:c r="T125" s="32" t="n">
        <x:f>'Provider Ratings'!AF125</x:f>
        <x:v>4.12</x:v>
      </x:c>
      <x:c r="U125" s="32" t="str">
        <x:f>'Provider Ratings'!AG125</x:f>
        <x:v>Context-dependent tie</x:v>
      </x:c>
      <x:c r="V125" s="32" t="str">
        <x:f>'Provider Ratings'!AH125</x:f>
        <x:v>Scores are close: use ecosystem, data gravity, region, skills, commercials and proof-of-value results to decide.</x:v>
      </x:c>
      <x:c r="W125" s="32" t="str">
        <x:v>Close</x:v>
      </x:c>
      <x:c r="X125" s="32"/>
      <x:c r="Y125" s="32" t="str">
        <x:v>2026-07-12</x:v>
      </x:c>
    </x:row>
    <x:row r="126">
      <x:c r="A126" s="32" t="str">
        <x:v>02 Security, Identity &amp; Compliance</x:v>
      </x:c>
      <x:c r="B126" s="32" t="str">
        <x:v>Security, Identity &amp; Compliance</x:v>
      </x:c>
      <x:c r="C126" s="32" t="str">
        <x:v>Governance, Posture &amp; Compliance</x:v>
      </x:c>
      <x:c r="D126" s="32" t="str">
        <x:v>Foundation</x:v>
      </x:c>
      <x:c r="E126" s="32" t="str">
        <x:v>Security posture</x:v>
      </x:c>
      <x:c r="F126" s="32" t="str">
        <x:v>Cloud security posture management</x:v>
      </x:c>
      <x:c r="G126" s="32" t="str">
        <x:v>Assess misconfigurations, compliance and security posture across cloud workloads.</x:v>
      </x:c>
      <x:c r="H126" s="32" t="str">
        <x:v>Choose this capability when you need to assess misconfigurations, compliance and security posture across cloud workloads.</x:v>
      </x:c>
      <x:c r="I126" s="32" t="str">
        <x:v>What business outcome, scale, control, integration and operating model justify choosing cloud security posture management?</x:v>
      </x:c>
      <x:c r="J126" s="32" t="str">
        <x:v>Centralised control and deep integration versus cross-cloud consistency and tool consolidation.</x:v>
      </x:c>
      <x:c r="K126" s="32" t="n">
        <x:v>3</x:v>
      </x:c>
      <x:c r="L126" s="32" t="str">
        <x:v>Moderate</x:v>
      </x:c>
      <x:c r="M126" s="32" t="str">
        <x:v>1–3 weeks</x:v>
      </x:c>
      <x:c r="N126" s="32" t="str">
        <x:v>Medium</x:v>
      </x:c>
      <x:c r="O126" s="32" t="str">
        <x:v>AWS Security Hub</x:v>
      </x:c>
      <x:c r="P126" s="32" t="str">
        <x:v>Microsoft Defender for Cloud</x:v>
      </x:c>
      <x:c r="Q126" s="32" t="str">
        <x:v>Security Command Center</x:v>
      </x:c>
      <x:c r="R126" s="32" t="n">
        <x:f>'Provider Ratings'!AD126</x:f>
        <x:v>3.89</x:v>
      </x:c>
      <x:c r="S126" s="32" t="n">
        <x:f>'Provider Ratings'!AE126</x:f>
        <x:v>4.09</x:v>
      </x:c>
      <x:c r="T126" s="32" t="n">
        <x:f>'Provider Ratings'!AF126</x:f>
        <x:v>3.87</x:v>
      </x:c>
      <x:c r="U126" s="32" t="str">
        <x:f>'Provider Ratings'!AG126</x:f>
        <x:v>Azure</x:v>
      </x:c>
      <x:c r="V126" s="32" t="str">
        <x:f>'Provider Ratings'!AH126</x:f>
        <x:v>Start with Azure when Microsoft identity, security, data, productivity or hybrid integration reduces delivery effort.</x:v>
      </x:c>
      <x:c r="W126" s="32" t="str">
        <x:v>Exact</x:v>
      </x:c>
      <x:c r="X126" s="32"/>
      <x:c r="Y126" s="32" t="str">
        <x:v>2026-07-12</x:v>
      </x:c>
    </x:row>
    <x:row r="127">
      <x:c r="A127" s="32" t="str">
        <x:v>02 Security, Identity &amp; Compliance</x:v>
      </x:c>
      <x:c r="B127" s="32" t="str">
        <x:v>Security, Identity &amp; Compliance</x:v>
      </x:c>
      <x:c r="C127" s="32" t="str">
        <x:v>Threat Detection &amp; Security Operations</x:v>
      </x:c>
      <x:c r="D127" s="32" t="str">
        <x:v>Workload</x:v>
      </x:c>
      <x:c r="E127" s="32" t="str">
        <x:v>Threat detection</x:v>
      </x:c>
      <x:c r="F127" s="32" t="str">
        <x:v>Cloud threat detection</x:v>
      </x:c>
      <x:c r="G127" s="32" t="str">
        <x:v>Detect suspicious activity, compromised identities and malicious workload behaviour.</x:v>
      </x:c>
      <x:c r="H127" s="32" t="str">
        <x:v>Choose this capability when you need to detect suspicious activity, compromised identities and malicious workload behaviour.</x:v>
      </x:c>
      <x:c r="I127" s="32" t="str">
        <x:v>Do you need posture, detection, investigation, SIEM/SOAR, or all of them in one operating model?</x:v>
      </x:c>
      <x:c r="J127" s="32" t="str">
        <x:v>Centralised control and deep integration versus cross-cloud consistency and tool consolidation.</x:v>
      </x:c>
      <x:c r="K127" s="32" t="n">
        <x:v>3</x:v>
      </x:c>
      <x:c r="L127" s="32" t="str">
        <x:v>Moderate</x:v>
      </x:c>
      <x:c r="M127" s="32" t="str">
        <x:v>1–3 weeks</x:v>
      </x:c>
      <x:c r="N127" s="32" t="str">
        <x:v>Medium</x:v>
      </x:c>
      <x:c r="O127" s="32" t="str">
        <x:v>Amazon GuardDuty</x:v>
      </x:c>
      <x:c r="P127" s="32" t="str">
        <x:v>Microsoft Defender for Cloud
Microsoft Sentinel</x:v>
      </x:c>
      <x:c r="Q127" s="32" t="str">
        <x:v>Security Command Center
Google Security Operations</x:v>
      </x:c>
      <x:c r="R127" s="32" t="n">
        <x:f>'Provider Ratings'!AD127</x:f>
        <x:v>3.8</x:v>
      </x:c>
      <x:c r="S127" s="32" t="n">
        <x:f>'Provider Ratings'!AE127</x:f>
        <x:v>3.92</x:v>
      </x:c>
      <x:c r="T127" s="32" t="n">
        <x:f>'Provider Ratings'!AF127</x:f>
        <x:v>3.72</x:v>
      </x:c>
      <x:c r="U127" s="32" t="str">
        <x:f>'Provider Ratings'!AG127</x:f>
        <x:v>Context-dependent tie</x:v>
      </x:c>
      <x:c r="V127" s="32" t="str">
        <x:f>'Provider Ratings'!AH127</x:f>
        <x:v>Scores are close: use ecosystem, data gravity, region, skills, commercials and proof-of-value results to decide.</x:v>
      </x:c>
      <x:c r="W127" s="32" t="str">
        <x:v>Close</x:v>
      </x:c>
      <x:c r="X127" s="32"/>
      <x:c r="Y127" s="32" t="str">
        <x:v>2026-07-12</x:v>
      </x:c>
    </x:row>
    <x:row r="128">
      <x:c r="A128" s="32" t="str">
        <x:v>02 Security, Identity &amp; Compliance</x:v>
      </x:c>
      <x:c r="B128" s="32" t="str">
        <x:v>Security, Identity &amp; Compliance</x:v>
      </x:c>
      <x:c r="C128" s="32" t="str">
        <x:v>Threat Detection &amp; Security Operations</x:v>
      </x:c>
      <x:c r="D128" s="32" t="str">
        <x:v>Workload</x:v>
      </x:c>
      <x:c r="E128" s="32" t="str">
        <x:v>Investigation</x:v>
      </x:c>
      <x:c r="F128" s="32" t="str">
        <x:v>Security investigation</x:v>
      </x:c>
      <x:c r="G128" s="32" t="str">
        <x:v>Correlate security findings and accelerate investigation of potential incidents.</x:v>
      </x:c>
      <x:c r="H128" s="32" t="str">
        <x:v>Choose this capability when you need to correlate security findings and accelerate investigation of potential incidents.</x:v>
      </x:c>
      <x:c r="I128" s="32" t="str">
        <x:v>Do you need posture, detection, investigation, SIEM/SOAR, or all of them in one operating model?</x:v>
      </x:c>
      <x:c r="J128" s="32" t="str">
        <x:v>Centralised control and deep integration versus cross-cloud consistency and tool consolidation.</x:v>
      </x:c>
      <x:c r="K128" s="32" t="n">
        <x:v>3</x:v>
      </x:c>
      <x:c r="L128" s="32" t="str">
        <x:v>Moderate</x:v>
      </x:c>
      <x:c r="M128" s="32" t="str">
        <x:v>1–3 weeks</x:v>
      </x:c>
      <x:c r="N128" s="32" t="str">
        <x:v>Medium</x:v>
      </x:c>
      <x:c r="O128" s="32" t="str">
        <x:v>Amazon Detective</x:v>
      </x:c>
      <x:c r="P128" s="32" t="str">
        <x:v>Microsoft Sentinel
Microsoft Defender XDR</x:v>
      </x:c>
      <x:c r="Q128" s="32" t="str">
        <x:v>Google Security Operations</x:v>
      </x:c>
      <x:c r="R128" s="32" t="n">
        <x:f>'Provider Ratings'!AD128</x:f>
        <x:v>3.8</x:v>
      </x:c>
      <x:c r="S128" s="32" t="n">
        <x:f>'Provider Ratings'!AE128</x:f>
        <x:v>3.92</x:v>
      </x:c>
      <x:c r="T128" s="32" t="n">
        <x:f>'Provider Ratings'!AF128</x:f>
        <x:v>3.81</x:v>
      </x:c>
      <x:c r="U128" s="32" t="str">
        <x:f>'Provider Ratings'!AG128</x:f>
        <x:v>Context-dependent tie</x:v>
      </x:c>
      <x:c r="V128" s="32" t="str">
        <x:f>'Provider Ratings'!AH128</x:f>
        <x:v>Scores are close: use ecosystem, data gravity, region, skills, commercials and proof-of-value results to decide.</x:v>
      </x:c>
      <x:c r="W128" s="32" t="str">
        <x:v>Close</x:v>
      </x:c>
      <x:c r="X128" s="32"/>
      <x:c r="Y128" s="32" t="str">
        <x:v>2026-07-12</x:v>
      </x:c>
    </x:row>
    <x:row r="129">
      <x:c r="A129" s="32" t="str">
        <x:v>02 Security, Identity &amp; Compliance</x:v>
      </x:c>
      <x:c r="B129" s="32" t="str">
        <x:v>Security, Identity &amp; Compliance</x:v>
      </x:c>
      <x:c r="C129" s="32" t="str">
        <x:v>Threat Detection &amp; Security Operations</x:v>
      </x:c>
      <x:c r="D129" s="32" t="str">
        <x:v>Workload</x:v>
      </x:c>
      <x:c r="E129" s="32" t="str">
        <x:v>Vulnerability management</x:v>
      </x:c>
      <x:c r="F129" s="32" t="str">
        <x:v>Workload vulnerability assessment</x:v>
      </x:c>
      <x:c r="G129" s="32" t="str">
        <x:v>Scan virtual machines, containers and software packages for vulnerabilities.</x:v>
      </x:c>
      <x:c r="H129" s="32" t="str">
        <x:v>Choose this capability when you need to scan virtual machines, containers and software packages for vulnerabilities.</x:v>
      </x:c>
      <x:c r="I129" s="32" t="str">
        <x:v>Do you need posture, detection, investigation, SIEM/SOAR, or all of them in one operating model?</x:v>
      </x:c>
      <x:c r="J129" s="32" t="str">
        <x:v>Centralised control and deep integration versus cross-cloud consistency and tool consolidation.</x:v>
      </x:c>
      <x:c r="K129" s="32" t="n">
        <x:v>3</x:v>
      </x:c>
      <x:c r="L129" s="32" t="str">
        <x:v>Moderate</x:v>
      </x:c>
      <x:c r="M129" s="32" t="str">
        <x:v>1–3 weeks</x:v>
      </x:c>
      <x:c r="N129" s="32" t="str">
        <x:v>Medium</x:v>
      </x:c>
      <x:c r="O129" s="32" t="str">
        <x:v>Amazon Inspector
Amazon ECR image scanning</x:v>
      </x:c>
      <x:c r="P129" s="32" t="str">
        <x:v>Microsoft Defender Vulnerability Management
Defender for Cloud</x:v>
      </x:c>
      <x:c r="Q129" s="32" t="str">
        <x:v>Artifact Analysis
Security Command Center</x:v>
      </x:c>
      <x:c r="R129" s="32" t="n">
        <x:f>'Provider Ratings'!AD129</x:f>
        <x:v>3.71</x:v>
      </x:c>
      <x:c r="S129" s="32" t="n">
        <x:f>'Provider Ratings'!AE129</x:f>
        <x:v>3.92</x:v>
      </x:c>
      <x:c r="T129" s="32" t="n">
        <x:f>'Provider Ratings'!AF129</x:f>
        <x:v>3.72</x:v>
      </x:c>
      <x:c r="U129" s="32" t="str">
        <x:f>'Provider Ratings'!AG129</x:f>
        <x:v>Azure</x:v>
      </x:c>
      <x:c r="V129" s="32" t="str">
        <x:f>'Provider Ratings'!AH129</x:f>
        <x:v>Start with Azure when Microsoft identity, security, data, productivity or hybrid integration reduces delivery effort.</x:v>
      </x:c>
      <x:c r="W129" s="32" t="str">
        <x:v>Close</x:v>
      </x:c>
      <x:c r="X129" s="32"/>
      <x:c r="Y129" s="32" t="str">
        <x:v>2026-07-12</x:v>
      </x:c>
    </x:row>
    <x:row r="130">
      <x:c r="A130" s="32" t="str">
        <x:v>02 Security, Identity &amp; Compliance</x:v>
      </x:c>
      <x:c r="B130" s="32" t="str">
        <x:v>Security, Identity &amp; Compliance</x:v>
      </x:c>
      <x:c r="C130" s="32" t="str">
        <x:v>Data Protection &amp; Privacy</x:v>
      </x:c>
      <x:c r="D130" s="32" t="str">
        <x:v>Workload</x:v>
      </x:c>
      <x:c r="E130" s="32" t="str">
        <x:v>Data discovery</x:v>
      </x:c>
      <x:c r="F130" s="32" t="str">
        <x:v>Sensitive-data discovery</x:v>
      </x:c>
      <x:c r="G130" s="32" t="str">
        <x:v>Discover, classify and monitor sensitive data held in cloud services.</x:v>
      </x:c>
      <x:c r="H130" s="32" t="str">
        <x:v>Choose this capability when you need to discover, classify and monitor sensitive data held in cloud services.</x:v>
      </x:c>
      <x:c r="I130" s="32" t="str">
        <x:v>What business outcome, scale, control, integration and operating model justify choosing sensitive-data discovery?</x:v>
      </x:c>
      <x:c r="J130" s="32" t="str">
        <x:v>Centralised control and deep integration versus cross-cloud consistency and tool consolidation.</x:v>
      </x:c>
      <x:c r="K130" s="32" t="n">
        <x:v>3</x:v>
      </x:c>
      <x:c r="L130" s="32" t="str">
        <x:v>Moderate</x:v>
      </x:c>
      <x:c r="M130" s="32" t="str">
        <x:v>1–3 weeks</x:v>
      </x:c>
      <x:c r="N130" s="32" t="str">
        <x:v>Medium</x:v>
      </x:c>
      <x:c r="O130" s="32" t="str">
        <x:v>Amazon Macie</x:v>
      </x:c>
      <x:c r="P130" s="32" t="str">
        <x:v>Microsoft Purview Information Protection
Microsoft Purview Data Map</x:v>
      </x:c>
      <x:c r="Q130" s="32" t="str">
        <x:v>Sensitive Data Protection</x:v>
      </x:c>
      <x:c r="R130" s="32" t="n">
        <x:f>'Provider Ratings'!AD130</x:f>
        <x:v>3.82</x:v>
      </x:c>
      <x:c r="S130" s="32" t="n">
        <x:f>'Provider Ratings'!AE130</x:f>
        <x:v>3.75</x:v>
      </x:c>
      <x:c r="T130" s="32" t="n">
        <x:f>'Provider Ratings'!AF130</x:f>
        <x:v>3.84</x:v>
      </x:c>
      <x:c r="U130" s="32" t="str">
        <x:f>'Provider Ratings'!AG130</x:f>
        <x:v>Context-dependent tie</x:v>
      </x:c>
      <x:c r="V130" s="32" t="str">
        <x:f>'Provider Ratings'!AH130</x:f>
        <x:v>Scores are close: use ecosystem, data gravity, region, skills, commercials and proof-of-value results to decide.</x:v>
      </x:c>
      <x:c r="W130" s="32" t="str">
        <x:v>Close</x:v>
      </x:c>
      <x:c r="X130" s="32"/>
      <x:c r="Y130" s="32" t="str">
        <x:v>2026-07-12</x:v>
      </x:c>
    </x:row>
    <x:row r="131">
      <x:c r="A131" s="32" t="str">
        <x:v>02 Security, Identity &amp; Compliance</x:v>
      </x:c>
      <x:c r="B131" s="32" t="str">
        <x:v>Security, Identity &amp; Compliance</x:v>
      </x:c>
      <x:c r="C131" s="32" t="str">
        <x:v>Threat Detection &amp; Security Operations</x:v>
      </x:c>
      <x:c r="D131" s="32" t="str">
        <x:v>Workload</x:v>
      </x:c>
      <x:c r="E131" s="32" t="str">
        <x:v>SIEM and SOAR</x:v>
      </x:c>
      <x:c r="F131" s="32" t="str">
        <x:v>Cloud-native SIEM and SOAR</x:v>
      </x:c>
      <x:c r="G131" s="32" t="str">
        <x:v>Centralise security telemetry, detect threats and automate incident response.</x:v>
      </x:c>
      <x:c r="H131" s="32" t="str">
        <x:v>Choose this capability when you need to centralise security telemetry, detect threats and automate incident response.</x:v>
      </x:c>
      <x:c r="I131" s="32" t="str">
        <x:v>Do you need posture, detection, investigation, SIEM/SOAR, or all of them in one operating model?</x:v>
      </x:c>
      <x:c r="J131" s="32" t="str">
        <x:v>Centralised control and deep integration versus cross-cloud consistency and tool consolidation.</x:v>
      </x:c>
      <x:c r="K131" s="32" t="n">
        <x:v>2</x:v>
      </x:c>
      <x:c r="L131" s="32" t="str">
        <x:v>Advanced</x:v>
      </x:c>
      <x:c r="M131" s="32" t="str">
        <x:v>3–8 weeks</x:v>
      </x:c>
      <x:c r="N131" s="32" t="str">
        <x:v>Medium</x:v>
      </x:c>
      <x:c r="O131" s="32" t="str">
        <x:v>Amazon Security Lake
Amazon OpenSearch Service
partner SIEM</x:v>
      </x:c>
      <x:c r="P131" s="32" t="str">
        <x:v>Microsoft Sentinel</x:v>
      </x:c>
      <x:c r="Q131" s="32" t="str">
        <x:v>Google Security Operations</x:v>
      </x:c>
      <x:c r="R131" s="32" t="n">
        <x:f>'Provider Ratings'!AD131</x:f>
        <x:v>2.95</x:v>
      </x:c>
      <x:c r="S131" s="32" t="n">
        <x:f>'Provider Ratings'!AE131</x:f>
        <x:v>3.62</x:v>
      </x:c>
      <x:c r="T131" s="32" t="n">
        <x:f>'Provider Ratings'!AF131</x:f>
        <x:v>3.4</x:v>
      </x:c>
      <x:c r="U131" s="32" t="str">
        <x:f>'Provider Ratings'!AG131</x:f>
        <x:v>Azure</x:v>
      </x:c>
      <x:c r="V131" s="32" t="str">
        <x:f>'Provider Ratings'!AH131</x:f>
        <x:v>Start with Azure when Microsoft identity, security, data, productivity or hybrid integration reduces delivery effort.</x:v>
      </x:c>
      <x:c r="W131" s="32" t="str">
        <x:v>Partial</x:v>
      </x:c>
      <x:c r="X131" s="32" t="str">
        <x:v>AWS provides the data lake and analytics building blocks but does not position one identical first-party SIEM product.</x:v>
      </x:c>
      <x:c r="Y131" s="32" t="str">
        <x:v>2026-07-12</x:v>
      </x:c>
    </x:row>
    <x:row r="132">
      <x:c r="A132" s="32" t="str">
        <x:v>02 Security, Identity &amp; Compliance</x:v>
      </x:c>
      <x:c r="B132" s="32" t="str">
        <x:v>Security, Identity &amp; Compliance</x:v>
      </x:c>
      <x:c r="C132" s="32" t="str">
        <x:v>Threat Detection &amp; Security Operations</x:v>
      </x:c>
      <x:c r="D132" s="32" t="str">
        <x:v>Workload</x:v>
      </x:c>
      <x:c r="E132" s="32" t="str">
        <x:v>Security data lake</x:v>
      </x:c>
      <x:c r="F132" s="32" t="str">
        <x:v>Security telemetry lake</x:v>
      </x:c>
      <x:c r="G132" s="32" t="str">
        <x:v>Centralise normalised security logs and findings for analytics and detection.</x:v>
      </x:c>
      <x:c r="H132" s="32" t="str">
        <x:v>Choose this capability when you need to centralise normalised security logs and findings for analytics and detection.</x:v>
      </x:c>
      <x:c r="I132" s="32" t="str">
        <x:v>Do you need posture, detection, investigation, SIEM/SOAR, or all of them in one operating model?</x:v>
      </x:c>
      <x:c r="J132" s="32" t="str">
        <x:v>Centralised control and deep integration versus cross-cloud consistency and tool consolidation.</x:v>
      </x:c>
      <x:c r="K132" s="32" t="n">
        <x:v>3</x:v>
      </x:c>
      <x:c r="L132" s="32" t="str">
        <x:v>Moderate</x:v>
      </x:c>
      <x:c r="M132" s="32" t="str">
        <x:v>1–3 weeks</x:v>
      </x:c>
      <x:c r="N132" s="32" t="str">
        <x:v>Medium</x:v>
      </x:c>
      <x:c r="O132" s="32" t="str">
        <x:v>Amazon Security Lake</x:v>
      </x:c>
      <x:c r="P132" s="32" t="str">
        <x:v>Microsoft Sentinel data lake
Microsoft Fabric</x:v>
      </x:c>
      <x:c r="Q132" s="32" t="str">
        <x:v>Google Security Operations</x:v>
      </x:c>
      <x:c r="R132" s="32" t="n">
        <x:f>'Provider Ratings'!AD132</x:f>
        <x:v>3.8</x:v>
      </x:c>
      <x:c r="S132" s="32" t="n">
        <x:f>'Provider Ratings'!AE132</x:f>
        <x:v>3.94</x:v>
      </x:c>
      <x:c r="T132" s="32" t="n">
        <x:f>'Provider Ratings'!AF132</x:f>
        <x:v>3.95</x:v>
      </x:c>
      <x:c r="U132" s="32" t="str">
        <x:f>'Provider Ratings'!AG132</x:f>
        <x:v>Context-dependent tie</x:v>
      </x:c>
      <x:c r="V132" s="32" t="str">
        <x:f>'Provider Ratings'!AH132</x:f>
        <x:v>Scores are close: use ecosystem, data gravity, region, skills, commercials and proof-of-value results to decide.</x:v>
      </x:c>
      <x:c r="W132" s="32" t="str">
        <x:v>Close</x:v>
      </x:c>
      <x:c r="X132" s="32"/>
      <x:c r="Y132" s="32" t="str">
        <x:v>2026-07-12</x:v>
      </x:c>
    </x:row>
    <x:row r="133">
      <x:c r="A133" s="32" t="str">
        <x:v>02 Security, Identity &amp; Compliance</x:v>
      </x:c>
      <x:c r="B133" s="32" t="str">
        <x:v>Security, Identity &amp; Compliance</x:v>
      </x:c>
      <x:c r="C133" s="32" t="str">
        <x:v>Network &amp; Application Security</x:v>
      </x:c>
      <x:c r="D133" s="32" t="str">
        <x:v>Workload</x:v>
      </x:c>
      <x:c r="E133" s="32" t="str">
        <x:v>Network security</x:v>
      </x:c>
      <x:c r="F133" s="32" t="str">
        <x:v>Managed network firewall</x:v>
      </x:c>
      <x:c r="G133" s="32" t="str">
        <x:v>Inspect and filter network traffic using managed firewall policies.</x:v>
      </x:c>
      <x:c r="H133" s="32" t="str">
        <x:v>Choose this capability when you need to inspect and filter network traffic using managed firewall policies.</x:v>
      </x:c>
      <x:c r="I133" s="32" t="str">
        <x:v>What business outcome, scale, control, integration and operating model justify choosing managed network firewall?</x:v>
      </x:c>
      <x:c r="J133" s="32" t="str">
        <x:v>Centralised control and deep integration versus cross-cloud consistency and tool consolidation.</x:v>
      </x:c>
      <x:c r="K133" s="32" t="n">
        <x:v>3</x:v>
      </x:c>
      <x:c r="L133" s="32" t="str">
        <x:v>Moderate</x:v>
      </x:c>
      <x:c r="M133" s="32" t="str">
        <x:v>1–3 weeks</x:v>
      </x:c>
      <x:c r="N133" s="32" t="str">
        <x:v>Medium</x:v>
      </x:c>
      <x:c r="O133" s="32" t="str">
        <x:v>AWS Network Firewall</x:v>
      </x:c>
      <x:c r="P133" s="32" t="str">
        <x:v>Azure Firewall</x:v>
      </x:c>
      <x:c r="Q133" s="32" t="str">
        <x:v>Cloud Next Generation Firewall</x:v>
      </x:c>
      <x:c r="R133" s="32" t="n">
        <x:f>'Provider Ratings'!AD133</x:f>
        <x:v>3.94</x:v>
      </x:c>
      <x:c r="S133" s="32" t="n">
        <x:f>'Provider Ratings'!AE133</x:f>
        <x:v>3.97</x:v>
      </x:c>
      <x:c r="T133" s="32" t="n">
        <x:f>'Provider Ratings'!AF133</x:f>
        <x:v>3.91</x:v>
      </x:c>
      <x:c r="U133" s="32" t="str">
        <x:f>'Provider Ratings'!AG133</x:f>
        <x:v>Context-dependent tie</x:v>
      </x:c>
      <x:c r="V133" s="32" t="str">
        <x:f>'Provider Ratings'!AH133</x:f>
        <x:v>Scores are close: use ecosystem, data gravity, region, skills, commercials and proof-of-value results to decide.</x:v>
      </x:c>
      <x:c r="W133" s="32" t="str">
        <x:v>Exact</x:v>
      </x:c>
      <x:c r="X133" s="32"/>
      <x:c r="Y133" s="32" t="str">
        <x:v>2026-07-12</x:v>
      </x:c>
    </x:row>
    <x:row r="134">
      <x:c r="A134" s="32" t="str">
        <x:v>02 Security, Identity &amp; Compliance</x:v>
      </x:c>
      <x:c r="B134" s="32" t="str">
        <x:v>Security, Identity &amp; Compliance</x:v>
      </x:c>
      <x:c r="C134" s="32" t="str">
        <x:v>Network &amp; Application Security</x:v>
      </x:c>
      <x:c r="D134" s="32" t="str">
        <x:v>Workload</x:v>
      </x:c>
      <x:c r="E134" s="32" t="str">
        <x:v>Web security</x:v>
      </x:c>
      <x:c r="F134" s="32" t="str">
        <x:v>Web application firewall</x:v>
      </x:c>
      <x:c r="G134" s="32" t="str">
        <x:v>Protect web applications from common exploits and malicious HTTP traffic.</x:v>
      </x:c>
      <x:c r="H134" s="32" t="str">
        <x:v>Choose this capability when you need to protect web applications from common exploits and malicious http traffic.</x:v>
      </x:c>
      <x:c r="I134" s="32" t="str">
        <x:v>What business outcome, scale, control, integration and operating model justify choosing web application firewall?</x:v>
      </x:c>
      <x:c r="J134" s="32" t="str">
        <x:v>Centralised control and deep integration versus cross-cloud consistency and tool consolidation.</x:v>
      </x:c>
      <x:c r="K134" s="32" t="n">
        <x:v>3</x:v>
      </x:c>
      <x:c r="L134" s="32" t="str">
        <x:v>Moderate</x:v>
      </x:c>
      <x:c r="M134" s="32" t="str">
        <x:v>1–3 weeks</x:v>
      </x:c>
      <x:c r="N134" s="32" t="str">
        <x:v>Medium</x:v>
      </x:c>
      <x:c r="O134" s="32" t="str">
        <x:v>AWS WAF</x:v>
      </x:c>
      <x:c r="P134" s="32" t="str">
        <x:v>Azure Web Application Firewall</x:v>
      </x:c>
      <x:c r="Q134" s="32" t="str">
        <x:v>Cloud Armor</x:v>
      </x:c>
      <x:c r="R134" s="32" t="n">
        <x:f>'Provider Ratings'!AD134</x:f>
        <x:v>3.94</x:v>
      </x:c>
      <x:c r="S134" s="32" t="n">
        <x:f>'Provider Ratings'!AE134</x:f>
        <x:v>3.97</x:v>
      </x:c>
      <x:c r="T134" s="32" t="n">
        <x:f>'Provider Ratings'!AF134</x:f>
        <x:v>3.91</x:v>
      </x:c>
      <x:c r="U134" s="32" t="str">
        <x:f>'Provider Ratings'!AG134</x:f>
        <x:v>Context-dependent tie</x:v>
      </x:c>
      <x:c r="V134" s="32" t="str">
        <x:f>'Provider Ratings'!AH134</x:f>
        <x:v>Scores are close: use ecosystem, data gravity, region, skills, commercials and proof-of-value results to decide.</x:v>
      </x:c>
      <x:c r="W134" s="32" t="str">
        <x:v>Exact</x:v>
      </x:c>
      <x:c r="X134" s="32"/>
      <x:c r="Y134" s="32" t="str">
        <x:v>2026-07-12</x:v>
      </x:c>
    </x:row>
    <x:row r="135">
      <x:c r="A135" s="32" t="str">
        <x:v>02 Security, Identity &amp; Compliance</x:v>
      </x:c>
      <x:c r="B135" s="32" t="str">
        <x:v>Security, Identity &amp; Compliance</x:v>
      </x:c>
      <x:c r="C135" s="32" t="str">
        <x:v>Network &amp; Application Security</x:v>
      </x:c>
      <x:c r="D135" s="32" t="str">
        <x:v>Workload</x:v>
      </x:c>
      <x:c r="E135" s="32" t="str">
        <x:v>DDoS</x:v>
      </x:c>
      <x:c r="F135" s="32" t="str">
        <x:v>DDoS protection</x:v>
      </x:c>
      <x:c r="G135" s="32" t="str">
        <x:v>Detect and mitigate volumetric and protocol denial-of-service attacks.</x:v>
      </x:c>
      <x:c r="H135" s="32" t="str">
        <x:v>Choose this capability when you need to detect and mitigate volumetric and protocol denial-of-service attacks.</x:v>
      </x:c>
      <x:c r="I135" s="32" t="str">
        <x:v>What business outcome, scale, control, integration and operating model justify choosing ddos protection?</x:v>
      </x:c>
      <x:c r="J135" s="32" t="str">
        <x:v>Centralised control and deep integration versus cross-cloud consistency and tool consolidation.</x:v>
      </x:c>
      <x:c r="K135" s="32" t="n">
        <x:v>3</x:v>
      </x:c>
      <x:c r="L135" s="32" t="str">
        <x:v>Moderate</x:v>
      </x:c>
      <x:c r="M135" s="32" t="str">
        <x:v>1–3 weeks</x:v>
      </x:c>
      <x:c r="N135" s="32" t="str">
        <x:v>Medium</x:v>
      </x:c>
      <x:c r="O135" s="32" t="str">
        <x:v>AWS Shield</x:v>
      </x:c>
      <x:c r="P135" s="32" t="str">
        <x:v>Azure DDoS Protection</x:v>
      </x:c>
      <x:c r="Q135" s="32" t="str">
        <x:v>Cloud Armor</x:v>
      </x:c>
      <x:c r="R135" s="32" t="n">
        <x:f>'Provider Ratings'!AD135</x:f>
        <x:v>3.87</x:v>
      </x:c>
      <x:c r="S135" s="32" t="n">
        <x:f>'Provider Ratings'!AE135</x:f>
        <x:v>3.91</x:v>
      </x:c>
      <x:c r="T135" s="32" t="n">
        <x:f>'Provider Ratings'!AF135</x:f>
        <x:v>3.84</x:v>
      </x:c>
      <x:c r="U135" s="32" t="str">
        <x:f>'Provider Ratings'!AG135</x:f>
        <x:v>Context-dependent tie</x:v>
      </x:c>
      <x:c r="V135" s="32" t="str">
        <x:f>'Provider Ratings'!AH135</x:f>
        <x:v>Scores are close: use ecosystem, data gravity, region, skills, commercials and proof-of-value results to decide.</x:v>
      </x:c>
      <x:c r="W135" s="32" t="str">
        <x:v>Close</x:v>
      </x:c>
      <x:c r="X135" s="32"/>
      <x:c r="Y135" s="32" t="str">
        <x:v>2026-07-12</x:v>
      </x:c>
    </x:row>
    <x:row r="136">
      <x:c r="A136" s="32" t="str">
        <x:v>02 Security, Identity &amp; Compliance</x:v>
      </x:c>
      <x:c r="B136" s="32" t="str">
        <x:v>Security, Identity &amp; Compliance</x:v>
      </x:c>
      <x:c r="C136" s="32" t="str">
        <x:v>Network &amp; Application Security</x:v>
      </x:c>
      <x:c r="D136" s="32" t="str">
        <x:v>Foundation</x:v>
      </x:c>
      <x:c r="E136" s="32" t="str">
        <x:v>Firewall governance</x:v>
      </x:c>
      <x:c r="F136" s="32" t="str">
        <x:v>Central firewall policy management</x:v>
      </x:c>
      <x:c r="G136" s="32" t="str">
        <x:v>Centrally deploy and govern firewall and web-protection policies.</x:v>
      </x:c>
      <x:c r="H136" s="32" t="str">
        <x:v>Choose this capability when you need to centrally deploy and govern firewall and web-protection policies.</x:v>
      </x:c>
      <x:c r="I136" s="32" t="str">
        <x:v>What business outcome, scale, control, integration and operating model justify choosing central firewall policy management?</x:v>
      </x:c>
      <x:c r="J136" s="32" t="str">
        <x:v>Centralised control and deep integration versus cross-cloud consistency and tool consolidation.</x:v>
      </x:c>
      <x:c r="K136" s="32" t="n">
        <x:v>3</x:v>
      </x:c>
      <x:c r="L136" s="32" t="str">
        <x:v>Moderate</x:v>
      </x:c>
      <x:c r="M136" s="32" t="str">
        <x:v>1–3 weeks</x:v>
      </x:c>
      <x:c r="N136" s="32" t="str">
        <x:v>Medium</x:v>
      </x:c>
      <x:c r="O136" s="32" t="str">
        <x:v>AWS Firewall Manager</x:v>
      </x:c>
      <x:c r="P136" s="32" t="str">
        <x:v>Azure Firewall Manager</x:v>
      </x:c>
      <x:c r="Q136" s="32" t="str">
        <x:v>Network Security integration in Cloud NGFW</x:v>
      </x:c>
      <x:c r="R136" s="32" t="n">
        <x:f>'Provider Ratings'!AD136</x:f>
        <x:v>3.87</x:v>
      </x:c>
      <x:c r="S136" s="32" t="n">
        <x:f>'Provider Ratings'!AE136</x:f>
        <x:v>3.91</x:v>
      </x:c>
      <x:c r="T136" s="32" t="n">
        <x:f>'Provider Ratings'!AF136</x:f>
        <x:v>3.84</x:v>
      </x:c>
      <x:c r="U136" s="32" t="str">
        <x:f>'Provider Ratings'!AG136</x:f>
        <x:v>Context-dependent tie</x:v>
      </x:c>
      <x:c r="V136" s="32" t="str">
        <x:f>'Provider Ratings'!AH136</x:f>
        <x:v>Scores are close: use ecosystem, data gravity, region, skills, commercials and proof-of-value results to decide.</x:v>
      </x:c>
      <x:c r="W136" s="32" t="str">
        <x:v>Close</x:v>
      </x:c>
      <x:c r="X136" s="32"/>
      <x:c r="Y136" s="32" t="str">
        <x:v>2026-07-12</x:v>
      </x:c>
    </x:row>
    <x:row r="137">
      <x:c r="A137" s="32" t="str">
        <x:v>02 Security, Identity &amp; Compliance</x:v>
      </x:c>
      <x:c r="B137" s="32" t="str">
        <x:v>Security, Identity &amp; Compliance</x:v>
      </x:c>
      <x:c r="C137" s="32" t="str">
        <x:v>Network &amp; Application Security</x:v>
      </x:c>
      <x:c r="D137" s="32" t="str">
        <x:v>Workload</x:v>
      </x:c>
      <x:c r="E137" s="32" t="str">
        <x:v>Bastion access</x:v>
      </x:c>
      <x:c r="F137" s="32" t="str">
        <x:v>Managed bastion access</x:v>
      </x:c>
      <x:c r="G137" s="32" t="str">
        <x:v>Provide controlled administrative access to private virtual machines.</x:v>
      </x:c>
      <x:c r="H137" s="32" t="str">
        <x:v>Choose this capability when you need to provide controlled administrative access to private virtual machines.</x:v>
      </x:c>
      <x:c r="I137" s="32" t="str">
        <x:v>What business outcome, scale, control, integration and operating model justify choosing managed bastion access?</x:v>
      </x:c>
      <x:c r="J137" s="32" t="str">
        <x:v>Centralised control and deep integration versus cross-cloud consistency and tool consolidation.</x:v>
      </x:c>
      <x:c r="K137" s="32" t="n">
        <x:v>3</x:v>
      </x:c>
      <x:c r="L137" s="32" t="str">
        <x:v>Moderate</x:v>
      </x:c>
      <x:c r="M137" s="32" t="str">
        <x:v>1–3 weeks</x:v>
      </x:c>
      <x:c r="N137" s="32" t="str">
        <x:v>Medium</x:v>
      </x:c>
      <x:c r="O137" s="32" t="str">
        <x:v>AWS Systems Manager Session Manager
EC2 Instance Connect Endpoint</x:v>
      </x:c>
      <x:c r="P137" s="32" t="str">
        <x:v>Azure Bastion</x:v>
      </x:c>
      <x:c r="Q137" s="32" t="str">
        <x:v>Identity-Aware Proxy TCP forwarding</x:v>
      </x:c>
      <x:c r="R137" s="32" t="n">
        <x:f>'Provider Ratings'!AD137</x:f>
        <x:v>3.77</x:v>
      </x:c>
      <x:c r="S137" s="32" t="n">
        <x:f>'Provider Ratings'!AE137</x:f>
        <x:v>3.91</x:v>
      </x:c>
      <x:c r="T137" s="32" t="n">
        <x:f>'Provider Ratings'!AF137</x:f>
        <x:v>3.84</x:v>
      </x:c>
      <x:c r="U137" s="32" t="str">
        <x:f>'Provider Ratings'!AG137</x:f>
        <x:v>Context-dependent tie</x:v>
      </x:c>
      <x:c r="V137" s="32" t="str">
        <x:f>'Provider Ratings'!AH137</x:f>
        <x:v>Scores are close: use ecosystem, data gravity, region, skills, commercials and proof-of-value results to decide.</x:v>
      </x:c>
      <x:c r="W137" s="32" t="str">
        <x:v>Close</x:v>
      </x:c>
      <x:c r="X137" s="32"/>
      <x:c r="Y137" s="32" t="str">
        <x:v>2026-07-12</x:v>
      </x:c>
    </x:row>
    <x:row r="138">
      <x:c r="A138" s="32" t="str">
        <x:v>02 Security, Identity &amp; Compliance</x:v>
      </x:c>
      <x:c r="B138" s="32" t="str">
        <x:v>Security, Identity &amp; Compliance</x:v>
      </x:c>
      <x:c r="C138" s="32" t="str">
        <x:v>Threat Detection &amp; Security Operations</x:v>
      </x:c>
      <x:c r="D138" s="32" t="str">
        <x:v>Workload</x:v>
      </x:c>
      <x:c r="E138" s="32" t="str">
        <x:v>Confidential computing</x:v>
      </x:c>
      <x:c r="F138" s="32" t="str">
        <x:v>Confidential virtual machines</x:v>
      </x:c>
      <x:c r="G138" s="32" t="str">
        <x:v>Protect data in use with hardware-backed trusted execution environments.</x:v>
      </x:c>
      <x:c r="H138" s="32" t="str">
        <x:v>Choose this capability when you need to protect data in use with hardware-backed trusted execution environments.</x:v>
      </x:c>
      <x:c r="I138" s="32" t="str">
        <x:v>Do you need posture, detection, investigation, SIEM/SOAR, or all of them in one operating model?</x:v>
      </x:c>
      <x:c r="J138" s="32" t="str">
        <x:v>Centralised control and deep integration versus cross-cloud consistency and tool consolidation.</x:v>
      </x:c>
      <x:c r="K138" s="32" t="n">
        <x:v>2</x:v>
      </x:c>
      <x:c r="L138" s="32" t="str">
        <x:v>Advanced</x:v>
      </x:c>
      <x:c r="M138" s="32" t="str">
        <x:v>3–8 weeks</x:v>
      </x:c>
      <x:c r="N138" s="32" t="str">
        <x:v>Low</x:v>
      </x:c>
      <x:c r="O138" s="32" t="str">
        <x:v>AWS Nitro Enclaves
confidential EC2 instances</x:v>
      </x:c>
      <x:c r="P138" s="32" t="str">
        <x:v>Azure Confidential Computing</x:v>
      </x:c>
      <x:c r="Q138" s="32" t="str">
        <x:v>Confidential VM
Confidential Computing</x:v>
      </x:c>
      <x:c r="R138" s="32" t="n">
        <x:f>'Provider Ratings'!AD138</x:f>
        <x:v>3.64</x:v>
      </x:c>
      <x:c r="S138" s="32" t="n">
        <x:f>'Provider Ratings'!AE138</x:f>
        <x:v>3.9</x:v>
      </x:c>
      <x:c r="T138" s="32" t="n">
        <x:f>'Provider Ratings'!AF138</x:f>
        <x:v>3.58</x:v>
      </x:c>
      <x:c r="U138" s="32" t="str">
        <x:f>'Provider Ratings'!AG138</x:f>
        <x:v>Azure</x:v>
      </x:c>
      <x:c r="V138" s="32" t="str">
        <x:f>'Provider Ratings'!AH138</x:f>
        <x:v>Start with Azure when Microsoft identity, security, data, productivity or hybrid integration reduces delivery effort.</x:v>
      </x:c>
      <x:c r="W138" s="32" t="str">
        <x:v>Close</x:v>
      </x:c>
      <x:c r="X138" s="32"/>
      <x:c r="Y138" s="32" t="str">
        <x:v>2026-07-12</x:v>
      </x:c>
    </x:row>
    <x:row r="139">
      <x:c r="A139" s="32" t="str">
        <x:v>02 Security, Identity &amp; Compliance</x:v>
      </x:c>
      <x:c r="B139" s="32" t="str">
        <x:v>Security, Identity &amp; Compliance</x:v>
      </x:c>
      <x:c r="C139" s="32" t="str">
        <x:v>Cryptography, Keys &amp; Secrets</x:v>
      </x:c>
      <x:c r="D139" s="32" t="str">
        <x:v>Workload</x:v>
      </x:c>
      <x:c r="E139" s="32" t="str">
        <x:v>Attestation</x:v>
      </x:c>
      <x:c r="F139" s="32" t="str">
        <x:v>Trusted environment attestation</x:v>
      </x:c>
      <x:c r="G139" s="32" t="str">
        <x:v>Verify the integrity and trust state of confidential-computing environments.</x:v>
      </x:c>
      <x:c r="H139" s="32" t="str">
        <x:v>Choose this capability when you need to verify the integrity and trust state of confidential-computing environments.</x:v>
      </x:c>
      <x:c r="I139" s="32" t="str">
        <x:v>What business outcome, scale, control, integration and operating model justify choosing trusted environment attestation?</x:v>
      </x:c>
      <x:c r="J139" s="32" t="str">
        <x:v>Centralised control and deep integration versus cross-cloud consistency and tool consolidation.</x:v>
      </x:c>
      <x:c r="K139" s="32" t="n">
        <x:v>3</x:v>
      </x:c>
      <x:c r="L139" s="32" t="str">
        <x:v>Moderate</x:v>
      </x:c>
      <x:c r="M139" s="32" t="str">
        <x:v>1–3 weeks</x:v>
      </x:c>
      <x:c r="N139" s="32" t="str">
        <x:v>Medium</x:v>
      </x:c>
      <x:c r="O139" s="32" t="str">
        <x:v>AWS Nitro Enclaves attestation</x:v>
      </x:c>
      <x:c r="P139" s="32" t="str">
        <x:v>Azure Attestation</x:v>
      </x:c>
      <x:c r="Q139" s="32" t="str">
        <x:v>Confidential Space attestation</x:v>
      </x:c>
      <x:c r="R139" s="32" t="n">
        <x:f>'Provider Ratings'!AD139</x:f>
        <x:v>3.82</x:v>
      </x:c>
      <x:c r="S139" s="32" t="n">
        <x:f>'Provider Ratings'!AE139</x:f>
        <x:v>3.84</x:v>
      </x:c>
      <x:c r="T139" s="32" t="n">
        <x:f>'Provider Ratings'!AF139</x:f>
        <x:v>3.81</x:v>
      </x:c>
      <x:c r="U139" s="32" t="str">
        <x:f>'Provider Ratings'!AG139</x:f>
        <x:v>Context-dependent tie</x:v>
      </x:c>
      <x:c r="V139" s="32" t="str">
        <x:f>'Provider Ratings'!AH139</x:f>
        <x:v>Scores are close: use ecosystem, data gravity, region, skills, commercials and proof-of-value results to decide.</x:v>
      </x:c>
      <x:c r="W139" s="32" t="str">
        <x:v>Close</x:v>
      </x:c>
      <x:c r="X139" s="32"/>
      <x:c r="Y139" s="32" t="str">
        <x:v>2026-07-12</x:v>
      </x:c>
    </x:row>
    <x:row r="140">
      <x:c r="A140" s="32" t="str">
        <x:v>02 Security, Identity &amp; Compliance</x:v>
      </x:c>
      <x:c r="B140" s="32" t="str">
        <x:v>Security, Identity &amp; Compliance</x:v>
      </x:c>
      <x:c r="C140" s="32" t="str">
        <x:v>Governance, Posture &amp; Compliance</x:v>
      </x:c>
      <x:c r="D140" s="32" t="str">
        <x:v>Workload</x:v>
      </x:c>
      <x:c r="E140" s="32" t="str">
        <x:v>Compliance evidence</x:v>
      </x:c>
      <x:c r="F140" s="32" t="str">
        <x:v>Compliance reports and evidence</x:v>
      </x:c>
      <x:c r="G140" s="32" t="str">
        <x:v>Access provider compliance reports and collect audit evidence.</x:v>
      </x:c>
      <x:c r="H140" s="32" t="str">
        <x:v>Choose this capability when you need to access provider compliance reports and collect audit evidence.</x:v>
      </x:c>
      <x:c r="I140" s="32" t="str">
        <x:v>What business outcome, scale, control, integration and operating model justify choosing compliance reports and evidence?</x:v>
      </x:c>
      <x:c r="J140" s="32" t="str">
        <x:v>Centralised control and deep integration versus cross-cloud consistency and tool consolidation.</x:v>
      </x:c>
      <x:c r="K140" s="32" t="n">
        <x:v>3</x:v>
      </x:c>
      <x:c r="L140" s="32" t="str">
        <x:v>Moderate</x:v>
      </x:c>
      <x:c r="M140" s="32" t="str">
        <x:v>1–3 weeks</x:v>
      </x:c>
      <x:c r="N140" s="32" t="str">
        <x:v>Medium</x:v>
      </x:c>
      <x:c r="O140" s="32" t="str">
        <x:v>AWS Artifact
AWS Audit Manager</x:v>
      </x:c>
      <x:c r="P140" s="32" t="str">
        <x:v>Microsoft Service Trust Portal
Microsoft Purview Compliance Manager</x:v>
      </x:c>
      <x:c r="Q140" s="32" t="str">
        <x:v>Compliance Reports Manager
Audit Manager</x:v>
      </x:c>
      <x:c r="R140" s="32" t="n">
        <x:f>'Provider Ratings'!AD140</x:f>
        <x:v>3.73</x:v>
      </x:c>
      <x:c r="S140" s="32" t="n">
        <x:f>'Provider Ratings'!AE140</x:f>
        <x:v>3.85</x:v>
      </x:c>
      <x:c r="T140" s="32" t="n">
        <x:f>'Provider Ratings'!AF140</x:f>
        <x:v>3.72</x:v>
      </x:c>
      <x:c r="U140" s="32" t="str">
        <x:f>'Provider Ratings'!AG140</x:f>
        <x:v>Context-dependent tie</x:v>
      </x:c>
      <x:c r="V140" s="32" t="str">
        <x:f>'Provider Ratings'!AH140</x:f>
        <x:v>Scores are close: use ecosystem, data gravity, region, skills, commercials and proof-of-value results to decide.</x:v>
      </x:c>
      <x:c r="W140" s="32" t="str">
        <x:v>Close</x:v>
      </x:c>
      <x:c r="X140" s="32"/>
      <x:c r="Y140" s="32" t="str">
        <x:v>2026-07-12</x:v>
      </x:c>
    </x:row>
    <x:row r="141">
      <x:c r="A141" s="32" t="str">
        <x:v>02 Security, Identity &amp; Compliance</x:v>
      </x:c>
      <x:c r="B141" s="32" t="str">
        <x:v>Security, Identity &amp; Compliance</x:v>
      </x:c>
      <x:c r="C141" s="32" t="str">
        <x:v>Governance, Posture &amp; Compliance</x:v>
      </x:c>
      <x:c r="D141" s="32" t="str">
        <x:v>Workload</x:v>
      </x:c>
      <x:c r="E141" s="32" t="str">
        <x:v>Audit logs</x:v>
      </x:c>
      <x:c r="F141" s="32" t="str">
        <x:v>Cloud audit trail</x:v>
      </x:c>
      <x:c r="G141" s="32" t="str">
        <x:v>Record administrative and data-access activity for investigation and compliance.</x:v>
      </x:c>
      <x:c r="H141" s="32" t="str">
        <x:v>Choose this capability when you need to record administrative and data-access activity for investigation and compliance.</x:v>
      </x:c>
      <x:c r="I141" s="32" t="str">
        <x:v>What business outcome, scale, control, integration and operating model justify choosing cloud audit trail?</x:v>
      </x:c>
      <x:c r="J141" s="32" t="str">
        <x:v>Centralised control and deep integration versus cross-cloud consistency and tool consolidation.</x:v>
      </x:c>
      <x:c r="K141" s="32" t="n">
        <x:v>3</x:v>
      </x:c>
      <x:c r="L141" s="32" t="str">
        <x:v>Moderate</x:v>
      </x:c>
      <x:c r="M141" s="32" t="str">
        <x:v>1–3 weeks</x:v>
      </x:c>
      <x:c r="N141" s="32" t="str">
        <x:v>Medium</x:v>
      </x:c>
      <x:c r="O141" s="32" t="str">
        <x:v>AWS CloudTrail</x:v>
      </x:c>
      <x:c r="P141" s="32" t="str">
        <x:v>Azure Activity Log
Microsoft Entra audit logs</x:v>
      </x:c>
      <x:c r="Q141" s="32" t="str">
        <x:v>Cloud Audit Logs</x:v>
      </x:c>
      <x:c r="R141" s="32" t="n">
        <x:f>'Provider Ratings'!AD141</x:f>
        <x:v>3.89</x:v>
      </x:c>
      <x:c r="S141" s="32" t="n">
        <x:f>'Provider Ratings'!AE141</x:f>
        <x:v>3.93</x:v>
      </x:c>
      <x:c r="T141" s="32" t="n">
        <x:f>'Provider Ratings'!AF141</x:f>
        <x:v>3.91</x:v>
      </x:c>
      <x:c r="U141" s="32" t="str">
        <x:f>'Provider Ratings'!AG141</x:f>
        <x:v>Context-dependent tie</x:v>
      </x:c>
      <x:c r="V141" s="32" t="str">
        <x:f>'Provider Ratings'!AH141</x:f>
        <x:v>Scores are close: use ecosystem, data gravity, region, skills, commercials and proof-of-value results to decide.</x:v>
      </x:c>
      <x:c r="W141" s="32" t="str">
        <x:v>Exact</x:v>
      </x:c>
      <x:c r="X141" s="32"/>
      <x:c r="Y141" s="32" t="str">
        <x:v>2026-07-12</x:v>
      </x:c>
    </x:row>
    <x:row r="142">
      <x:c r="A142" s="32" t="str">
        <x:v>02 Security, Identity &amp; Compliance</x:v>
      </x:c>
      <x:c r="B142" s="32" t="str">
        <x:v>Security, Identity &amp; Compliance</x:v>
      </x:c>
      <x:c r="C142" s="32" t="str">
        <x:v>Data Protection &amp; Privacy</x:v>
      </x:c>
      <x:c r="D142" s="32" t="str">
        <x:v>Workload</x:v>
      </x:c>
      <x:c r="E142" s="32" t="str">
        <x:v>Access transparency</x:v>
      </x:c>
      <x:c r="F142" s="32" t="str">
        <x:v>Provider access transparency</x:v>
      </x:c>
      <x:c r="G142" s="32" t="str">
        <x:v>Show when and why provider personnel accessed customer content.</x:v>
      </x:c>
      <x:c r="H142" s="32" t="str">
        <x:v>Choose this capability when you need to show when and why provider personnel accessed customer content.</x:v>
      </x:c>
      <x:c r="I142" s="32" t="str">
        <x:v>What business outcome, scale, control, integration and operating model justify choosing provider access transparency?</x:v>
      </x:c>
      <x:c r="J142" s="32" t="str">
        <x:v>Centralised control and deep integration versus cross-cloud consistency and tool consolidation.</x:v>
      </x:c>
      <x:c r="K142" s="32" t="n">
        <x:v>3</x:v>
      </x:c>
      <x:c r="L142" s="32" t="str">
        <x:v>Moderate</x:v>
      </x:c>
      <x:c r="M142" s="32" t="str">
        <x:v>1–3 weeks</x:v>
      </x:c>
      <x:c r="N142" s="32" t="str">
        <x:v>Medium</x:v>
      </x:c>
      <x:c r="O142" s="32" t="str">
        <x:v>AWS CloudTrail for provider events / AWS support controls</x:v>
      </x:c>
      <x:c r="P142" s="32" t="str">
        <x:v>Customer Lockbox for Microsoft Azure</x:v>
      </x:c>
      <x:c r="Q142" s="32" t="str">
        <x:v>Access Transparency
Cloud provider access management</x:v>
      </x:c>
      <x:c r="R142" s="32" t="n">
        <x:f>'Provider Ratings'!AD142</x:f>
        <x:v>3.55</x:v>
      </x:c>
      <x:c r="S142" s="32" t="n">
        <x:f>'Provider Ratings'!AE142</x:f>
        <x:v>3.65</x:v>
      </x:c>
      <x:c r="T142" s="32" t="n">
        <x:f>'Provider Ratings'!AF142</x:f>
        <x:v>3.57</x:v>
      </x:c>
      <x:c r="U142" s="32" t="str">
        <x:f>'Provider Ratings'!AG142</x:f>
        <x:v>Context-dependent tie</x:v>
      </x:c>
      <x:c r="V142" s="32" t="str">
        <x:f>'Provider Ratings'!AH142</x:f>
        <x:v>Scores are close: use ecosystem, data gravity, region, skills, commercials and proof-of-value results to decide.</x:v>
      </x:c>
      <x:c r="W142" s="32" t="str">
        <x:v>Partial</x:v>
      </x:c>
      <x:c r="X142" s="32"/>
      <x:c r="Y142" s="32" t="str">
        <x:v>2026-07-12</x:v>
      </x:c>
    </x:row>
    <x:row r="143">
      <x:c r="A143" s="32" t="str">
        <x:v>02 Security, Identity &amp; Compliance</x:v>
      </x:c>
      <x:c r="B143" s="32" t="str">
        <x:v>Security, Identity &amp; Compliance</x:v>
      </x:c>
      <x:c r="C143" s="32" t="str">
        <x:v>Data Protection &amp; Privacy</x:v>
      </x:c>
      <x:c r="D143" s="32" t="str">
        <x:v>Workload</x:v>
      </x:c>
      <x:c r="E143" s="32" t="str">
        <x:v>Data perimeter</x:v>
      </x:c>
      <x:c r="F143" s="32" t="str">
        <x:v>Service data perimeter</x:v>
      </x:c>
      <x:c r="G143" s="32" t="str">
        <x:v>Restrict data movement and service access across trusted cloud boundaries.</x:v>
      </x:c>
      <x:c r="H143" s="32" t="str">
        <x:v>Choose this capability when you need to restrict data movement and service access across trusted cloud boundaries.</x:v>
      </x:c>
      <x:c r="I143" s="32" t="str">
        <x:v>What business outcome, scale, control, integration and operating model justify choosing service data perimeter?</x:v>
      </x:c>
      <x:c r="J143" s="32" t="str">
        <x:v>Centralised control and deep integration versus cross-cloud consistency and tool consolidation.</x:v>
      </x:c>
      <x:c r="K143" s="32" t="n">
        <x:v>2</x:v>
      </x:c>
      <x:c r="L143" s="32" t="str">
        <x:v>Advanced</x:v>
      </x:c>
      <x:c r="M143" s="32" t="str">
        <x:v>3–8 weeks</x:v>
      </x:c>
      <x:c r="N143" s="32" t="str">
        <x:v>Medium</x:v>
      </x:c>
      <x:c r="O143" s="32" t="str">
        <x:v>AWS Organizations SCPs
VPC endpoints
AWS Network Firewall</x:v>
      </x:c>
      <x:c r="P143" s="32" t="str">
        <x:v>Azure Policy
Private Link
Microsoft Purview</x:v>
      </x:c>
      <x:c r="Q143" s="32" t="str">
        <x:v>VPC Service Controls
Access Context Manager</x:v>
      </x:c>
      <x:c r="R143" s="32" t="n">
        <x:f>'Provider Ratings'!AD143</x:f>
        <x:v>3.53</x:v>
      </x:c>
      <x:c r="S143" s="32" t="n">
        <x:f>'Provider Ratings'!AE143</x:f>
        <x:v>3.55</x:v>
      </x:c>
      <x:c r="T143" s="32" t="n">
        <x:f>'Provider Ratings'!AF143</x:f>
        <x:v>3.55</x:v>
      </x:c>
      <x:c r="U143" s="32" t="str">
        <x:f>'Provider Ratings'!AG143</x:f>
        <x:v>Context-dependent tie</x:v>
      </x:c>
      <x:c r="V143" s="32" t="str">
        <x:f>'Provider Ratings'!AH143</x:f>
        <x:v>Scores are close: use ecosystem, data gravity, region, skills, commercials and proof-of-value results to decide.</x:v>
      </x:c>
      <x:c r="W143" s="32" t="str">
        <x:v>Close</x:v>
      </x:c>
      <x:c r="X143" s="32"/>
      <x:c r="Y143" s="32" t="str">
        <x:v>2026-07-12</x:v>
      </x:c>
    </x:row>
    <x:row r="144">
      <x:c r="A144" s="32" t="str">
        <x:v>02 Security, Identity &amp; Compliance</x:v>
      </x:c>
      <x:c r="B144" s="32" t="str">
        <x:v>Security, Identity &amp; Compliance</x:v>
      </x:c>
      <x:c r="C144" s="32" t="str">
        <x:v>Threat Detection &amp; Security Operations</x:v>
      </x:c>
      <x:c r="D144" s="32" t="str">
        <x:v>Workload</x:v>
      </x:c>
      <x:c r="E144" s="32" t="str">
        <x:v>External attack surface</x:v>
      </x:c>
      <x:c r="F144" s="32" t="str">
        <x:v>External attack-surface management</x:v>
      </x:c>
      <x:c r="G144" s="32" t="str">
        <x:v>Discover internet-exposed assets and assess external risk.</x:v>
      </x:c>
      <x:c r="H144" s="32" t="str">
        <x:v>Choose this capability when you need to discover internet-exposed assets and assess external risk.</x:v>
      </x:c>
      <x:c r="I144" s="32" t="str">
        <x:v>Do you need posture, detection, investigation, SIEM/SOAR, or all of them in one operating model?</x:v>
      </x:c>
      <x:c r="J144" s="32" t="str">
        <x:v>Centralised control and deep integration versus cross-cloud consistency and tool consolidation.</x:v>
      </x:c>
      <x:c r="K144" s="32" t="n">
        <x:v>3</x:v>
      </x:c>
      <x:c r="L144" s="32" t="str">
        <x:v>Moderate</x:v>
      </x:c>
      <x:c r="M144" s="32" t="str">
        <x:v>1–3 weeks</x:v>
      </x:c>
      <x:c r="N144" s="32" t="str">
        <x:v>Medium</x:v>
      </x:c>
      <x:c r="O144" s="32" t="str">
        <x:v>Amazon Inspector external exposure insights
AWS Security Hub</x:v>
      </x:c>
      <x:c r="P144" s="32" t="str">
        <x:v>Microsoft Defender External Attack Surface Management</x:v>
      </x:c>
      <x:c r="Q144" s="32" t="str">
        <x:v>Security Command Center attack-path and exposure management</x:v>
      </x:c>
      <x:c r="R144" s="32" t="n">
        <x:f>'Provider Ratings'!AD144</x:f>
        <x:v>3.53</x:v>
      </x:c>
      <x:c r="S144" s="32" t="n">
        <x:f>'Provider Ratings'!AE144</x:f>
        <x:v>3.84</x:v>
      </x:c>
      <x:c r="T144" s="32" t="n">
        <x:f>'Provider Ratings'!AF144</x:f>
        <x:v>3.62</x:v>
      </x:c>
      <x:c r="U144" s="32" t="str">
        <x:f>'Provider Ratings'!AG144</x:f>
        <x:v>Azure</x:v>
      </x:c>
      <x:c r="V144" s="32" t="str">
        <x:f>'Provider Ratings'!AH144</x:f>
        <x:v>Start with Azure when Microsoft identity, security, data, productivity or hybrid integration reduces delivery effort.</x:v>
      </x:c>
      <x:c r="W144" s="32" t="str">
        <x:v>Partial</x:v>
      </x:c>
      <x:c r="X144" s="32"/>
      <x:c r="Y144" s="32" t="str">
        <x:v>2026-07-12</x:v>
      </x:c>
    </x:row>
    <x:row r="145">
      <x:c r="A145" s="32" t="str">
        <x:v>02 Security, Identity &amp; Compliance</x:v>
      </x:c>
      <x:c r="B145" s="32" t="str">
        <x:v>Security, Identity &amp; Compliance</x:v>
      </x:c>
      <x:c r="C145" s="32" t="str">
        <x:v>Threat Detection &amp; Security Operations</x:v>
      </x:c>
      <x:c r="D145" s="32" t="str">
        <x:v>Workload</x:v>
      </x:c>
      <x:c r="E145" s="32" t="str">
        <x:v>Security assistant</x:v>
      </x:c>
      <x:c r="F145" s="32" t="str">
        <x:v>Generative-AI security assistant</x:v>
      </x:c>
      <x:c r="G145" s="32" t="str">
        <x:v>Use generative AI to investigate threats, summarise incidents and guide response.</x:v>
      </x:c>
      <x:c r="H145" s="32" t="str">
        <x:v>Choose this capability when you need to use generative ai to investigate threats, summarise incidents and guide response.</x:v>
      </x:c>
      <x:c r="I145" s="32" t="str">
        <x:v>Do you need posture, detection, investigation, SIEM/SOAR, or all of them in one operating model?</x:v>
      </x:c>
      <x:c r="J145" s="32" t="str">
        <x:v>Centralised control and deep integration versus cross-cloud consistency and tool consolidation.</x:v>
      </x:c>
      <x:c r="K145" s="32" t="n">
        <x:v>3</x:v>
      </x:c>
      <x:c r="L145" s="32" t="str">
        <x:v>Moderate</x:v>
      </x:c>
      <x:c r="M145" s="32" t="str">
        <x:v>1–3 weeks</x:v>
      </x:c>
      <x:c r="N145" s="32" t="str">
        <x:v>Medium</x:v>
      </x:c>
      <x:c r="O145" s="32" t="str">
        <x:v>Amazon Q Developer security integrations</x:v>
      </x:c>
      <x:c r="P145" s="32" t="str">
        <x:v>Microsoft Security Copilot</x:v>
      </x:c>
      <x:c r="Q145" s="32" t="str">
        <x:v>Gemini in Security / Google Security Operations</x:v>
      </x:c>
      <x:c r="R145" s="32" t="n">
        <x:f>'Provider Ratings'!AD145</x:f>
        <x:v>3.8</x:v>
      </x:c>
      <x:c r="S145" s="32" t="n">
        <x:f>'Provider Ratings'!AE145</x:f>
        <x:v>4.03</x:v>
      </x:c>
      <x:c r="T145" s="32" t="n">
        <x:f>'Provider Ratings'!AF145</x:f>
        <x:v>3.74</x:v>
      </x:c>
      <x:c r="U145" s="32" t="str">
        <x:f>'Provider Ratings'!AG145</x:f>
        <x:v>Azure</x:v>
      </x:c>
      <x:c r="V145" s="32" t="str">
        <x:f>'Provider Ratings'!AH145</x:f>
        <x:v>Start with Azure when Microsoft identity, security, data, productivity or hybrid integration reduces delivery effort.</x:v>
      </x:c>
      <x:c r="W145" s="32" t="str">
        <x:v>Close</x:v>
      </x:c>
      <x:c r="X145" s="32"/>
      <x:c r="Y145" s="32" t="str">
        <x:v>2026-07-12</x:v>
      </x:c>
    </x:row>
    <x:row r="146">
      <x:c r="A146" s="32" t="str">
        <x:v>05 Data Infrastructure</x:v>
      </x:c>
      <x:c r="B146" s="32" t="str">
        <x:v>Databases</x:v>
      </x:c>
      <x:c r="C146" s="32" t="str">
        <x:v>Relational Databases</x:v>
      </x:c>
      <x:c r="D146" s="32" t="str">
        <x:v>Platform</x:v>
      </x:c>
      <x:c r="E146" s="32" t="str">
        <x:v>Relational databases</x:v>
      </x:c>
      <x:c r="F146" s="32" t="str">
        <x:v>Managed relational database service</x:v>
      </x:c>
      <x:c r="G146" s="32" t="str">
        <x:v>Operate common relational database engines with managed backups, patching and availability.</x:v>
      </x:c>
      <x:c r="H146" s="32" t="str">
        <x:v>Choose this capability when you need to operate common relational database engines with managed backups, patching and availability.</x:v>
      </x:c>
      <x:c r="I146" s="32" t="str">
        <x:v>What data model, engine compatibility, scale, availability and operational control do you need?</x:v>
      </x:c>
      <x:c r="J146" s="32" t="str">
        <x:v>Managed simplicity and performance versus portability, data gravity and long-term cost.</x:v>
      </x:c>
      <x:c r="K146" s="32" t="n">
        <x:v>3</x:v>
      </x:c>
      <x:c r="L146" s="32" t="str">
        <x:v>Moderate</x:v>
      </x:c>
      <x:c r="M146" s="32" t="str">
        <x:v>1–3 weeks</x:v>
      </x:c>
      <x:c r="N146" s="32" t="str">
        <x:v>High</x:v>
      </x:c>
      <x:c r="O146" s="32" t="str">
        <x:v>Amazon Relational Database Service</x:v>
      </x:c>
      <x:c r="P146" s="32" t="str">
        <x:v>Azure SQL Managed Instance
Azure Database for PostgreSQL
Azure Database for MySQL</x:v>
      </x:c>
      <x:c r="Q146" s="32" t="str">
        <x:v>Cloud SQL</x:v>
      </x:c>
      <x:c r="R146" s="32" t="n">
        <x:f>'Provider Ratings'!AD146</x:f>
        <x:v>3.95</x:v>
      </x:c>
      <x:c r="S146" s="32" t="n">
        <x:f>'Provider Ratings'!AE146</x:f>
        <x:v>3.92</x:v>
      </x:c>
      <x:c r="T146" s="32" t="n">
        <x:f>'Provider Ratings'!AF146</x:f>
        <x:v>3.94</x:v>
      </x:c>
      <x:c r="U146" s="32" t="str">
        <x:f>'Provider Ratings'!AG146</x:f>
        <x:v>Context-dependent tie</x:v>
      </x:c>
      <x:c r="V146" s="32" t="str">
        <x:f>'Provider Ratings'!AH146</x:f>
        <x:v>Scores are close: use ecosystem, data gravity, region, skills, commercials and proof-of-value results to decide.</x:v>
      </x:c>
      <x:c r="W146" s="32" t="str">
        <x:v>Close</x:v>
      </x:c>
      <x:c r="X146" s="32"/>
      <x:c r="Y146" s="32" t="str">
        <x:v>2026-07-12</x:v>
      </x:c>
    </x:row>
    <x:row r="147">
      <x:c r="A147" s="32" t="str">
        <x:v>05 Data Infrastructure</x:v>
      </x:c>
      <x:c r="B147" s="32" t="str">
        <x:v>Databases</x:v>
      </x:c>
      <x:c r="C147" s="32" t="str">
        <x:v>Relational Databases</x:v>
      </x:c>
      <x:c r="D147" s="32" t="str">
        <x:v>Workload</x:v>
      </x:c>
      <x:c r="E147" s="32" t="str">
        <x:v>Cloud-native relational</x:v>
      </x:c>
      <x:c r="F147" s="32" t="str">
        <x:v>Cloud-native relational database</x:v>
      </x:c>
      <x:c r="G147" s="32" t="str">
        <x:v>Run a highly available cloud-native relational database optimised for scale and resilience.</x:v>
      </x:c>
      <x:c r="H147" s="32" t="str">
        <x:v>Choose this capability when you need to run a highly available cloud-native relational database optimised for scale and resilience.</x:v>
      </x:c>
      <x:c r="I147" s="32" t="str">
        <x:v>What data model, engine compatibility, scale, availability and operational control do you need?</x:v>
      </x:c>
      <x:c r="J147" s="32" t="str">
        <x:v>Managed simplicity and performance versus portability, data gravity and long-term cost.</x:v>
      </x:c>
      <x:c r="K147" s="32" t="n">
        <x:v>3</x:v>
      </x:c>
      <x:c r="L147" s="32" t="str">
        <x:v>Moderate</x:v>
      </x:c>
      <x:c r="M147" s="32" t="str">
        <x:v>1–3 weeks</x:v>
      </x:c>
      <x:c r="N147" s="32" t="str">
        <x:v>Medium</x:v>
      </x:c>
      <x:c r="O147" s="32" t="str">
        <x:v>Amazon Aurora</x:v>
      </x:c>
      <x:c r="P147" s="32" t="str">
        <x:v>Azure SQL Database</x:v>
      </x:c>
      <x:c r="Q147" s="32" t="str">
        <x:v>AlloyDB for PostgreSQL</x:v>
      </x:c>
      <x:c r="R147" s="32" t="n">
        <x:f>'Provider Ratings'!AD147</x:f>
        <x:v>3.95</x:v>
      </x:c>
      <x:c r="S147" s="32" t="n">
        <x:f>'Provider Ratings'!AE147</x:f>
        <x:v>4.01</x:v>
      </x:c>
      <x:c r="T147" s="32" t="n">
        <x:f>'Provider Ratings'!AF147</x:f>
        <x:v>3.94</x:v>
      </x:c>
      <x:c r="U147" s="32" t="str">
        <x:f>'Provider Ratings'!AG147</x:f>
        <x:v>Context-dependent tie</x:v>
      </x:c>
      <x:c r="V147" s="32" t="str">
        <x:f>'Provider Ratings'!AH147</x:f>
        <x:v>Scores are close: use ecosystem, data gravity, region, skills, commercials and proof-of-value results to decide.</x:v>
      </x:c>
      <x:c r="W147" s="32" t="str">
        <x:v>Close</x:v>
      </x:c>
      <x:c r="X147" s="32"/>
      <x:c r="Y147" s="32" t="str">
        <x:v>2026-07-12</x:v>
      </x:c>
    </x:row>
    <x:row r="148">
      <x:c r="A148" s="32" t="str">
        <x:v>05 Data Infrastructure</x:v>
      </x:c>
      <x:c r="B148" s="32" t="str">
        <x:v>Databases</x:v>
      </x:c>
      <x:c r="C148" s="32" t="str">
        <x:v>Relational Databases</x:v>
      </x:c>
      <x:c r="D148" s="32" t="str">
        <x:v>Workload</x:v>
      </x:c>
      <x:c r="E148" s="32" t="str">
        <x:v>Distributed SQL</x:v>
      </x:c>
      <x:c r="F148" s="32" t="str">
        <x:v>Globally distributed relational database</x:v>
      </x:c>
      <x:c r="G148" s="32" t="str">
        <x:v>Provide strongly consistent relational transactions across regions at horizontal scale.</x:v>
      </x:c>
      <x:c r="H148" s="32" t="str">
        <x:v>Choose this capability when you need to provide strongly consistent relational transactions across regions at horizontal scale.</x:v>
      </x:c>
      <x:c r="I148" s="32" t="str">
        <x:v>What data model, engine compatibility, scale, availability and operational control do you need?</x:v>
      </x:c>
      <x:c r="J148" s="32" t="str">
        <x:v>Managed simplicity and performance versus portability, data gravity and long-term cost.</x:v>
      </x:c>
      <x:c r="K148" s="32" t="n">
        <x:v>3</x:v>
      </x:c>
      <x:c r="L148" s="32" t="str">
        <x:v>Moderate</x:v>
      </x:c>
      <x:c r="M148" s="32" t="str">
        <x:v>1–3 weeks</x:v>
      </x:c>
      <x:c r="N148" s="32" t="str">
        <x:v>Medium</x:v>
      </x:c>
      <x:c r="O148" s="32" t="str">
        <x:v>Amazon Aurora DSQL</x:v>
      </x:c>
      <x:c r="P148" s="32" t="str">
        <x:v>Azure Cosmos DB for PostgreSQL / Azure SQL Hyperscale</x:v>
      </x:c>
      <x:c r="Q148" s="32" t="str">
        <x:v>Spanner</x:v>
      </x:c>
      <x:c r="R148" s="32" t="n">
        <x:f>'Provider Ratings'!AD148</x:f>
        <x:v>3.79</x:v>
      </x:c>
      <x:c r="S148" s="32" t="n">
        <x:f>'Provider Ratings'!AE148</x:f>
        <x:v>3.76</x:v>
      </x:c>
      <x:c r="T148" s="32" t="n">
        <x:f>'Provider Ratings'!AF148</x:f>
        <x:v>3.75</x:v>
      </x:c>
      <x:c r="U148" s="32" t="str">
        <x:f>'Provider Ratings'!AG148</x:f>
        <x:v>Context-dependent tie</x:v>
      </x:c>
      <x:c r="V148" s="32" t="str">
        <x:f>'Provider Ratings'!AH148</x:f>
        <x:v>Scores are close: use ecosystem, data gravity, region, skills, commercials and proof-of-value results to decide.</x:v>
      </x:c>
      <x:c r="W148" s="32" t="str">
        <x:v>Partial</x:v>
      </x:c>
      <x:c r="X148" s="32"/>
      <x:c r="Y148" s="32" t="str">
        <x:v>2026-07-12</x:v>
      </x:c>
    </x:row>
    <x:row r="149">
      <x:c r="A149" s="32" t="str">
        <x:v>05 Data Infrastructure</x:v>
      </x:c>
      <x:c r="B149" s="32" t="str">
        <x:v>Databases</x:v>
      </x:c>
      <x:c r="C149" s="32" t="str">
        <x:v>Relational Databases</x:v>
      </x:c>
      <x:c r="D149" s="32" t="str">
        <x:v>Workload</x:v>
      </x:c>
      <x:c r="E149" s="32" t="str">
        <x:v>PostgreSQL</x:v>
      </x:c>
      <x:c r="F149" s="32" t="str">
        <x:v>High-performance PostgreSQL-compatible database</x:v>
      </x:c>
      <x:c r="G149" s="32" t="str">
        <x:v>Deliver PostgreSQL compatibility with cloud-native performance and availability.</x:v>
      </x:c>
      <x:c r="H149" s="32" t="str">
        <x:v>Choose this capability when you need to deliver postgresql compatibility with cloud-native performance and availability.</x:v>
      </x:c>
      <x:c r="I149" s="32" t="str">
        <x:v>What data model, engine compatibility, scale, availability and operational control do you need?</x:v>
      </x:c>
      <x:c r="J149" s="32" t="str">
        <x:v>Managed simplicity and performance versus portability, data gravity and long-term cost.</x:v>
      </x:c>
      <x:c r="K149" s="32" t="n">
        <x:v>3</x:v>
      </x:c>
      <x:c r="L149" s="32" t="str">
        <x:v>Moderate</x:v>
      </x:c>
      <x:c r="M149" s="32" t="str">
        <x:v>1–3 weeks</x:v>
      </x:c>
      <x:c r="N149" s="32" t="str">
        <x:v>Low</x:v>
      </x:c>
      <x:c r="O149" s="32" t="str">
        <x:v>Amazon Aurora PostgreSQL</x:v>
      </x:c>
      <x:c r="P149" s="32" t="str">
        <x:v>Azure Database for PostgreSQL</x:v>
      </x:c>
      <x:c r="Q149" s="32" t="str">
        <x:v>AlloyDB for PostgreSQL</x:v>
      </x:c>
      <x:c r="R149" s="32" t="n">
        <x:f>'Provider Ratings'!AD149</x:f>
        <x:v>4.02</x:v>
      </x:c>
      <x:c r="S149" s="32" t="n">
        <x:f>'Provider Ratings'!AE149</x:f>
        <x:v>4.12</x:v>
      </x:c>
      <x:c r="T149" s="32" t="n">
        <x:f>'Provider Ratings'!AF149</x:f>
        <x:v>4.01</x:v>
      </x:c>
      <x:c r="U149" s="32" t="str">
        <x:f>'Provider Ratings'!AG149</x:f>
        <x:v>Context-dependent tie</x:v>
      </x:c>
      <x:c r="V149" s="32" t="str">
        <x:f>'Provider Ratings'!AH149</x:f>
        <x:v>Scores are close: use ecosystem, data gravity, region, skills, commercials and proof-of-value results to decide.</x:v>
      </x:c>
      <x:c r="W149" s="32" t="str">
        <x:v>Close</x:v>
      </x:c>
      <x:c r="X149" s="32"/>
      <x:c r="Y149" s="32" t="str">
        <x:v>2026-07-12</x:v>
      </x:c>
    </x:row>
    <x:row r="150">
      <x:c r="A150" s="32" t="str">
        <x:v>05 Data Infrastructure</x:v>
      </x:c>
      <x:c r="B150" s="32" t="str">
        <x:v>Databases</x:v>
      </x:c>
      <x:c r="C150" s="32" t="str">
        <x:v>Relational Databases</x:v>
      </x:c>
      <x:c r="D150" s="32" t="str">
        <x:v>Workload</x:v>
      </x:c>
      <x:c r="E150" s="32" t="str">
        <x:v>SQL Server</x:v>
      </x:c>
      <x:c r="F150" s="32" t="str">
        <x:v>Managed SQL Server</x:v>
      </x:c>
      <x:c r="G150" s="32" t="str">
        <x:v>Run Microsoft SQL Server as a managed database or on cloud virtual machines.</x:v>
      </x:c>
      <x:c r="H150" s="32" t="str">
        <x:v>Choose this capability when you need to run microsoft sql server as a managed database or on cloud virtual machines.</x:v>
      </x:c>
      <x:c r="I150" s="32" t="str">
        <x:v>What data model, engine compatibility, scale, availability and operational control do you need?</x:v>
      </x:c>
      <x:c r="J150" s="32" t="str">
        <x:v>Managed simplicity and performance versus portability, data gravity and long-term cost.</x:v>
      </x:c>
      <x:c r="K150" s="32" t="n">
        <x:v>3</x:v>
      </x:c>
      <x:c r="L150" s="32" t="str">
        <x:v>Moderate</x:v>
      </x:c>
      <x:c r="M150" s="32" t="str">
        <x:v>1–3 weeks</x:v>
      </x:c>
      <x:c r="N150" s="32" t="str">
        <x:v>Medium</x:v>
      </x:c>
      <x:c r="O150" s="32" t="str">
        <x:v>Amazon RDS for SQL Server
SQL Server on Amazon EC2</x:v>
      </x:c>
      <x:c r="P150" s="32" t="str">
        <x:v>Azure SQL Managed Instance
SQL Server on Azure VMs</x:v>
      </x:c>
      <x:c r="Q150" s="32" t="str">
        <x:v>Cloud SQL for SQL Server</x:v>
      </x:c>
      <x:c r="R150" s="32" t="n">
        <x:f>'Provider Ratings'!AD150</x:f>
        <x:v>3.88</x:v>
      </x:c>
      <x:c r="S150" s="32" t="n">
        <x:f>'Provider Ratings'!AE150</x:f>
        <x:v>3.96</x:v>
      </x:c>
      <x:c r="T150" s="32" t="n">
        <x:f>'Provider Ratings'!AF150</x:f>
        <x:v>3.94</x:v>
      </x:c>
      <x:c r="U150" s="32" t="str">
        <x:f>'Provider Ratings'!AG150</x:f>
        <x:v>Context-dependent tie</x:v>
      </x:c>
      <x:c r="V150" s="32" t="str">
        <x:f>'Provider Ratings'!AH150</x:f>
        <x:v>Scores are close: use ecosystem, data gravity, region, skills, commercials and proof-of-value results to decide.</x:v>
      </x:c>
      <x:c r="W150" s="32" t="str">
        <x:v>Close</x:v>
      </x:c>
      <x:c r="X150" s="32"/>
      <x:c r="Y150" s="32" t="str">
        <x:v>2026-07-12</x:v>
      </x:c>
    </x:row>
    <x:row r="151">
      <x:c r="A151" s="32" t="str">
        <x:v>05 Data Infrastructure</x:v>
      </x:c>
      <x:c r="B151" s="32" t="str">
        <x:v>Databases</x:v>
      </x:c>
      <x:c r="C151" s="32" t="str">
        <x:v>Relational Databases</x:v>
      </x:c>
      <x:c r="D151" s="32" t="str">
        <x:v>Workload</x:v>
      </x:c>
      <x:c r="E151" s="32" t="str">
        <x:v>MySQL</x:v>
      </x:c>
      <x:c r="F151" s="32" t="str">
        <x:v>Managed MySQL</x:v>
      </x:c>
      <x:c r="G151" s="32" t="str">
        <x:v>Operate MySQL databases with managed backups, patching and high availability.</x:v>
      </x:c>
      <x:c r="H151" s="32" t="str">
        <x:v>Choose this capability when you need to operate mysql databases with managed backups, patching and high availability.</x:v>
      </x:c>
      <x:c r="I151" s="32" t="str">
        <x:v>What data model, engine compatibility, scale, availability and operational control do you need?</x:v>
      </x:c>
      <x:c r="J151" s="32" t="str">
        <x:v>Managed simplicity and performance versus portability, data gravity and long-term cost.</x:v>
      </x:c>
      <x:c r="K151" s="32" t="n">
        <x:v>3</x:v>
      </x:c>
      <x:c r="L151" s="32" t="str">
        <x:v>Moderate</x:v>
      </x:c>
      <x:c r="M151" s="32" t="str">
        <x:v>1–3 weeks</x:v>
      </x:c>
      <x:c r="N151" s="32" t="str">
        <x:v>Low</x:v>
      </x:c>
      <x:c r="O151" s="32" t="str">
        <x:v>Amazon RDS for MySQL
Amazon Aurora MySQL</x:v>
      </x:c>
      <x:c r="P151" s="32" t="str">
        <x:v>Azure Database for MySQL</x:v>
      </x:c>
      <x:c r="Q151" s="32" t="str">
        <x:v>Cloud SQL for MySQL</x:v>
      </x:c>
      <x:c r="R151" s="32" t="n">
        <x:f>'Provider Ratings'!AD151</x:f>
        <x:v>4.01</x:v>
      </x:c>
      <x:c r="S151" s="32" t="n">
        <x:f>'Provider Ratings'!AE151</x:f>
        <x:v>4.18</x:v>
      </x:c>
      <x:c r="T151" s="32" t="n">
        <x:f>'Provider Ratings'!AF151</x:f>
        <x:v>4.09</x:v>
      </x:c>
      <x:c r="U151" s="32" t="str">
        <x:f>'Provider Ratings'!AG151</x:f>
        <x:v>Context-dependent tie</x:v>
      </x:c>
      <x:c r="V151" s="32" t="str">
        <x:f>'Provider Ratings'!AH151</x:f>
        <x:v>Scores are close: use ecosystem, data gravity, region, skills, commercials and proof-of-value results to decide.</x:v>
      </x:c>
      <x:c r="W151" s="32" t="str">
        <x:v>Exact</x:v>
      </x:c>
      <x:c r="X151" s="32"/>
      <x:c r="Y151" s="32" t="str">
        <x:v>2026-07-12</x:v>
      </x:c>
    </x:row>
    <x:row r="152">
      <x:c r="A152" s="32" t="str">
        <x:v>05 Data Infrastructure</x:v>
      </x:c>
      <x:c r="B152" s="32" t="str">
        <x:v>Databases</x:v>
      </x:c>
      <x:c r="C152" s="32" t="str">
        <x:v>Relational Databases</x:v>
      </x:c>
      <x:c r="D152" s="32" t="str">
        <x:v>Workload</x:v>
      </x:c>
      <x:c r="E152" s="32" t="str">
        <x:v>Oracle</x:v>
      </x:c>
      <x:c r="F152" s="32" t="str">
        <x:v>Managed Oracle database</x:v>
      </x:c>
      <x:c r="G152" s="32" t="str">
        <x:v>Operate Oracle database workloads through managed or cloud-hosted services.</x:v>
      </x:c>
      <x:c r="H152" s="32" t="str">
        <x:v>Choose this capability when you need to operate oracle database workloads through managed or cloud-hosted services.</x:v>
      </x:c>
      <x:c r="I152" s="32" t="str">
        <x:v>What data model, engine compatibility, scale, availability and operational control do you need?</x:v>
      </x:c>
      <x:c r="J152" s="32" t="str">
        <x:v>Managed simplicity and performance versus portability, data gravity and long-term cost.</x:v>
      </x:c>
      <x:c r="K152" s="32" t="n">
        <x:v>3</x:v>
      </x:c>
      <x:c r="L152" s="32" t="str">
        <x:v>Moderate</x:v>
      </x:c>
      <x:c r="M152" s="32" t="str">
        <x:v>1–3 weeks</x:v>
      </x:c>
      <x:c r="N152" s="32" t="str">
        <x:v>Medium</x:v>
      </x:c>
      <x:c r="O152" s="32" t="str">
        <x:v>Amazon RDS for Oracle
Oracle Database@AWS</x:v>
      </x:c>
      <x:c r="P152" s="32" t="str">
        <x:v>Oracle Database@Azure
Oracle on Azure VMs</x:v>
      </x:c>
      <x:c r="Q152" s="32" t="str">
        <x:v>Oracle Database@Google Cloud
Oracle on Google Cloud Compute</x:v>
      </x:c>
      <x:c r="R152" s="32" t="n">
        <x:f>'Provider Ratings'!AD152</x:f>
        <x:v>3.88</x:v>
      </x:c>
      <x:c r="S152" s="32" t="n">
        <x:f>'Provider Ratings'!AE152</x:f>
        <x:v>3.92</x:v>
      </x:c>
      <x:c r="T152" s="32" t="n">
        <x:f>'Provider Ratings'!AF152</x:f>
        <x:v>3.85</x:v>
      </x:c>
      <x:c r="U152" s="32" t="str">
        <x:f>'Provider Ratings'!AG152</x:f>
        <x:v>Context-dependent tie</x:v>
      </x:c>
      <x:c r="V152" s="32" t="str">
        <x:f>'Provider Ratings'!AH152</x:f>
        <x:v>Scores are close: use ecosystem, data gravity, region, skills, commercials and proof-of-value results to decide.</x:v>
      </x:c>
      <x:c r="W152" s="32" t="str">
        <x:v>Close</x:v>
      </x:c>
      <x:c r="X152" s="32"/>
      <x:c r="Y152" s="32" t="str">
        <x:v>2026-07-12</x:v>
      </x:c>
    </x:row>
    <x:row r="153">
      <x:c r="A153" s="32" t="str">
        <x:v>05 Data Infrastructure</x:v>
      </x:c>
      <x:c r="B153" s="32" t="str">
        <x:v>Databases</x:v>
      </x:c>
      <x:c r="C153" s="32" t="str">
        <x:v>Relational Databases</x:v>
      </x:c>
      <x:c r="D153" s="32" t="str">
        <x:v>Workload</x:v>
      </x:c>
      <x:c r="E153" s="32" t="str">
        <x:v>DB2</x:v>
      </x:c>
      <x:c r="F153" s="32" t="str">
        <x:v>Managed IBM Db2 database</x:v>
      </x:c>
      <x:c r="G153" s="32" t="str">
        <x:v>Operate IBM Db2 databases with managed infrastructure capabilities.</x:v>
      </x:c>
      <x:c r="H153" s="32" t="str">
        <x:v>Choose this capability when you need to operate ibm db2 databases with managed infrastructure capabilities.</x:v>
      </x:c>
      <x:c r="I153" s="32" t="str">
        <x:v>What data model, engine compatibility, scale, availability and operational control do you need?</x:v>
      </x:c>
      <x:c r="J153" s="32" t="str">
        <x:v>Managed simplicity and performance versus portability, data gravity and long-term cost.</x:v>
      </x:c>
      <x:c r="K153" s="32" t="n">
        <x:v>3</x:v>
      </x:c>
      <x:c r="L153" s="32" t="str">
        <x:v>Moderate</x:v>
      </x:c>
      <x:c r="M153" s="32" t="str">
        <x:v>1–3 weeks</x:v>
      </x:c>
      <x:c r="N153" s="32" t="str">
        <x:v>Medium</x:v>
      </x:c>
      <x:c r="O153" s="32" t="str">
        <x:v>Amazon RDS for Db2</x:v>
      </x:c>
      <x:c r="P153" s="32" t="str">
        <x:v>IBM Db2 on Azure</x:v>
      </x:c>
      <x:c r="Q153" s="32" t="str">
        <x:v>IBM Db2 on Google Cloud</x:v>
      </x:c>
      <x:c r="R153" s="32" t="n">
        <x:f>'Provider Ratings'!AD153</x:f>
        <x:v>3.8</x:v>
      </x:c>
      <x:c r="S153" s="32" t="n">
        <x:f>'Provider Ratings'!AE153</x:f>
        <x:v>3.82</x:v>
      </x:c>
      <x:c r="T153" s="32" t="n">
        <x:f>'Provider Ratings'!AF153</x:f>
        <x:v>3.77</x:v>
      </x:c>
      <x:c r="U153" s="32" t="str">
        <x:f>'Provider Ratings'!AG153</x:f>
        <x:v>Context-dependent tie</x:v>
      </x:c>
      <x:c r="V153" s="32" t="str">
        <x:f>'Provider Ratings'!AH153</x:f>
        <x:v>Scores are close: use ecosystem, data gravity, region, skills, commercials and proof-of-value results to decide.</x:v>
      </x:c>
      <x:c r="W153" s="32" t="str">
        <x:v>Partial</x:v>
      </x:c>
      <x:c r="X153" s="32"/>
      <x:c r="Y153" s="32" t="str">
        <x:v>2026-07-12</x:v>
      </x:c>
    </x:row>
    <x:row r="154">
      <x:c r="A154" s="32" t="str">
        <x:v>05 Data Infrastructure</x:v>
      </x:c>
      <x:c r="B154" s="32" t="str">
        <x:v>Databases</x:v>
      </x:c>
      <x:c r="C154" s="32" t="str">
        <x:v>NoSQL Databases</x:v>
      </x:c>
      <x:c r="D154" s="32" t="str">
        <x:v>Workload</x:v>
      </x:c>
      <x:c r="E154" s="32" t="str">
        <x:v>Key-value NoSQL</x:v>
      </x:c>
      <x:c r="F154" s="32" t="str">
        <x:v>Managed key-value database</x:v>
      </x:c>
      <x:c r="G154" s="32" t="str">
        <x:v>Store and retrieve low-latency key-value data at large scale.</x:v>
      </x:c>
      <x:c r="H154" s="32" t="str">
        <x:v>Choose this capability when you need to store and retrieve low-latency key-value data at large scale.</x:v>
      </x:c>
      <x:c r="I154" s="32" t="str">
        <x:v>Which access pattern matters most: key-value, document, wide-column, consistency or global distribution?</x:v>
      </x:c>
      <x:c r="J154" s="32" t="str">
        <x:v>Managed simplicity and performance versus portability, data gravity and long-term cost.</x:v>
      </x:c>
      <x:c r="K154" s="32" t="n">
        <x:v>3</x:v>
      </x:c>
      <x:c r="L154" s="32" t="str">
        <x:v>Moderate</x:v>
      </x:c>
      <x:c r="M154" s="32" t="str">
        <x:v>1–3 weeks</x:v>
      </x:c>
      <x:c r="N154" s="32" t="str">
        <x:v>Medium</x:v>
      </x:c>
      <x:c r="O154" s="32" t="str">
        <x:v>Amazon DynamoDB</x:v>
      </x:c>
      <x:c r="P154" s="32" t="str">
        <x:v>Azure Cosmos DB</x:v>
      </x:c>
      <x:c r="Q154" s="32" t="str">
        <x:v>Bigtable
Firestore</x:v>
      </x:c>
      <x:c r="R154" s="32" t="n">
        <x:f>'Provider Ratings'!AD154</x:f>
        <x:v>3.88</x:v>
      </x:c>
      <x:c r="S154" s="32" t="n">
        <x:f>'Provider Ratings'!AE154</x:f>
        <x:v>3.98</x:v>
      </x:c>
      <x:c r="T154" s="32" t="n">
        <x:f>'Provider Ratings'!AF154</x:f>
        <x:v>3.85</x:v>
      </x:c>
      <x:c r="U154" s="32" t="str">
        <x:f>'Provider Ratings'!AG154</x:f>
        <x:v>Context-dependent tie</x:v>
      </x:c>
      <x:c r="V154" s="32" t="str">
        <x:f>'Provider Ratings'!AH154</x:f>
        <x:v>Scores are close: use ecosystem, data gravity, region, skills, commercials and proof-of-value results to decide.</x:v>
      </x:c>
      <x:c r="W154" s="32" t="str">
        <x:v>Close</x:v>
      </x:c>
      <x:c r="X154" s="32"/>
      <x:c r="Y154" s="32" t="str">
        <x:v>2026-07-12</x:v>
      </x:c>
    </x:row>
    <x:row r="155">
      <x:c r="A155" s="32" t="str">
        <x:v>05 Data Infrastructure</x:v>
      </x:c>
      <x:c r="B155" s="32" t="str">
        <x:v>Databases</x:v>
      </x:c>
      <x:c r="C155" s="32" t="str">
        <x:v>NoSQL Databases</x:v>
      </x:c>
      <x:c r="D155" s="32" t="str">
        <x:v>Workload</x:v>
      </x:c>
      <x:c r="E155" s="32" t="str">
        <x:v>Document database</x:v>
      </x:c>
      <x:c r="F155" s="32" t="str">
        <x:v>Managed document database</x:v>
      </x:c>
      <x:c r="G155" s="32" t="str">
        <x:v>Store semi-structured JSON-like documents with flexible schemas.</x:v>
      </x:c>
      <x:c r="H155" s="32" t="str">
        <x:v>Choose this capability when you need to store semi-structured json-like documents with flexible schemas.</x:v>
      </x:c>
      <x:c r="I155" s="32" t="str">
        <x:v>Which access pattern matters most: key-value, document, wide-column, consistency or global distribution?</x:v>
      </x:c>
      <x:c r="J155" s="32" t="str">
        <x:v>Managed simplicity and performance versus portability, data gravity and long-term cost.</x:v>
      </x:c>
      <x:c r="K155" s="32" t="n">
        <x:v>3</x:v>
      </x:c>
      <x:c r="L155" s="32" t="str">
        <x:v>Moderate</x:v>
      </x:c>
      <x:c r="M155" s="32" t="str">
        <x:v>1–3 weeks</x:v>
      </x:c>
      <x:c r="N155" s="32" t="str">
        <x:v>Medium</x:v>
      </x:c>
      <x:c r="O155" s="32" t="str">
        <x:v>Amazon DocumentDB
Amazon DynamoDB</x:v>
      </x:c>
      <x:c r="P155" s="32" t="str">
        <x:v>Azure Cosmos DB
Azure DocumentDB</x:v>
      </x:c>
      <x:c r="Q155" s="32" t="str">
        <x:v>Firestore in Native mode
Firestore with MongoDB compatibility</x:v>
      </x:c>
      <x:c r="R155" s="32" t="n">
        <x:f>'Provider Ratings'!AD155</x:f>
        <x:v>3.8</x:v>
      </x:c>
      <x:c r="S155" s="32" t="n">
        <x:f>'Provider Ratings'!AE155</x:f>
        <x:v>3.89</x:v>
      </x:c>
      <x:c r="T155" s="32" t="n">
        <x:f>'Provider Ratings'!AF155</x:f>
        <x:v>3.85</x:v>
      </x:c>
      <x:c r="U155" s="32" t="str">
        <x:f>'Provider Ratings'!AG155</x:f>
        <x:v>Context-dependent tie</x:v>
      </x:c>
      <x:c r="V155" s="32" t="str">
        <x:f>'Provider Ratings'!AH155</x:f>
        <x:v>Scores are close: use ecosystem, data gravity, region, skills, commercials and proof-of-value results to decide.</x:v>
      </x:c>
      <x:c r="W155" s="32" t="str">
        <x:v>Close</x:v>
      </x:c>
      <x:c r="X155" s="32"/>
      <x:c r="Y155" s="32" t="str">
        <x:v>2026-07-12</x:v>
      </x:c>
    </x:row>
    <x:row r="156">
      <x:c r="A156" s="32" t="str">
        <x:v>05 Data Infrastructure</x:v>
      </x:c>
      <x:c r="B156" s="32" t="str">
        <x:v>Databases</x:v>
      </x:c>
      <x:c r="C156" s="32" t="str">
        <x:v>NoSQL Databases</x:v>
      </x:c>
      <x:c r="D156" s="32" t="str">
        <x:v>Workload</x:v>
      </x:c>
      <x:c r="E156" s="32" t="str">
        <x:v>MongoDB compatibility</x:v>
      </x:c>
      <x:c r="F156" s="32" t="str">
        <x:v>MongoDB-compatible managed database</x:v>
      </x:c>
      <x:c r="G156" s="32" t="str">
        <x:v>Run document workloads using MongoDB-compatible interfaces.</x:v>
      </x:c>
      <x:c r="H156" s="32" t="str">
        <x:v>Choose this capability when you need to run document workloads using mongodb-compatible interfaces.</x:v>
      </x:c>
      <x:c r="I156" s="32" t="str">
        <x:v>Which access pattern matters most: key-value, document, wide-column, consistency or global distribution?</x:v>
      </x:c>
      <x:c r="J156" s="32" t="str">
        <x:v>Managed simplicity and performance versus portability, data gravity and long-term cost.</x:v>
      </x:c>
      <x:c r="K156" s="32" t="n">
        <x:v>3</x:v>
      </x:c>
      <x:c r="L156" s="32" t="str">
        <x:v>Moderate</x:v>
      </x:c>
      <x:c r="M156" s="32" t="str">
        <x:v>1–3 weeks</x:v>
      </x:c>
      <x:c r="N156" s="32" t="str">
        <x:v>Medium</x:v>
      </x:c>
      <x:c r="O156" s="32" t="str">
        <x:v>Amazon DocumentDB</x:v>
      </x:c>
      <x:c r="P156" s="32" t="str">
        <x:v>Azure Cosmos DB for MongoDB
Azure DocumentDB</x:v>
      </x:c>
      <x:c r="Q156" s="32" t="str">
        <x:v>Firestore with MongoDB compatibility</x:v>
      </x:c>
      <x:c r="R156" s="32" t="n">
        <x:f>'Provider Ratings'!AD156</x:f>
        <x:v>3.88</x:v>
      </x:c>
      <x:c r="S156" s="32" t="n">
        <x:f>'Provider Ratings'!AE156</x:f>
        <x:v>3.89</x:v>
      </x:c>
      <x:c r="T156" s="32" t="n">
        <x:f>'Provider Ratings'!AF156</x:f>
        <x:v>3.94</x:v>
      </x:c>
      <x:c r="U156" s="32" t="str">
        <x:f>'Provider Ratings'!AG156</x:f>
        <x:v>Context-dependent tie</x:v>
      </x:c>
      <x:c r="V156" s="32" t="str">
        <x:f>'Provider Ratings'!AH156</x:f>
        <x:v>Scores are close: use ecosystem, data gravity, region, skills, commercials and proof-of-value results to decide.</x:v>
      </x:c>
      <x:c r="W156" s="32" t="str">
        <x:v>Close</x:v>
      </x:c>
      <x:c r="X156" s="32"/>
      <x:c r="Y156" s="32" t="str">
        <x:v>2026-07-12</x:v>
      </x:c>
    </x:row>
    <x:row r="157">
      <x:c r="A157" s="32" t="str">
        <x:v>05 Data Infrastructure</x:v>
      </x:c>
      <x:c r="B157" s="32" t="str">
        <x:v>Databases</x:v>
      </x:c>
      <x:c r="C157" s="32" t="str">
        <x:v>NoSQL Databases</x:v>
      </x:c>
      <x:c r="D157" s="32" t="str">
        <x:v>Workload</x:v>
      </x:c>
      <x:c r="E157" s="32" t="str">
        <x:v>Wide-column database</x:v>
      </x:c>
      <x:c r="F157" s="32" t="str">
        <x:v>Managed wide-column database</x:v>
      </x:c>
      <x:c r="G157" s="32" t="str">
        <x:v>Store massive sparse datasets using a wide-column data model.</x:v>
      </x:c>
      <x:c r="H157" s="32" t="str">
        <x:v>Choose this capability when you need to store massive sparse datasets using a wide-column data model.</x:v>
      </x:c>
      <x:c r="I157" s="32" t="str">
        <x:v>Which access pattern matters most: key-value, document, wide-column, consistency or global distribution?</x:v>
      </x:c>
      <x:c r="J157" s="32" t="str">
        <x:v>Managed simplicity and performance versus portability, data gravity and long-term cost.</x:v>
      </x:c>
      <x:c r="K157" s="32" t="n">
        <x:v>3</x:v>
      </x:c>
      <x:c r="L157" s="32" t="str">
        <x:v>Moderate</x:v>
      </x:c>
      <x:c r="M157" s="32" t="str">
        <x:v>1–3 weeks</x:v>
      </x:c>
      <x:c r="N157" s="32" t="str">
        <x:v>Medium</x:v>
      </x:c>
      <x:c r="O157" s="32" t="str">
        <x:v>Amazon Keyspaces for Apache Cassandra
Amazon DynamoDB</x:v>
      </x:c>
      <x:c r="P157" s="32" t="str">
        <x:v>Azure Managed Instance for Apache Cassandra
Azure Cosmos DB</x:v>
      </x:c>
      <x:c r="Q157" s="32" t="str">
        <x:v>Bigtable</x:v>
      </x:c>
      <x:c r="R157" s="32" t="n">
        <x:f>'Provider Ratings'!AD157</x:f>
        <x:v>3.8</x:v>
      </x:c>
      <x:c r="S157" s="32" t="n">
        <x:f>'Provider Ratings'!AE157</x:f>
        <x:v>3.89</x:v>
      </x:c>
      <x:c r="T157" s="32" t="n">
        <x:f>'Provider Ratings'!AF157</x:f>
        <x:v>3.94</x:v>
      </x:c>
      <x:c r="U157" s="32" t="str">
        <x:f>'Provider Ratings'!AG157</x:f>
        <x:v>Context-dependent tie</x:v>
      </x:c>
      <x:c r="V157" s="32" t="str">
        <x:f>'Provider Ratings'!AH157</x:f>
        <x:v>Scores are close: use ecosystem, data gravity, region, skills, commercials and proof-of-value results to decide.</x:v>
      </x:c>
      <x:c r="W157" s="32" t="str">
        <x:v>Close</x:v>
      </x:c>
      <x:c r="X157" s="32"/>
      <x:c r="Y157" s="32" t="str">
        <x:v>2026-07-12</x:v>
      </x:c>
    </x:row>
    <x:row r="158">
      <x:c r="A158" s="32" t="str">
        <x:v>05 Data Infrastructure</x:v>
      </x:c>
      <x:c r="B158" s="32" t="str">
        <x:v>Databases</x:v>
      </x:c>
      <x:c r="C158" s="32" t="str">
        <x:v>Specialised Databases</x:v>
      </x:c>
      <x:c r="D158" s="32" t="str">
        <x:v>Platform</x:v>
      </x:c>
      <x:c r="E158" s="32" t="str">
        <x:v>Graph database</x:v>
      </x:c>
      <x:c r="F158" s="32" t="str">
        <x:v>Managed graph database</x:v>
      </x:c>
      <x:c r="G158" s="32" t="str">
        <x:v>Store and query highly connected data using graph models and traversals.</x:v>
      </x:c>
      <x:c r="H158" s="32" t="str">
        <x:v>Choose this capability when you need to store and query highly connected data using graph models and traversals.</x:v>
      </x:c>
      <x:c r="I158" s="32" t="str">
        <x:v>What business outcome, scale, control, integration and operating model justify choosing managed graph database?</x:v>
      </x:c>
      <x:c r="J158" s="32" t="str">
        <x:v>Managed simplicity and performance versus portability, data gravity and long-term cost.</x:v>
      </x:c>
      <x:c r="K158" s="32" t="n">
        <x:v>3</x:v>
      </x:c>
      <x:c r="L158" s="32" t="str">
        <x:v>Moderate</x:v>
      </x:c>
      <x:c r="M158" s="32" t="str">
        <x:v>1–3 weeks</x:v>
      </x:c>
      <x:c r="N158" s="32" t="str">
        <x:v>Medium</x:v>
      </x:c>
      <x:c r="O158" s="32" t="str">
        <x:v>Amazon Neptune</x:v>
      </x:c>
      <x:c r="P158" s="32" t="str">
        <x:v>Azure Cosmos DB for Apache Gremlin</x:v>
      </x:c>
      <x:c r="Q158" s="32" t="str">
        <x:v>Spanner Graph</x:v>
      </x:c>
      <x:c r="R158" s="32" t="n">
        <x:f>'Provider Ratings'!AD158</x:f>
        <x:v>3.84</x:v>
      </x:c>
      <x:c r="S158" s="32" t="n">
        <x:f>'Provider Ratings'!AE158</x:f>
        <x:v>3.89</x:v>
      </x:c>
      <x:c r="T158" s="32" t="n">
        <x:f>'Provider Ratings'!AF158</x:f>
        <x:v>3.9</x:v>
      </x:c>
      <x:c r="U158" s="32" t="str">
        <x:f>'Provider Ratings'!AG158</x:f>
        <x:v>Context-dependent tie</x:v>
      </x:c>
      <x:c r="V158" s="32" t="str">
        <x:f>'Provider Ratings'!AH158</x:f>
        <x:v>Scores are close: use ecosystem, data gravity, region, skills, commercials and proof-of-value results to decide.</x:v>
      </x:c>
      <x:c r="W158" s="32" t="str">
        <x:v>Close</x:v>
      </x:c>
      <x:c r="X158" s="32"/>
      <x:c r="Y158" s="32" t="str">
        <x:v>2026-07-12</x:v>
      </x:c>
    </x:row>
    <x:row r="159">
      <x:c r="A159" s="32" t="str">
        <x:v>05 Data Infrastructure</x:v>
      </x:c>
      <x:c r="B159" s="32" t="str">
        <x:v>Databases</x:v>
      </x:c>
      <x:c r="C159" s="32" t="str">
        <x:v>Specialised Databases</x:v>
      </x:c>
      <x:c r="D159" s="32" t="str">
        <x:v>Workload</x:v>
      </x:c>
      <x:c r="E159" s="32" t="str">
        <x:v>Time-series database</x:v>
      </x:c>
      <x:c r="F159" s="32" t="str">
        <x:v>Managed time-series database</x:v>
      </x:c>
      <x:c r="G159" s="32" t="str">
        <x:v>Store, query and analyse timestamped operational or IoT data.</x:v>
      </x:c>
      <x:c r="H159" s="32" t="str">
        <x:v>Choose this capability when you need to store, query and analyse timestamped operational or iot data.</x:v>
      </x:c>
      <x:c r="I159" s="32" t="str">
        <x:v>What business outcome, scale, control, integration and operating model justify choosing managed time-series database?</x:v>
      </x:c>
      <x:c r="J159" s="32" t="str">
        <x:v>Managed simplicity and performance versus portability, data gravity and long-term cost.</x:v>
      </x:c>
      <x:c r="K159" s="32" t="n">
        <x:v>3</x:v>
      </x:c>
      <x:c r="L159" s="32" t="str">
        <x:v>Moderate</x:v>
      </x:c>
      <x:c r="M159" s="32" t="str">
        <x:v>1–3 weeks</x:v>
      </x:c>
      <x:c r="N159" s="32" t="str">
        <x:v>Medium</x:v>
      </x:c>
      <x:c r="O159" s="32" t="str">
        <x:v>Amazon Timestream</x:v>
      </x:c>
      <x:c r="P159" s="32" t="str">
        <x:v>Azure Data Explorer</x:v>
      </x:c>
      <x:c r="Q159" s="32" t="str">
        <x:v>Bigtable
BigQuery</x:v>
      </x:c>
      <x:c r="R159" s="32" t="n">
        <x:f>'Provider Ratings'!AD159</x:f>
        <x:v>3.7</x:v>
      </x:c>
      <x:c r="S159" s="32" t="n">
        <x:f>'Provider Ratings'!AE159</x:f>
        <x:v>3.74</x:v>
      </x:c>
      <x:c r="T159" s="32" t="n">
        <x:f>'Provider Ratings'!AF159</x:f>
        <x:v>3.68</x:v>
      </x:c>
      <x:c r="U159" s="32" t="str">
        <x:f>'Provider Ratings'!AG159</x:f>
        <x:v>Context-dependent tie</x:v>
      </x:c>
      <x:c r="V159" s="32" t="str">
        <x:f>'Provider Ratings'!AH159</x:f>
        <x:v>Scores are close: use ecosystem, data gravity, region, skills, commercials and proof-of-value results to decide.</x:v>
      </x:c>
      <x:c r="W159" s="32" t="str">
        <x:v>Partial</x:v>
      </x:c>
      <x:c r="X159" s="32"/>
      <x:c r="Y159" s="32" t="str">
        <x:v>2026-07-12</x:v>
      </x:c>
    </x:row>
    <x:row r="160">
      <x:c r="A160" s="32" t="str">
        <x:v>05 Data Infrastructure</x:v>
      </x:c>
      <x:c r="B160" s="32" t="str">
        <x:v>Databases</x:v>
      </x:c>
      <x:c r="C160" s="32" t="str">
        <x:v>Caching &amp; In-Memory Data</x:v>
      </x:c>
      <x:c r="D160" s="32" t="str">
        <x:v>Component</x:v>
      </x:c>
      <x:c r="E160" s="32" t="str">
        <x:v>In-memory cache</x:v>
      </x:c>
      <x:c r="F160" s="32" t="str">
        <x:v>Managed Redis or Valkey cache</x:v>
      </x:c>
      <x:c r="G160" s="32" t="str">
        <x:v>Provide low-latency in-memory caching and data structures.</x:v>
      </x:c>
      <x:c r="H160" s="32" t="str">
        <x:v>Choose this capability when you need to provide low-latency in-memory caching and data structures.</x:v>
      </x:c>
      <x:c r="I160" s="32" t="str">
        <x:v>Is this transient acceleration, durable in-memory data, or a messaging/session-state requirement?</x:v>
      </x:c>
      <x:c r="J160" s="32" t="str">
        <x:v>Managed simplicity and performance versus portability, data gravity and long-term cost.</x:v>
      </x:c>
      <x:c r="K160" s="32" t="n">
        <x:v>4</x:v>
      </x:c>
      <x:c r="L160" s="32" t="str">
        <x:v>Easy</x:v>
      </x:c>
      <x:c r="M160" s="32" t="str">
        <x:v>1–3 days</x:v>
      </x:c>
      <x:c r="N160" s="32" t="str">
        <x:v>Medium</x:v>
      </x:c>
      <x:c r="O160" s="32" t="str">
        <x:v>Amazon ElastiCache
Amazon MemoryDB</x:v>
      </x:c>
      <x:c r="P160" s="32" t="str">
        <x:v>Azure Managed Redis</x:v>
      </x:c>
      <x:c r="Q160" s="32" t="str">
        <x:v>Memorystore for Redis
Memorystore for Redis Cluster
Memorystore for Valkey</x:v>
      </x:c>
      <x:c r="R160" s="32" t="n">
        <x:f>'Provider Ratings'!AD160</x:f>
        <x:v>4</x:v>
      </x:c>
      <x:c r="S160" s="32" t="n">
        <x:f>'Provider Ratings'!AE160</x:f>
        <x:v>4.13</x:v>
      </x:c>
      <x:c r="T160" s="32" t="n">
        <x:f>'Provider Ratings'!AF160</x:f>
        <x:v>4.05</x:v>
      </x:c>
      <x:c r="U160" s="32" t="str">
        <x:f>'Provider Ratings'!AG160</x:f>
        <x:v>Context-dependent tie</x:v>
      </x:c>
      <x:c r="V160" s="32" t="str">
        <x:f>'Provider Ratings'!AH160</x:f>
        <x:v>Scores are close: use ecosystem, data gravity, region, skills, commercials and proof-of-value results to decide.</x:v>
      </x:c>
      <x:c r="W160" s="32" t="str">
        <x:v>Close</x:v>
      </x:c>
      <x:c r="X160" s="32"/>
      <x:c r="Y160" s="32" t="str">
        <x:v>2026-07-12</x:v>
      </x:c>
    </x:row>
    <x:row r="161">
      <x:c r="A161" s="32" t="str">
        <x:v>05 Data Infrastructure</x:v>
      </x:c>
      <x:c r="B161" s="32" t="str">
        <x:v>Databases</x:v>
      </x:c>
      <x:c r="C161" s="32" t="str">
        <x:v>Caching &amp; In-Memory Data</x:v>
      </x:c>
      <x:c r="D161" s="32" t="str">
        <x:v>Component</x:v>
      </x:c>
      <x:c r="E161" s="32" t="str">
        <x:v>Memcached</x:v>
      </x:c>
      <x:c r="F161" s="32" t="str">
        <x:v>Managed Memcached</x:v>
      </x:c>
      <x:c r="G161" s="32" t="str">
        <x:v>Provide a managed distributed memory-caching service compatible with Memcached.</x:v>
      </x:c>
      <x:c r="H161" s="32" t="str">
        <x:v>Choose this capability when you need to provide a managed distributed memory-caching service compatible with memcached.</x:v>
      </x:c>
      <x:c r="I161" s="32" t="str">
        <x:v>Is this transient acceleration, durable in-memory data, or a messaging/session-state requirement?</x:v>
      </x:c>
      <x:c r="J161" s="32" t="str">
        <x:v>Managed simplicity and performance versus portability, data gravity and long-term cost.</x:v>
      </x:c>
      <x:c r="K161" s="32" t="n">
        <x:v>4</x:v>
      </x:c>
      <x:c r="L161" s="32" t="str">
        <x:v>Easy</x:v>
      </x:c>
      <x:c r="M161" s="32" t="str">
        <x:v>1–3 days</x:v>
      </x:c>
      <x:c r="N161" s="32" t="str">
        <x:v>Medium</x:v>
      </x:c>
      <x:c r="O161" s="32" t="str">
        <x:v>Amazon ElastiCache for Memcached</x:v>
      </x:c>
      <x:c r="P161" s="32" t="str">
        <x:v>Azure Managed Redis as alternative</x:v>
      </x:c>
      <x:c r="Q161" s="32" t="str">
        <x:v>Memorystore for Memcached</x:v>
      </x:c>
      <x:c r="R161" s="32" t="n">
        <x:f>'Provider Ratings'!AD161</x:f>
        <x:v>3.9</x:v>
      </x:c>
      <x:c r="S161" s="32" t="n">
        <x:f>'Provider Ratings'!AE161</x:f>
        <x:v>3.49</x:v>
      </x:c>
      <x:c r="T161" s="32" t="n">
        <x:f>'Provider Ratings'!AF161</x:f>
        <x:v>3.97</x:v>
      </x:c>
      <x:c r="U161" s="32" t="str">
        <x:f>'Provider Ratings'!AG161</x:f>
        <x:v>Context-dependent tie</x:v>
      </x:c>
      <x:c r="V161" s="32" t="str">
        <x:f>'Provider Ratings'!AH161</x:f>
        <x:v>Scores are close: use ecosystem, data gravity, region, skills, commercials and proof-of-value results to decide.</x:v>
      </x:c>
      <x:c r="W161" s="32" t="str">
        <x:v>Partial</x:v>
      </x:c>
      <x:c r="X161" s="32"/>
      <x:c r="Y161" s="32" t="str">
        <x:v>2026-07-12</x:v>
      </x:c>
    </x:row>
    <x:row r="162">
      <x:c r="A162" s="32" t="str">
        <x:v>05 Data Infrastructure</x:v>
      </x:c>
      <x:c r="B162" s="32" t="str">
        <x:v>Databases</x:v>
      </x:c>
      <x:c r="C162" s="32" t="str">
        <x:v>Specialised Databases</x:v>
      </x:c>
      <x:c r="D162" s="32" t="str">
        <x:v>Workload</x:v>
      </x:c>
      <x:c r="E162" s="32" t="str">
        <x:v>Ledger</x:v>
      </x:c>
      <x:c r="F162" s="32" t="str">
        <x:v>Immutable ledger database</x:v>
      </x:c>
      <x:c r="G162" s="32" t="str">
        <x:v>Maintain cryptographically verifiable or tamper-evident transaction records.</x:v>
      </x:c>
      <x:c r="H162" s="32" t="str">
        <x:v>Choose this capability when you need to maintain cryptographically verifiable or tamper-evident transaction records.</x:v>
      </x:c>
      <x:c r="I162" s="32" t="str">
        <x:v>What business outcome, scale, control, integration and operating model justify choosing immutable ledger database?</x:v>
      </x:c>
      <x:c r="J162" s="32" t="str">
        <x:v>Managed simplicity and performance versus portability, data gravity and long-term cost.</x:v>
      </x:c>
      <x:c r="K162" s="32" t="n">
        <x:v>3</x:v>
      </x:c>
      <x:c r="L162" s="32" t="str">
        <x:v>Moderate</x:v>
      </x:c>
      <x:c r="M162" s="32" t="str">
        <x:v>1–3 weeks</x:v>
      </x:c>
      <x:c r="N162" s="32" t="str">
        <x:v>Medium</x:v>
      </x:c>
      <x:c r="O162" s="32" t="str">
        <x:v>Amazon QLDB legacy / Amazon Managed Blockchain</x:v>
      </x:c>
      <x:c r="P162" s="32" t="str">
        <x:v>Azure Confidential Ledger</x:v>
      </x:c>
      <x:c r="Q162" s="32" t="str">
        <x:v>Blockchain Node Engine / partner ledgers</x:v>
      </x:c>
      <x:c r="R162" s="32" t="n">
        <x:f>'Provider Ratings'!AD162</x:f>
        <x:v>3.26</x:v>
      </x:c>
      <x:c r="S162" s="32" t="n">
        <x:f>'Provider Ratings'!AE162</x:f>
        <x:v>3.74</x:v>
      </x:c>
      <x:c r="T162" s="32" t="n">
        <x:f>'Provider Ratings'!AF162</x:f>
        <x:v>3.31</x:v>
      </x:c>
      <x:c r="U162" s="32" t="str">
        <x:f>'Provider Ratings'!AG162</x:f>
        <x:v>Azure</x:v>
      </x:c>
      <x:c r="V162" s="32" t="str">
        <x:f>'Provider Ratings'!AH162</x:f>
        <x:v>Start with Azure when Microsoft identity, security, data, productivity or hybrid integration reduces delivery effort.</x:v>
      </x:c>
      <x:c r="W162" s="32" t="str">
        <x:v>Partial</x:v>
      </x:c>
      <x:c r="X162" s="32"/>
      <x:c r="Y162" s="32" t="str">
        <x:v>2026-07-12</x:v>
      </x:c>
    </x:row>
    <x:row r="163">
      <x:c r="A163" s="32" t="str">
        <x:v>05 Data Infrastructure</x:v>
      </x:c>
      <x:c r="B163" s="32" t="str">
        <x:v>Databases</x:v>
      </x:c>
      <x:c r="C163" s="32" t="str">
        <x:v>Specialised Databases</x:v>
      </x:c>
      <x:c r="D163" s="32" t="str">
        <x:v>Workload</x:v>
      </x:c>
      <x:c r="E163" s="32" t="str">
        <x:v>Blockchain</x:v>
      </x:c>
      <x:c r="F163" s="32" t="str">
        <x:v>Managed blockchain infrastructure</x:v>
      </x:c>
      <x:c r="G163" s="32" t="str">
        <x:v>Provision and operate blockchain networks, nodes or blockchain data access.</x:v>
      </x:c>
      <x:c r="H163" s="32" t="str">
        <x:v>Choose this capability when you need to provision and operate blockchain networks, nodes or blockchain data access.</x:v>
      </x:c>
      <x:c r="I163" s="32" t="str">
        <x:v>What business outcome, scale, control, integration and operating model justify choosing managed blockchain infrastructure?</x:v>
      </x:c>
      <x:c r="J163" s="32" t="str">
        <x:v>Managed simplicity and performance versus portability, data gravity and long-term cost.</x:v>
      </x:c>
      <x:c r="K163" s="32" t="n">
        <x:v>3</x:v>
      </x:c>
      <x:c r="L163" s="32" t="str">
        <x:v>Moderate</x:v>
      </x:c>
      <x:c r="M163" s="32" t="str">
        <x:v>1–3 weeks</x:v>
      </x:c>
      <x:c r="N163" s="32" t="str">
        <x:v>Medium</x:v>
      </x:c>
      <x:c r="O163" s="32" t="str">
        <x:v>Amazon Managed Blockchain</x:v>
      </x:c>
      <x:c r="P163" s="32" t="str">
        <x:v>Azure Confidential Ledger / partner blockchain offerings</x:v>
      </x:c>
      <x:c r="Q163" s="32" t="str">
        <x:v>Blockchain Node Engine
Blockchain RPC
Blockchain Analytics</x:v>
      </x:c>
      <x:c r="R163" s="32" t="n">
        <x:f>'Provider Ratings'!AD163</x:f>
        <x:v>3.7</x:v>
      </x:c>
      <x:c r="S163" s="32" t="n">
        <x:f>'Provider Ratings'!AE163</x:f>
        <x:v>3.29</x:v>
      </x:c>
      <x:c r="T163" s="32" t="n">
        <x:f>'Provider Ratings'!AF163</x:f>
        <x:v>3.68</x:v>
      </x:c>
      <x:c r="U163" s="32" t="str">
        <x:f>'Provider Ratings'!AG163</x:f>
        <x:v>Context-dependent tie</x:v>
      </x:c>
      <x:c r="V163" s="32" t="str">
        <x:f>'Provider Ratings'!AH163</x:f>
        <x:v>Scores are close: use ecosystem, data gravity, region, skills, commercials and proof-of-value results to decide.</x:v>
      </x:c>
      <x:c r="W163" s="32" t="str">
        <x:v>Partial</x:v>
      </x:c>
      <x:c r="X163" s="32"/>
      <x:c r="Y163" s="32" t="str">
        <x:v>2026-07-12</x:v>
      </x:c>
    </x:row>
    <x:row r="164">
      <x:c r="A164" s="32" t="str">
        <x:v>05 Data Infrastructure</x:v>
      </x:c>
      <x:c r="B164" s="32" t="str">
        <x:v>Databases</x:v>
      </x:c>
      <x:c r="C164" s="32" t="str">
        <x:v>Database Migration &amp; Estate Management</x:v>
      </x:c>
      <x:c r="D164" s="32" t="str">
        <x:v>Workload</x:v>
      </x:c>
      <x:c r="E164" s="32" t="str">
        <x:v>Database migration</x:v>
      </x:c>
      <x:c r="F164" s="32" t="str">
        <x:v>Database migration service</x:v>
      </x:c>
      <x:c r="G164" s="32" t="str">
        <x:v>Assess, replicate and migrate databases with minimal downtime.</x:v>
      </x:c>
      <x:c r="H164" s="32" t="str">
        <x:v>Choose this capability when you need to assess, replicate and migrate databases with minimal downtime.</x:v>
      </x:c>
      <x:c r="I164" s="32" t="str">
        <x:v>What business outcome, scale, control, integration and operating model justify choosing database migration service?</x:v>
      </x:c>
      <x:c r="J164" s="32" t="str">
        <x:v>Managed simplicity and performance versus portability, data gravity and long-term cost.</x:v>
      </x:c>
      <x:c r="K164" s="32" t="n">
        <x:v>3</x:v>
      </x:c>
      <x:c r="L164" s="32" t="str">
        <x:v>Moderate</x:v>
      </x:c>
      <x:c r="M164" s="32" t="str">
        <x:v>1–3 weeks</x:v>
      </x:c>
      <x:c r="N164" s="32" t="str">
        <x:v>Medium</x:v>
      </x:c>
      <x:c r="O164" s="32" t="str">
        <x:v>AWS Database Migration Service
AWS Schema Conversion Tool</x:v>
      </x:c>
      <x:c r="P164" s="32" t="str">
        <x:v>Azure Database Migration Service</x:v>
      </x:c>
      <x:c r="Q164" s="32" t="str">
        <x:v>Database Migration Service</x:v>
      </x:c>
      <x:c r="R164" s="32" t="n">
        <x:f>'Provider Ratings'!AD164</x:f>
        <x:v>3.99</x:v>
      </x:c>
      <x:c r="S164" s="32" t="n">
        <x:f>'Provider Ratings'!AE164</x:f>
        <x:v>3.99</x:v>
      </x:c>
      <x:c r="T164" s="32" t="n">
        <x:f>'Provider Ratings'!AF164</x:f>
        <x:v>4.02</x:v>
      </x:c>
      <x:c r="U164" s="32" t="str">
        <x:f>'Provider Ratings'!AG164</x:f>
        <x:v>Context-dependent tie</x:v>
      </x:c>
      <x:c r="V164" s="32" t="str">
        <x:f>'Provider Ratings'!AH164</x:f>
        <x:v>Scores are close: use ecosystem, data gravity, region, skills, commercials and proof-of-value results to decide.</x:v>
      </x:c>
      <x:c r="W164" s="32" t="str">
        <x:v>Exact</x:v>
      </x:c>
      <x:c r="X164" s="32"/>
      <x:c r="Y164" s="32" t="str">
        <x:v>2026-07-12</x:v>
      </x:c>
    </x:row>
    <x:row r="165">
      <x:c r="A165" s="32" t="str">
        <x:v>05 Data Infrastructure</x:v>
      </x:c>
      <x:c r="B165" s="32" t="str">
        <x:v>Databases</x:v>
      </x:c>
      <x:c r="C165" s="32" t="str">
        <x:v>Database Migration &amp; Estate Management</x:v>
      </x:c>
      <x:c r="D165" s="32" t="str">
        <x:v>Workload</x:v>
      </x:c>
      <x:c r="E165" s="32" t="str">
        <x:v>Database fleet</x:v>
      </x:c>
      <x:c r="F165" s="32" t="str">
        <x:v>Database fleet management</x:v>
      </x:c>
      <x:c r="G165" s="32" t="str">
        <x:v>Discover, assess and manage database estates from a central view.</x:v>
      </x:c>
      <x:c r="H165" s="32" t="str">
        <x:v>Choose this capability when you need to discover, assess and manage database estates from a central view.</x:v>
      </x:c>
      <x:c r="I165" s="32" t="str">
        <x:v>What business outcome, scale, control, integration and operating model justify choosing database fleet management?</x:v>
      </x:c>
      <x:c r="J165" s="32" t="str">
        <x:v>Managed simplicity and performance versus portability, data gravity and long-term cost.</x:v>
      </x:c>
      <x:c r="K165" s="32" t="n">
        <x:v>3</x:v>
      </x:c>
      <x:c r="L165" s="32" t="str">
        <x:v>Moderate</x:v>
      </x:c>
      <x:c r="M165" s="32" t="str">
        <x:v>1–3 weeks</x:v>
      </x:c>
      <x:c r="N165" s="32" t="str">
        <x:v>Medium</x:v>
      </x:c>
      <x:c r="O165" s="32" t="str">
        <x:v>Amazon RDS fleet capabilities
AWS Systems Manager</x:v>
      </x:c>
      <x:c r="P165" s="32" t="str">
        <x:v>Azure Arc-enabled data services
Azure SQL fleet tools</x:v>
      </x:c>
      <x:c r="Q165" s="32" t="str">
        <x:v>Database Center</x:v>
      </x:c>
      <x:c r="R165" s="32" t="n">
        <x:f>'Provider Ratings'!AD165</x:f>
        <x:v>3.77</x:v>
      </x:c>
      <x:c r="S165" s="32" t="n">
        <x:f>'Provider Ratings'!AE165</x:f>
        <x:v>3.65</x:v>
      </x:c>
      <x:c r="T165" s="32" t="n">
        <x:f>'Provider Ratings'!AF165</x:f>
        <x:v>3.77</x:v>
      </x:c>
      <x:c r="U165" s="32" t="str">
        <x:f>'Provider Ratings'!AG165</x:f>
        <x:v>Context-dependent tie</x:v>
      </x:c>
      <x:c r="V165" s="32" t="str">
        <x:f>'Provider Ratings'!AH165</x:f>
        <x:v>Scores are close: use ecosystem, data gravity, region, skills, commercials and proof-of-value results to decide.</x:v>
      </x:c>
      <x:c r="W165" s="32" t="str">
        <x:v>Partial</x:v>
      </x:c>
      <x:c r="X165" s="32"/>
      <x:c r="Y165" s="32" t="str">
        <x:v>2026-07-12</x:v>
      </x:c>
    </x:row>
    <x:row r="166">
      <x:c r="A166" s="32" t="str">
        <x:v>05 Data Infrastructure</x:v>
      </x:c>
      <x:c r="B166" s="32" t="str">
        <x:v>Storage</x:v>
      </x:c>
      <x:c r="C166" s="32" t="str">
        <x:v>Object &amp; Archive Storage</x:v>
      </x:c>
      <x:c r="D166" s="32" t="str">
        <x:v>Workload</x:v>
      </x:c>
      <x:c r="E166" s="32" t="str">
        <x:v>Object storage</x:v>
      </x:c>
      <x:c r="F166" s="32" t="str">
        <x:v>Object storage</x:v>
      </x:c>
      <x:c r="G166" s="32" t="str">
        <x:v>Store unstructured data as durable objects accessible through APIs.</x:v>
      </x:c>
      <x:c r="H166" s="32" t="str">
        <x:v>Choose this capability when you need to store unstructured data as durable objects accessible through apis.</x:v>
      </x:c>
      <x:c r="I166" s="32" t="str">
        <x:v>What access frequency, durability, retention, retrieval time and residency constraints apply?</x:v>
      </x:c>
      <x:c r="J166" s="32" t="str">
        <x:v>Managed simplicity and performance versus portability, data gravity and long-term cost.</x:v>
      </x:c>
      <x:c r="K166" s="32" t="n">
        <x:v>4</x:v>
      </x:c>
      <x:c r="L166" s="32" t="str">
        <x:v>Easy</x:v>
      </x:c>
      <x:c r="M166" s="32" t="str">
        <x:v>1–3 days</x:v>
      </x:c>
      <x:c r="N166" s="32" t="str">
        <x:v>Medium</x:v>
      </x:c>
      <x:c r="O166" s="32" t="str">
        <x:v>Amazon Simple Storage Service</x:v>
      </x:c>
      <x:c r="P166" s="32" t="str">
        <x:v>Azure Blob Storage</x:v>
      </x:c>
      <x:c r="Q166" s="32" t="str">
        <x:v>Cloud Storage</x:v>
      </x:c>
      <x:c r="R166" s="32" t="n">
        <x:f>'Provider Ratings'!AD166</x:f>
        <x:v>4.33</x:v>
      </x:c>
      <x:c r="S166" s="32" t="n">
        <x:f>'Provider Ratings'!AE166</x:f>
        <x:v>4.21</x:v>
      </x:c>
      <x:c r="T166" s="32" t="n">
        <x:f>'Provider Ratings'!AF166</x:f>
        <x:v>4.19</x:v>
      </x:c>
      <x:c r="U166" s="32" t="str">
        <x:f>'Provider Ratings'!AG166</x:f>
        <x:v>Context-dependent tie</x:v>
      </x:c>
      <x:c r="V166" s="32" t="str">
        <x:f>'Provider Ratings'!AH166</x:f>
        <x:v>Scores are close: use ecosystem, data gravity, region, skills, commercials and proof-of-value results to decide.</x:v>
      </x:c>
      <x:c r="W166" s="32" t="str">
        <x:v>Exact</x:v>
      </x:c>
      <x:c r="X166" s="32"/>
      <x:c r="Y166" s="32" t="str">
        <x:v>2026-07-12</x:v>
      </x:c>
    </x:row>
    <x:row r="167">
      <x:c r="A167" s="32" t="str">
        <x:v>05 Data Infrastructure</x:v>
      </x:c>
      <x:c r="B167" s="32" t="str">
        <x:v>Storage</x:v>
      </x:c>
      <x:c r="C167" s="32" t="str">
        <x:v>Object &amp; Archive Storage</x:v>
      </x:c>
      <x:c r="D167" s="32" t="str">
        <x:v>Workload</x:v>
      </x:c>
      <x:c r="E167" s="32" t="str">
        <x:v>Archive storage</x:v>
      </x:c>
      <x:c r="F167" s="32" t="str">
        <x:v>Long-term archive storage</x:v>
      </x:c>
      <x:c r="G167" s="32" t="str">
        <x:v>Store infrequently accessed data at low cost with delayed or tiered retrieval.</x:v>
      </x:c>
      <x:c r="H167" s="32" t="str">
        <x:v>Choose this capability when you need to store infrequently accessed data at low cost with delayed or tiered retrieval.</x:v>
      </x:c>
      <x:c r="I167" s="32" t="str">
        <x:v>What access frequency, durability, retention, retrieval time and residency constraints apply?</x:v>
      </x:c>
      <x:c r="J167" s="32" t="str">
        <x:v>Managed simplicity and performance versus portability, data gravity and long-term cost.</x:v>
      </x:c>
      <x:c r="K167" s="32" t="n">
        <x:v>3</x:v>
      </x:c>
      <x:c r="L167" s="32" t="str">
        <x:v>Moderate</x:v>
      </x:c>
      <x:c r="M167" s="32" t="str">
        <x:v>1–3 weeks</x:v>
      </x:c>
      <x:c r="N167" s="32" t="str">
        <x:v>Medium</x:v>
      </x:c>
      <x:c r="O167" s="32" t="str">
        <x:v>Amazon S3 Glacier storage classes</x:v>
      </x:c>
      <x:c r="P167" s="32" t="str">
        <x:v>Azure Archive Storage</x:v>
      </x:c>
      <x:c r="Q167" s="32" t="str">
        <x:v>Cloud Storage Archive</x:v>
      </x:c>
      <x:c r="R167" s="32" t="n">
        <x:f>'Provider Ratings'!AD167</x:f>
        <x:v>4.12</x:v>
      </x:c>
      <x:c r="S167" s="32" t="n">
        <x:f>'Provider Ratings'!AE167</x:f>
        <x:v>3.99</x:v>
      </x:c>
      <x:c r="T167" s="32" t="n">
        <x:f>'Provider Ratings'!AF167</x:f>
        <x:v>3.97</x:v>
      </x:c>
      <x:c r="U167" s="32" t="str">
        <x:f>'Provider Ratings'!AG167</x:f>
        <x:v>Context-dependent tie</x:v>
      </x:c>
      <x:c r="V167" s="32" t="str">
        <x:f>'Provider Ratings'!AH167</x:f>
        <x:v>Scores are close: use ecosystem, data gravity, region, skills, commercials and proof-of-value results to decide.</x:v>
      </x:c>
      <x:c r="W167" s="32" t="str">
        <x:v>Exact</x:v>
      </x:c>
      <x:c r="X167" s="32"/>
      <x:c r="Y167" s="32" t="str">
        <x:v>2026-07-12</x:v>
      </x:c>
    </x:row>
    <x:row r="168">
      <x:c r="A168" s="32" t="str">
        <x:v>05 Data Infrastructure</x:v>
      </x:c>
      <x:c r="B168" s="32" t="str">
        <x:v>Storage</x:v>
      </x:c>
      <x:c r="C168" s="32" t="str">
        <x:v>Block &amp; Local Storage</x:v>
      </x:c>
      <x:c r="D168" s="32" t="str">
        <x:v>Workload</x:v>
      </x:c>
      <x:c r="E168" s="32" t="str">
        <x:v>Block storage</x:v>
      </x:c>
      <x:c r="F168" s="32" t="str">
        <x:v>Persistent block storage</x:v>
      </x:c>
      <x:c r="G168" s="32" t="str">
        <x:v>Attach durable block volumes to virtual machines and stateful workloads.</x:v>
      </x:c>
      <x:c r="H168" s="32" t="str">
        <x:v>Choose this capability when you need to attach durable block volumes to virtual machines and stateful workloads.</x:v>
      </x:c>
      <x:c r="I168" s="32" t="str">
        <x:v>What business outcome, scale, control, integration and operating model justify choosing persistent block storage?</x:v>
      </x:c>
      <x:c r="J168" s="32" t="str">
        <x:v>Managed simplicity and performance versus portability, data gravity and long-term cost.</x:v>
      </x:c>
      <x:c r="K168" s="32" t="n">
        <x:v>3</x:v>
      </x:c>
      <x:c r="L168" s="32" t="str">
        <x:v>Moderate</x:v>
      </x:c>
      <x:c r="M168" s="32" t="str">
        <x:v>1–3 weeks</x:v>
      </x:c>
      <x:c r="N168" s="32" t="str">
        <x:v>Medium</x:v>
      </x:c>
      <x:c r="O168" s="32" t="str">
        <x:v>Amazon Elastic Block Store</x:v>
      </x:c>
      <x:c r="P168" s="32" t="str">
        <x:v>Azure Disk Storage</x:v>
      </x:c>
      <x:c r="Q168" s="32" t="str">
        <x:v>Persistent Disk
Hyperdisk</x:v>
      </x:c>
      <x:c r="R168" s="32" t="n">
        <x:f>'Provider Ratings'!AD168</x:f>
        <x:v>4</x:v>
      </x:c>
      <x:c r="S168" s="32" t="n">
        <x:f>'Provider Ratings'!AE168</x:f>
        <x:v>3.99</x:v>
      </x:c>
      <x:c r="T168" s="32" t="n">
        <x:f>'Provider Ratings'!AF168</x:f>
        <x:v>3.87</x:v>
      </x:c>
      <x:c r="U168" s="32" t="str">
        <x:f>'Provider Ratings'!AG168</x:f>
        <x:v>Context-dependent tie</x:v>
      </x:c>
      <x:c r="V168" s="32" t="str">
        <x:f>'Provider Ratings'!AH168</x:f>
        <x:v>Scores are close: use ecosystem, data gravity, region, skills, commercials and proof-of-value results to decide.</x:v>
      </x:c>
      <x:c r="W168" s="32" t="str">
        <x:v>Exact</x:v>
      </x:c>
      <x:c r="X168" s="32"/>
      <x:c r="Y168" s="32" t="str">
        <x:v>2026-07-12</x:v>
      </x:c>
    </x:row>
    <x:row r="169">
      <x:c r="A169" s="32" t="str">
        <x:v>05 Data Infrastructure</x:v>
      </x:c>
      <x:c r="B169" s="32" t="str">
        <x:v>Storage</x:v>
      </x:c>
      <x:c r="C169" s="32" t="str">
        <x:v>Block &amp; Local Storage</x:v>
      </x:c>
      <x:c r="D169" s="32" t="str">
        <x:v>Workload</x:v>
      </x:c>
      <x:c r="E169" s="32" t="str">
        <x:v>Local storage</x:v>
      </x:c>
      <x:c r="F169" s="32" t="str">
        <x:v>Local ephemeral SSD</x:v>
      </x:c>
      <x:c r="G169" s="32" t="str">
        <x:v>Provide high-performance storage physically attached to the compute host.</x:v>
      </x:c>
      <x:c r="H169" s="32" t="str">
        <x:v>Choose this capability when you need to provide high-performance storage physically attached to the compute host.</x:v>
      </x:c>
      <x:c r="I169" s="32" t="str">
        <x:v>What business outcome, scale, control, integration and operating model justify choosing local ephemeral ssd?</x:v>
      </x:c>
      <x:c r="J169" s="32" t="str">
        <x:v>Managed simplicity and performance versus portability, data gravity and long-term cost.</x:v>
      </x:c>
      <x:c r="K169" s="32" t="n">
        <x:v>3</x:v>
      </x:c>
      <x:c r="L169" s="32" t="str">
        <x:v>Moderate</x:v>
      </x:c>
      <x:c r="M169" s="32" t="str">
        <x:v>1–3 weeks</x:v>
      </x:c>
      <x:c r="N169" s="32" t="str">
        <x:v>Medium</x:v>
      </x:c>
      <x:c r="O169" s="32" t="str">
        <x:v>EC2 instance store</x:v>
      </x:c>
      <x:c r="P169" s="32" t="str">
        <x:v>Azure Local SSD / temporary disk</x:v>
      </x:c>
      <x:c r="Q169" s="32" t="str">
        <x:v>Local SSD</x:v>
      </x:c>
      <x:c r="R169" s="32" t="n">
        <x:f>'Provider Ratings'!AD169</x:f>
        <x:v>3.93</x:v>
      </x:c>
      <x:c r="S169" s="32" t="n">
        <x:f>'Provider Ratings'!AE169</x:f>
        <x:v>3.84</x:v>
      </x:c>
      <x:c r="T169" s="32" t="n">
        <x:f>'Provider Ratings'!AF169</x:f>
        <x:v>3.91</x:v>
      </x:c>
      <x:c r="U169" s="32" t="str">
        <x:f>'Provider Ratings'!AG169</x:f>
        <x:v>Context-dependent tie</x:v>
      </x:c>
      <x:c r="V169" s="32" t="str">
        <x:f>'Provider Ratings'!AH169</x:f>
        <x:v>Scores are close: use ecosystem, data gravity, region, skills, commercials and proof-of-value results to decide.</x:v>
      </x:c>
      <x:c r="W169" s="32" t="str">
        <x:v>Close</x:v>
      </x:c>
      <x:c r="X169" s="32"/>
      <x:c r="Y169" s="32" t="str">
        <x:v>2026-07-12</x:v>
      </x:c>
    </x:row>
    <x:row r="170">
      <x:c r="A170" s="32" t="str">
        <x:v>05 Data Infrastructure</x:v>
      </x:c>
      <x:c r="B170" s="32" t="str">
        <x:v>Storage</x:v>
      </x:c>
      <x:c r="C170" s="32" t="str">
        <x:v>File &amp; High-Performance Storage</x:v>
      </x:c>
      <x:c r="D170" s="32" t="str">
        <x:v>Workload</x:v>
      </x:c>
      <x:c r="E170" s="32" t="str">
        <x:v>File storage</x:v>
      </x:c>
      <x:c r="F170" s="32" t="str">
        <x:v>Managed network file storage</x:v>
      </x:c>
      <x:c r="G170" s="32" t="str">
        <x:v>Provide shared file systems for applications and user workloads.</x:v>
      </x:c>
      <x:c r="H170" s="32" t="str">
        <x:v>Choose this capability when you need to provide shared file systems for applications and user workloads.</x:v>
      </x:c>
      <x:c r="I170" s="32" t="str">
        <x:v>What business outcome, scale, control, integration and operating model justify choosing managed network file storage?</x:v>
      </x:c>
      <x:c r="J170" s="32" t="str">
        <x:v>Managed simplicity and performance versus portability, data gravity and long-term cost.</x:v>
      </x:c>
      <x:c r="K170" s="32" t="n">
        <x:v>3</x:v>
      </x:c>
      <x:c r="L170" s="32" t="str">
        <x:v>Moderate</x:v>
      </x:c>
      <x:c r="M170" s="32" t="str">
        <x:v>1–3 weeks</x:v>
      </x:c>
      <x:c r="N170" s="32" t="str">
        <x:v>Medium</x:v>
      </x:c>
      <x:c r="O170" s="32" t="str">
        <x:v>Amazon Elastic File System</x:v>
      </x:c>
      <x:c r="P170" s="32" t="str">
        <x:v>Azure Files</x:v>
      </x:c>
      <x:c r="Q170" s="32" t="str">
        <x:v>Filestore</x:v>
      </x:c>
      <x:c r="R170" s="32" t="n">
        <x:f>'Provider Ratings'!AD170</x:f>
        <x:v>4</x:v>
      </x:c>
      <x:c r="S170" s="32" t="n">
        <x:f>'Provider Ratings'!AE170</x:f>
        <x:v>3.99</x:v>
      </x:c>
      <x:c r="T170" s="32" t="n">
        <x:f>'Provider Ratings'!AF170</x:f>
        <x:v>4.02</x:v>
      </x:c>
      <x:c r="U170" s="32" t="str">
        <x:f>'Provider Ratings'!AG170</x:f>
        <x:v>Context-dependent tie</x:v>
      </x:c>
      <x:c r="V170" s="32" t="str">
        <x:f>'Provider Ratings'!AH170</x:f>
        <x:v>Scores are close: use ecosystem, data gravity, region, skills, commercials and proof-of-value results to decide.</x:v>
      </x:c>
      <x:c r="W170" s="32" t="str">
        <x:v>Exact</x:v>
      </x:c>
      <x:c r="X170" s="32"/>
      <x:c r="Y170" s="32" t="str">
        <x:v>2026-07-12</x:v>
      </x:c>
    </x:row>
    <x:row r="171">
      <x:c r="A171" s="32" t="str">
        <x:v>05 Data Infrastructure</x:v>
      </x:c>
      <x:c r="B171" s="32" t="str">
        <x:v>Storage</x:v>
      </x:c>
      <x:c r="C171" s="32" t="str">
        <x:v>File &amp; High-Performance Storage</x:v>
      </x:c>
      <x:c r="D171" s="32" t="str">
        <x:v>Workload</x:v>
      </x:c>
      <x:c r="E171" s="32" t="str">
        <x:v>Enterprise file storage</x:v>
      </x:c>
      <x:c r="F171" s="32" t="str">
        <x:v>Managed enterprise NAS</x:v>
      </x:c>
      <x:c r="G171" s="32" t="str">
        <x:v>Provide enterprise file protocols, snapshots and data-management features.</x:v>
      </x:c>
      <x:c r="H171" s="32" t="str">
        <x:v>Choose this capability when you need to provide enterprise file protocols, snapshots and data-management features.</x:v>
      </x:c>
      <x:c r="I171" s="32" t="str">
        <x:v>What business outcome, scale, control, integration and operating model justify choosing managed enterprise nas?</x:v>
      </x:c>
      <x:c r="J171" s="32" t="str">
        <x:v>Managed simplicity and performance versus portability, data gravity and long-term cost.</x:v>
      </x:c>
      <x:c r="K171" s="32" t="n">
        <x:v>3</x:v>
      </x:c>
      <x:c r="L171" s="32" t="str">
        <x:v>Moderate</x:v>
      </x:c>
      <x:c r="M171" s="32" t="str">
        <x:v>1–3 weeks</x:v>
      </x:c>
      <x:c r="N171" s="32" t="str">
        <x:v>Medium</x:v>
      </x:c>
      <x:c r="O171" s="32" t="str">
        <x:v>Amazon FSx for NetApp ONTAP</x:v>
      </x:c>
      <x:c r="P171" s="32" t="str">
        <x:v>Azure NetApp Files</x:v>
      </x:c>
      <x:c r="Q171" s="32" t="str">
        <x:v>NetApp Volumes</x:v>
      </x:c>
      <x:c r="R171" s="32" t="n">
        <x:f>'Provider Ratings'!AD171</x:f>
        <x:v>4</x:v>
      </x:c>
      <x:c r="S171" s="32" t="n">
        <x:f>'Provider Ratings'!AE171</x:f>
        <x:v>3.99</x:v>
      </x:c>
      <x:c r="T171" s="32" t="n">
        <x:f>'Provider Ratings'!AF171</x:f>
        <x:v>3.97</x:v>
      </x:c>
      <x:c r="U171" s="32" t="str">
        <x:f>'Provider Ratings'!AG171</x:f>
        <x:v>Context-dependent tie</x:v>
      </x:c>
      <x:c r="V171" s="32" t="str">
        <x:f>'Provider Ratings'!AH171</x:f>
        <x:v>Scores are close: use ecosystem, data gravity, region, skills, commercials and proof-of-value results to decide.</x:v>
      </x:c>
      <x:c r="W171" s="32" t="str">
        <x:v>Exact</x:v>
      </x:c>
      <x:c r="X171" s="32"/>
      <x:c r="Y171" s="32" t="str">
        <x:v>2026-07-12</x:v>
      </x:c>
    </x:row>
    <x:row r="172">
      <x:c r="A172" s="32" t="str">
        <x:v>05 Data Infrastructure</x:v>
      </x:c>
      <x:c r="B172" s="32" t="str">
        <x:v>Storage</x:v>
      </x:c>
      <x:c r="C172" s="32" t="str">
        <x:v>File &amp; High-Performance Storage</x:v>
      </x:c>
      <x:c r="D172" s="32" t="str">
        <x:v>Workload</x:v>
      </x:c>
      <x:c r="E172" s="32" t="str">
        <x:v>High-performance file</x:v>
      </x:c>
      <x:c r="F172" s="32" t="str">
        <x:v>High-performance parallel file system</x:v>
      </x:c>
      <x:c r="G172" s="32" t="str">
        <x:v>Provide low-latency, high-throughput parallel file storage for HPC and AI.</x:v>
      </x:c>
      <x:c r="H172" s="32" t="str">
        <x:v>Choose this capability when you need to provide low-latency, high-throughput parallel file storage for hpc and ai.</x:v>
      </x:c>
      <x:c r="I172" s="32" t="str">
        <x:v>What business outcome, scale, control, integration and operating model justify choosing high-performance parallel file system?</x:v>
      </x:c>
      <x:c r="J172" s="32" t="str">
        <x:v>Managed simplicity and performance versus portability, data gravity and long-term cost.</x:v>
      </x:c>
      <x:c r="K172" s="32" t="n">
        <x:v>3</x:v>
      </x:c>
      <x:c r="L172" s="32" t="str">
        <x:v>Moderate</x:v>
      </x:c>
      <x:c r="M172" s="32" t="str">
        <x:v>1–3 weeks</x:v>
      </x:c>
      <x:c r="N172" s="32" t="str">
        <x:v>Medium</x:v>
      </x:c>
      <x:c r="O172" s="32" t="str">
        <x:v>Amazon FSx for Lustre</x:v>
      </x:c>
      <x:c r="P172" s="32" t="str">
        <x:v>Azure Managed Lustre</x:v>
      </x:c>
      <x:c r="Q172" s="32" t="str">
        <x:v>Managed Lustre</x:v>
      </x:c>
      <x:c r="R172" s="32" t="n">
        <x:f>'Provider Ratings'!AD172</x:f>
        <x:v>4</x:v>
      </x:c>
      <x:c r="S172" s="32" t="n">
        <x:f>'Provider Ratings'!AE172</x:f>
        <x:v>3.99</x:v>
      </x:c>
      <x:c r="T172" s="32" t="n">
        <x:f>'Provider Ratings'!AF172</x:f>
        <x:v>3.97</x:v>
      </x:c>
      <x:c r="U172" s="32" t="str">
        <x:f>'Provider Ratings'!AG172</x:f>
        <x:v>Context-dependent tie</x:v>
      </x:c>
      <x:c r="V172" s="32" t="str">
        <x:f>'Provider Ratings'!AH172</x:f>
        <x:v>Scores are close: use ecosystem, data gravity, region, skills, commercials and proof-of-value results to decide.</x:v>
      </x:c>
      <x:c r="W172" s="32" t="str">
        <x:v>Exact</x:v>
      </x:c>
      <x:c r="X172" s="32"/>
      <x:c r="Y172" s="32" t="str">
        <x:v>2026-07-12</x:v>
      </x:c>
    </x:row>
    <x:row r="173">
      <x:c r="A173" s="32" t="str">
        <x:v>05 Data Infrastructure</x:v>
      </x:c>
      <x:c r="B173" s="32" t="str">
        <x:v>Storage</x:v>
      </x:c>
      <x:c r="C173" s="32" t="str">
        <x:v>File &amp; High-Performance Storage</x:v>
      </x:c>
      <x:c r="D173" s="32" t="str">
        <x:v>Workload</x:v>
      </x:c>
      <x:c r="E173" s="32" t="str">
        <x:v>Windows file</x:v>
      </x:c>
      <x:c r="F173" s="32" t="str">
        <x:v>Managed Windows file server</x:v>
      </x:c>
      <x:c r="G173" s="32" t="str">
        <x:v>Provide managed SMB file shares integrated with Windows environments.</x:v>
      </x:c>
      <x:c r="H173" s="32" t="str">
        <x:v>Choose this capability when you need to provide managed smb file shares integrated with windows environments.</x:v>
      </x:c>
      <x:c r="I173" s="32" t="str">
        <x:v>What business outcome, scale, control, integration and operating model justify choosing managed windows file server?</x:v>
      </x:c>
      <x:c r="J173" s="32" t="str">
        <x:v>Managed simplicity and performance versus portability, data gravity and long-term cost.</x:v>
      </x:c>
      <x:c r="K173" s="32" t="n">
        <x:v>3</x:v>
      </x:c>
      <x:c r="L173" s="32" t="str">
        <x:v>Moderate</x:v>
      </x:c>
      <x:c r="M173" s="32" t="str">
        <x:v>1–3 weeks</x:v>
      </x:c>
      <x:c r="N173" s="32" t="str">
        <x:v>Medium</x:v>
      </x:c>
      <x:c r="O173" s="32" t="str">
        <x:v>Amazon FSx for Windows File Server</x:v>
      </x:c>
      <x:c r="P173" s="32" t="str">
        <x:v>Azure Files</x:v>
      </x:c>
      <x:c r="Q173" s="32" t="str">
        <x:v>Filestore Enterprise / partner solutions</x:v>
      </x:c>
      <x:c r="R173" s="32" t="n">
        <x:f>'Provider Ratings'!AD173</x:f>
        <x:v>3.93</x:v>
      </x:c>
      <x:c r="S173" s="32" t="n">
        <x:f>'Provider Ratings'!AE173</x:f>
        <x:v>3.93</x:v>
      </x:c>
      <x:c r="T173" s="32" t="n">
        <x:f>'Provider Ratings'!AF173</x:f>
        <x:v>3.45</x:v>
      </x:c>
      <x:c r="U173" s="32" t="str">
        <x:f>'Provider Ratings'!AG173</x:f>
        <x:v>Context-dependent tie</x:v>
      </x:c>
      <x:c r="V173" s="32" t="str">
        <x:f>'Provider Ratings'!AH173</x:f>
        <x:v>Scores are close: use ecosystem, data gravity, region, skills, commercials and proof-of-value results to decide.</x:v>
      </x:c>
      <x:c r="W173" s="32" t="str">
        <x:v>Close</x:v>
      </x:c>
      <x:c r="X173" s="32"/>
      <x:c r="Y173" s="32" t="str">
        <x:v>2026-07-12</x:v>
      </x:c>
    </x:row>
    <x:row r="174">
      <x:c r="A174" s="32" t="str">
        <x:v>05 Data Infrastructure</x:v>
      </x:c>
      <x:c r="B174" s="32" t="str">
        <x:v>Storage</x:v>
      </x:c>
      <x:c r="C174" s="32" t="str">
        <x:v>Data Transfer &amp; Hybrid Storage</x:v>
      </x:c>
      <x:c r="D174" s="32" t="str">
        <x:v>Workload</x:v>
      </x:c>
      <x:c r="E174" s="32" t="str">
        <x:v>Hybrid storage</x:v>
      </x:c>
      <x:c r="F174" s="32" t="str">
        <x:v>Hybrid storage gateway</x:v>
      </x:c>
      <x:c r="G174" s="32" t="str">
        <x:v>Connect on-premises applications to cloud storage through local protocols and caching.</x:v>
      </x:c>
      <x:c r="H174" s="32" t="str">
        <x:v>Choose this capability when you need to connect on-premises applications to cloud storage through local protocols and caching.</x:v>
      </x:c>
      <x:c r="I174" s="32" t="str">
        <x:v>What business outcome, scale, control, integration and operating model justify choosing hybrid storage gateway?</x:v>
      </x:c>
      <x:c r="J174" s="32" t="str">
        <x:v>Managed simplicity and performance versus portability, data gravity and long-term cost.</x:v>
      </x:c>
      <x:c r="K174" s="32" t="n">
        <x:v>3</x:v>
      </x:c>
      <x:c r="L174" s="32" t="str">
        <x:v>Moderate</x:v>
      </x:c>
      <x:c r="M174" s="32" t="str">
        <x:v>1–3 weeks</x:v>
      </x:c>
      <x:c r="N174" s="32" t="str">
        <x:v>Medium</x:v>
      </x:c>
      <x:c r="O174" s="32" t="str">
        <x:v>AWS Storage Gateway</x:v>
      </x:c>
      <x:c r="P174" s="32" t="str">
        <x:v>Azure File Sync
Azure Stack Edge</x:v>
      </x:c>
      <x:c r="Q174" s="32" t="str">
        <x:v>Storage Transfer Service agents
Google Distributed Cloud</x:v>
      </x:c>
      <x:c r="R174" s="32" t="n">
        <x:f>'Provider Ratings'!AD174</x:f>
        <x:v>3.73</x:v>
      </x:c>
      <x:c r="S174" s="32" t="n">
        <x:f>'Provider Ratings'!AE174</x:f>
        <x:v>3.93</x:v>
      </x:c>
      <x:c r="T174" s="32" t="n">
        <x:f>'Provider Ratings'!AF174</x:f>
        <x:v>3.66</x:v>
      </x:c>
      <x:c r="U174" s="32" t="str">
        <x:f>'Provider Ratings'!AG174</x:f>
        <x:v>Azure</x:v>
      </x:c>
      <x:c r="V174" s="32" t="str">
        <x:f>'Provider Ratings'!AH174</x:f>
        <x:v>Start with Azure when Microsoft identity, security, data, productivity or hybrid integration reduces delivery effort.</x:v>
      </x:c>
      <x:c r="W174" s="32" t="str">
        <x:v>Partial</x:v>
      </x:c>
      <x:c r="X174" s="32"/>
      <x:c r="Y174" s="32" t="str">
        <x:v>2026-07-12</x:v>
      </x:c>
    </x:row>
    <x:row r="175">
      <x:c r="A175" s="32" t="str">
        <x:v>05 Data Infrastructure</x:v>
      </x:c>
      <x:c r="B175" s="32" t="str">
        <x:v>Storage</x:v>
      </x:c>
      <x:c r="C175" s="32" t="str">
        <x:v>Backup &amp; Disaster Recovery</x:v>
      </x:c>
      <x:c r="D175" s="32" t="str">
        <x:v>Workload</x:v>
      </x:c>
      <x:c r="E175" s="32" t="str">
        <x:v>Backup</x:v>
      </x:c>
      <x:c r="F175" s="32" t="str">
        <x:v>Central cloud backup</x:v>
      </x:c>
      <x:c r="G175" s="32" t="str">
        <x:v>Protect cloud and hybrid workloads through centrally managed backup policies.</x:v>
      </x:c>
      <x:c r="H175" s="32" t="str">
        <x:v>Choose this capability when you need to protect cloud and hybrid workloads through centrally managed backup policies.</x:v>
      </x:c>
      <x:c r="I175" s="32" t="str">
        <x:v>What business outcome, scale, control, integration and operating model justify choosing central cloud backup?</x:v>
      </x:c>
      <x:c r="J175" s="32" t="str">
        <x:v>Managed simplicity and performance versus portability, data gravity and long-term cost.</x:v>
      </x:c>
      <x:c r="K175" s="32" t="n">
        <x:v>3</x:v>
      </x:c>
      <x:c r="L175" s="32" t="str">
        <x:v>Moderate</x:v>
      </x:c>
      <x:c r="M175" s="32" t="str">
        <x:v>1–3 weeks</x:v>
      </x:c>
      <x:c r="N175" s="32" t="str">
        <x:v>Medium</x:v>
      </x:c>
      <x:c r="O175" s="32" t="str">
        <x:v>AWS Backup</x:v>
      </x:c>
      <x:c r="P175" s="32" t="str">
        <x:v>Azure Backup</x:v>
      </x:c>
      <x:c r="Q175" s="32" t="str">
        <x:v>Backup and DR Service</x:v>
      </x:c>
      <x:c r="R175" s="32" t="n">
        <x:f>'Provider Ratings'!AD175</x:f>
        <x:v>3.95</x:v>
      </x:c>
      <x:c r="S175" s="32" t="n">
        <x:f>'Provider Ratings'!AE175</x:f>
        <x:v>3.99</x:v>
      </x:c>
      <x:c r="T175" s="32" t="n">
        <x:f>'Provider Ratings'!AF175</x:f>
        <x:v>3.97</x:v>
      </x:c>
      <x:c r="U175" s="32" t="str">
        <x:f>'Provider Ratings'!AG175</x:f>
        <x:v>Context-dependent tie</x:v>
      </x:c>
      <x:c r="V175" s="32" t="str">
        <x:f>'Provider Ratings'!AH175</x:f>
        <x:v>Scores are close: use ecosystem, data gravity, region, skills, commercials and proof-of-value results to decide.</x:v>
      </x:c>
      <x:c r="W175" s="32" t="str">
        <x:v>Exact</x:v>
      </x:c>
      <x:c r="X175" s="32"/>
      <x:c r="Y175" s="32" t="str">
        <x:v>2026-07-12</x:v>
      </x:c>
    </x:row>
    <x:row r="176">
      <x:c r="A176" s="32" t="str">
        <x:v>05 Data Infrastructure</x:v>
      </x:c>
      <x:c r="B176" s="32" t="str">
        <x:v>Storage</x:v>
      </x:c>
      <x:c r="C176" s="32" t="str">
        <x:v>Backup &amp; Disaster Recovery</x:v>
      </x:c>
      <x:c r="D176" s="32" t="str">
        <x:v>Workload</x:v>
      </x:c>
      <x:c r="E176" s="32" t="str">
        <x:v>Disaster recovery</x:v>
      </x:c>
      <x:c r="F176" s="32" t="str">
        <x:v>Managed disaster recovery</x:v>
      </x:c>
      <x:c r="G176" s="32" t="str">
        <x:v>Replicate and recover workloads to meet recovery objectives.</x:v>
      </x:c>
      <x:c r="H176" s="32" t="str">
        <x:v>Choose this capability when you need to replicate and recover workloads to meet recovery objectives.</x:v>
      </x:c>
      <x:c r="I176" s="32" t="str">
        <x:v>What business outcome, scale, control, integration and operating model justify choosing managed disaster recovery?</x:v>
      </x:c>
      <x:c r="J176" s="32" t="str">
        <x:v>Managed simplicity and performance versus portability, data gravity and long-term cost.</x:v>
      </x:c>
      <x:c r="K176" s="32" t="n">
        <x:v>3</x:v>
      </x:c>
      <x:c r="L176" s="32" t="str">
        <x:v>Moderate</x:v>
      </x:c>
      <x:c r="M176" s="32" t="str">
        <x:v>1–3 weeks</x:v>
      </x:c>
      <x:c r="N176" s="32" t="str">
        <x:v>Medium</x:v>
      </x:c>
      <x:c r="O176" s="32" t="str">
        <x:v>AWS Elastic Disaster Recovery</x:v>
      </x:c>
      <x:c r="P176" s="32" t="str">
        <x:v>Azure Site Recovery</x:v>
      </x:c>
      <x:c r="Q176" s="32" t="str">
        <x:v>Backup and DR Service</x:v>
      </x:c>
      <x:c r="R176" s="32" t="n">
        <x:f>'Provider Ratings'!AD176</x:f>
        <x:v>3.88</x:v>
      </x:c>
      <x:c r="S176" s="32" t="n">
        <x:f>'Provider Ratings'!AE176</x:f>
        <x:v>3.93</x:v>
      </x:c>
      <x:c r="T176" s="32" t="n">
        <x:f>'Provider Ratings'!AF176</x:f>
        <x:v>3.91</x:v>
      </x:c>
      <x:c r="U176" s="32" t="str">
        <x:f>'Provider Ratings'!AG176</x:f>
        <x:v>Context-dependent tie</x:v>
      </x:c>
      <x:c r="V176" s="32" t="str">
        <x:f>'Provider Ratings'!AH176</x:f>
        <x:v>Scores are close: use ecosystem, data gravity, region, skills, commercials and proof-of-value results to decide.</x:v>
      </x:c>
      <x:c r="W176" s="32" t="str">
        <x:v>Close</x:v>
      </x:c>
      <x:c r="X176" s="32"/>
      <x:c r="Y176" s="32" t="str">
        <x:v>2026-07-12</x:v>
      </x:c>
    </x:row>
    <x:row r="177">
      <x:c r="A177" s="32" t="str">
        <x:v>05 Data Infrastructure</x:v>
      </x:c>
      <x:c r="B177" s="32" t="str">
        <x:v>Storage</x:v>
      </x:c>
      <x:c r="C177" s="32" t="str">
        <x:v>Data Transfer &amp; Hybrid Storage</x:v>
      </x:c>
      <x:c r="D177" s="32" t="str">
        <x:v>Workload</x:v>
      </x:c>
      <x:c r="E177" s="32" t="str">
        <x:v>Data transfer</x:v>
      </x:c>
      <x:c r="F177" s="32" t="str">
        <x:v>Online data transfer</x:v>
      </x:c>
      <x:c r="G177" s="32" t="str">
        <x:v>Transfer large datasets between on-premises systems, clouds and cloud storage.</x:v>
      </x:c>
      <x:c r="H177" s="32" t="str">
        <x:v>Choose this capability when you need to transfer large datasets between on-premises systems, clouds and cloud storage.</x:v>
      </x:c>
      <x:c r="I177" s="32" t="str">
        <x:v>What business outcome, scale, control, integration and operating model justify choosing online data transfer?</x:v>
      </x:c>
      <x:c r="J177" s="32" t="str">
        <x:v>Managed simplicity and performance versus portability, data gravity and long-term cost.</x:v>
      </x:c>
      <x:c r="K177" s="32" t="n">
        <x:v>3</x:v>
      </x:c>
      <x:c r="L177" s="32" t="str">
        <x:v>Moderate</x:v>
      </x:c>
      <x:c r="M177" s="32" t="str">
        <x:v>1–3 weeks</x:v>
      </x:c>
      <x:c r="N177" s="32" t="str">
        <x:v>Medium</x:v>
      </x:c>
      <x:c r="O177" s="32" t="str">
        <x:v>AWS DataSync
AWS Transfer Family</x:v>
      </x:c>
      <x:c r="P177" s="32" t="str">
        <x:v>Azure Storage Mover
Azure Data Factory</x:v>
      </x:c>
      <x:c r="Q177" s="32" t="str">
        <x:v>Storage Transfer Service
Data Transfer Essentials</x:v>
      </x:c>
      <x:c r="R177" s="32" t="n">
        <x:f>'Provider Ratings'!AD177</x:f>
        <x:v>3.83</x:v>
      </x:c>
      <x:c r="S177" s="32" t="n">
        <x:f>'Provider Ratings'!AE177</x:f>
        <x:v>4.09</x:v>
      </x:c>
      <x:c r="T177" s="32" t="n">
        <x:f>'Provider Ratings'!AF177</x:f>
        <x:v>3.83</x:v>
      </x:c>
      <x:c r="U177" s="32" t="str">
        <x:f>'Provider Ratings'!AG177</x:f>
        <x:v>Azure</x:v>
      </x:c>
      <x:c r="V177" s="32" t="str">
        <x:f>'Provider Ratings'!AH177</x:f>
        <x:v>Start with Azure when Microsoft identity, security, data, productivity or hybrid integration reduces delivery effort.</x:v>
      </x:c>
      <x:c r="W177" s="32" t="str">
        <x:v>Close</x:v>
      </x:c>
      <x:c r="X177" s="32"/>
      <x:c r="Y177" s="32" t="str">
        <x:v>2026-07-12</x:v>
      </x:c>
    </x:row>
    <x:row r="178">
      <x:c r="A178" s="32" t="str">
        <x:v>05 Data Infrastructure</x:v>
      </x:c>
      <x:c r="B178" s="32" t="str">
        <x:v>Storage</x:v>
      </x:c>
      <x:c r="C178" s="32" t="str">
        <x:v>Data Transfer &amp; Hybrid Storage</x:v>
      </x:c>
      <x:c r="D178" s="32" t="str">
        <x:v>Workload</x:v>
      </x:c>
      <x:c r="E178" s="32" t="str">
        <x:v>Transfer appliance</x:v>
      </x:c>
      <x:c r="F178" s="32" t="str">
        <x:v>Offline data transfer appliance</x:v>
      </x:c>
      <x:c r="G178" s="32" t="str">
        <x:v>Move large datasets using provider-shipped physical storage appliances.</x:v>
      </x:c>
      <x:c r="H178" s="32" t="str">
        <x:v>Choose this capability when you need to move large datasets using provider-shipped physical storage appliances.</x:v>
      </x:c>
      <x:c r="I178" s="32" t="str">
        <x:v>What business outcome, scale, control, integration and operating model justify choosing offline data transfer appliance?</x:v>
      </x:c>
      <x:c r="J178" s="32" t="str">
        <x:v>Managed simplicity and performance versus portability, data gravity and long-term cost.</x:v>
      </x:c>
      <x:c r="K178" s="32" t="n">
        <x:v>3</x:v>
      </x:c>
      <x:c r="L178" s="32" t="str">
        <x:v>Moderate</x:v>
      </x:c>
      <x:c r="M178" s="32" t="str">
        <x:v>1–3 weeks</x:v>
      </x:c>
      <x:c r="N178" s="32" t="str">
        <x:v>Medium</x:v>
      </x:c>
      <x:c r="O178" s="32" t="str">
        <x:v>AWS Snow Family</x:v>
      </x:c>
      <x:c r="P178" s="32" t="str">
        <x:v>Azure Data Box</x:v>
      </x:c>
      <x:c r="Q178" s="32" t="str">
        <x:v>Transfer Appliance</x:v>
      </x:c>
      <x:c r="R178" s="32" t="n">
        <x:f>'Provider Ratings'!AD178</x:f>
        <x:v>3.99</x:v>
      </x:c>
      <x:c r="S178" s="32" t="n">
        <x:f>'Provider Ratings'!AE178</x:f>
        <x:v>4.26</x:v>
      </x:c>
      <x:c r="T178" s="32" t="n">
        <x:f>'Provider Ratings'!AF178</x:f>
        <x:v>4</x:v>
      </x:c>
      <x:c r="U178" s="32" t="str">
        <x:f>'Provider Ratings'!AG178</x:f>
        <x:v>Azure</x:v>
      </x:c>
      <x:c r="V178" s="32" t="str">
        <x:f>'Provider Ratings'!AH178</x:f>
        <x:v>Start with Azure when Microsoft identity, security, data, productivity or hybrid integration reduces delivery effort.</x:v>
      </x:c>
      <x:c r="W178" s="32" t="str">
        <x:v>Exact</x:v>
      </x:c>
      <x:c r="X178" s="32"/>
      <x:c r="Y178" s="32" t="str">
        <x:v>2026-07-12</x:v>
      </x:c>
    </x:row>
    <x:row r="179">
      <x:c r="A179" s="32" t="str">
        <x:v>05 Data Infrastructure</x:v>
      </x:c>
      <x:c r="B179" s="32" t="str">
        <x:v>Storage</x:v>
      </x:c>
      <x:c r="C179" s="32" t="str">
        <x:v>Data Transfer &amp; Hybrid Storage</x:v>
      </x:c>
      <x:c r="D179" s="32" t="str">
        <x:v>Workload</x:v>
      </x:c>
      <x:c r="E179" s="32" t="str">
        <x:v>Storage management</x:v>
      </x:c>
      <x:c r="F179" s="32" t="str">
        <x:v>Storage resource management</x:v>
      </x:c>
      <x:c r="G179" s="32" t="str">
        <x:v>Discover, assess and automate actions across cloud storage resources.</x:v>
      </x:c>
      <x:c r="H179" s="32" t="str">
        <x:v>Choose this capability when you need to discover, assess and automate actions across cloud storage resources.</x:v>
      </x:c>
      <x:c r="I179" s="32" t="str">
        <x:v>What business outcome, scale, control, integration and operating model justify choosing storage resource management?</x:v>
      </x:c>
      <x:c r="J179" s="32" t="str">
        <x:v>Managed simplicity and performance versus portability, data gravity and long-term cost.</x:v>
      </x:c>
      <x:c r="K179" s="32" t="n">
        <x:v>3</x:v>
      </x:c>
      <x:c r="L179" s="32" t="str">
        <x:v>Moderate</x:v>
      </x:c>
      <x:c r="M179" s="32" t="str">
        <x:v>1–3 weeks</x:v>
      </x:c>
      <x:c r="N179" s="32" t="str">
        <x:v>Medium</x:v>
      </x:c>
      <x:c r="O179" s="32" t="str">
        <x:v>Amazon S3 Storage Lens
AWS DataSync Discovery</x:v>
      </x:c>
      <x:c r="P179" s="32" t="str">
        <x:v>Azure Storage Actions
Azure Storage Discovery</x:v>
      </x:c>
      <x:c r="Q179" s="32" t="str">
        <x:v>Storage Insights / Cloud Asset Inventory</x:v>
      </x:c>
      <x:c r="R179" s="32" t="n">
        <x:f>'Provider Ratings'!AD179</x:f>
        <x:v>3.65</x:v>
      </x:c>
      <x:c r="S179" s="32" t="n">
        <x:f>'Provider Ratings'!AE179</x:f>
        <x:v>3.93</x:v>
      </x:c>
      <x:c r="T179" s="32" t="n">
        <x:f>'Provider Ratings'!AF179</x:f>
        <x:v>3.66</x:v>
      </x:c>
      <x:c r="U179" s="32" t="str">
        <x:f>'Provider Ratings'!AG179</x:f>
        <x:v>Azure</x:v>
      </x:c>
      <x:c r="V179" s="32" t="str">
        <x:f>'Provider Ratings'!AH179</x:f>
        <x:v>Start with Azure when Microsoft identity, security, data, productivity or hybrid integration reduces delivery effort.</x:v>
      </x:c>
      <x:c r="W179" s="32" t="str">
        <x:v>Partial</x:v>
      </x:c>
      <x:c r="X179" s="32"/>
      <x:c r="Y179" s="32" t="str">
        <x:v>2026-07-12</x:v>
      </x:c>
    </x:row>
    <x:row r="180">
      <x:c r="A180" s="32" t="str">
        <x:v>05 Data Infrastructure</x:v>
      </x:c>
      <x:c r="B180" s="32" t="str">
        <x:v>Storage</x:v>
      </x:c>
      <x:c r="C180" s="32" t="str">
        <x:v>Block &amp; Local Storage</x:v>
      </x:c>
      <x:c r="D180" s="32" t="str">
        <x:v>Workload</x:v>
      </x:c>
      <x:c r="E180" s="32" t="str">
        <x:v>Elastic SAN</x:v>
      </x:c>
      <x:c r="F180" s="32" t="str">
        <x:v>Managed cloud SAN</x:v>
      </x:c>
      <x:c r="G180" s="32" t="str">
        <x:v>Provide centrally provisioned block storage through SAN-style constructs.</x:v>
      </x:c>
      <x:c r="H180" s="32" t="str">
        <x:v>Choose this capability when you need to provide centrally provisioned block storage through san-style constructs.</x:v>
      </x:c>
      <x:c r="I180" s="32" t="str">
        <x:v>What business outcome, scale, control, integration and operating model justify choosing managed cloud san?</x:v>
      </x:c>
      <x:c r="J180" s="32" t="str">
        <x:v>Managed simplicity and performance versus portability, data gravity and long-term cost.</x:v>
      </x:c>
      <x:c r="K180" s="32" t="n">
        <x:v>3</x:v>
      </x:c>
      <x:c r="L180" s="32" t="str">
        <x:v>Moderate</x:v>
      </x:c>
      <x:c r="M180" s="32" t="str">
        <x:v>1–3 weeks</x:v>
      </x:c>
      <x:c r="N180" s="32" t="str">
        <x:v>Medium</x:v>
      </x:c>
      <x:c r="O180" s="32" t="str">
        <x:v>Amazon EBS / FSx</x:v>
      </x:c>
      <x:c r="P180" s="32" t="str">
        <x:v>Azure Elastic SAN</x:v>
      </x:c>
      <x:c r="Q180" s="32" t="str">
        <x:v>Hyperdisk Storage Pools</x:v>
      </x:c>
      <x:c r="R180" s="32" t="n">
        <x:f>'Provider Ratings'!AD180</x:f>
        <x:v>3.67</x:v>
      </x:c>
      <x:c r="S180" s="32" t="n">
        <x:f>'Provider Ratings'!AE180</x:f>
        <x:v>3.74</x:v>
      </x:c>
      <x:c r="T180" s="32" t="n">
        <x:f>'Provider Ratings'!AF180</x:f>
        <x:v>3.72</x:v>
      </x:c>
      <x:c r="U180" s="32" t="str">
        <x:f>'Provider Ratings'!AG180</x:f>
        <x:v>Context-dependent tie</x:v>
      </x:c>
      <x:c r="V180" s="32" t="str">
        <x:f>'Provider Ratings'!AH180</x:f>
        <x:v>Scores are close: use ecosystem, data gravity, region, skills, commercials and proof-of-value results to decide.</x:v>
      </x:c>
      <x:c r="W180" s="32" t="str">
        <x:v>Partial</x:v>
      </x:c>
      <x:c r="X180" s="32"/>
      <x:c r="Y180" s="32" t="str">
        <x:v>2026-07-12</x:v>
      </x:c>
    </x:row>
    <x:row r="181">
      <x:c r="A181" s="32" t="str">
        <x:v>06 Data Platform, Analytics &amp; BI</x:v>
      </x:c>
      <x:c r="B181" s="32" t="str">
        <x:v>Data, Analytics &amp; BI</x:v>
      </x:c>
      <x:c r="C181" s="32" t="str">
        <x:v>Data Lake, Warehouse &amp; Lakehouse</x:v>
      </x:c>
      <x:c r="D181" s="32" t="str">
        <x:v>Platform</x:v>
      </x:c>
      <x:c r="E181" s="32" t="str">
        <x:v>Data warehouse</x:v>
      </x:c>
      <x:c r="F181" s="32" t="str">
        <x:v>Cloud data warehouse</x:v>
      </x:c>
      <x:c r="G181" s="32" t="str">
        <x:v>Run scalable analytical SQL workloads over structured and semi-structured data.</x:v>
      </x:c>
      <x:c r="H181" s="32" t="str">
        <x:v>Choose this capability when you need to run scalable analytical sql workloads over structured and semi-structured data.</x:v>
      </x:c>
      <x:c r="I181" s="32" t="str">
        <x:v>Is the primary need governed BI, open data-lake processing, real-time analytics, or one unified lakehouse?</x:v>
      </x:c>
      <x:c r="J181" s="32" t="str">
        <x:v>Managed simplicity and performance versus portability, data gravity and long-term cost.</x:v>
      </x:c>
      <x:c r="K181" s="32" t="n">
        <x:v>3</x:v>
      </x:c>
      <x:c r="L181" s="32" t="str">
        <x:v>Moderate</x:v>
      </x:c>
      <x:c r="M181" s="32" t="str">
        <x:v>1–3 weeks</x:v>
      </x:c>
      <x:c r="N181" s="32" t="str">
        <x:v>High</x:v>
      </x:c>
      <x:c r="O181" s="32" t="str">
        <x:v>Amazon Redshift
Amazon Redshift Serverless</x:v>
      </x:c>
      <x:c r="P181" s="32" t="str">
        <x:v>Azure Synapse Analytics
Microsoft Fabric Warehouse</x:v>
      </x:c>
      <x:c r="Q181" s="32" t="str">
        <x:v>BigQuery</x:v>
      </x:c>
      <x:c r="R181" s="32" t="n">
        <x:f>'Provider Ratings'!AD181</x:f>
        <x:v>3.76</x:v>
      </x:c>
      <x:c r="S181" s="32" t="n">
        <x:f>'Provider Ratings'!AE181</x:f>
        <x:v>3.82</x:v>
      </x:c>
      <x:c r="T181" s="32" t="n">
        <x:f>'Provider Ratings'!AF181</x:f>
        <x:v>4.14</x:v>
      </x:c>
      <x:c r="U181" s="32" t="str">
        <x:f>'Provider Ratings'!AG181</x:f>
        <x:v>GCP</x:v>
      </x:c>
      <x:c r="V181" s="32" t="str">
        <x:f>'Provider Ratings'!AH181</x:f>
        <x:v>Start with Google Cloud when data, AI, Kubernetes, network or managed developer experience is the main differentiator.</x:v>
      </x:c>
      <x:c r="W181" s="32" t="str">
        <x:v>Close</x:v>
      </x:c>
      <x:c r="X181" s="32"/>
      <x:c r="Y181" s="32" t="str">
        <x:v>2026-07-12</x:v>
      </x:c>
    </x:row>
    <x:row r="182">
      <x:c r="A182" s="32" t="str">
        <x:v>06 Data Platform, Analytics &amp; BI</x:v>
      </x:c>
      <x:c r="B182" s="32" t="str">
        <x:v>Data, Analytics &amp; BI</x:v>
      </x:c>
      <x:c r="C182" s="32" t="str">
        <x:v>Data Lake, Warehouse &amp; Lakehouse</x:v>
      </x:c>
      <x:c r="D182" s="32" t="str">
        <x:v>Platform</x:v>
      </x:c>
      <x:c r="E182" s="32" t="str">
        <x:v>Lakehouse</x:v>
      </x:c>
      <x:c r="F182" s="32" t="str">
        <x:v>Lakehouse platform</x:v>
      </x:c>
      <x:c r="G182" s="32" t="str">
        <x:v>Combine data-lake flexibility with warehouse governance and analytics.</x:v>
      </x:c>
      <x:c r="H182" s="32" t="str">
        <x:v>Choose this capability when you need to combine data-lake flexibility with warehouse governance and analytics.</x:v>
      </x:c>
      <x:c r="I182" s="32" t="str">
        <x:v>Is the primary need governed BI, open data-lake processing, real-time analytics, or one unified lakehouse?</x:v>
      </x:c>
      <x:c r="J182" s="32" t="str">
        <x:v>Managed simplicity and performance versus portability, data gravity and long-term cost.</x:v>
      </x:c>
      <x:c r="K182" s="32" t="n">
        <x:v>3</x:v>
      </x:c>
      <x:c r="L182" s="32" t="str">
        <x:v>Moderate</x:v>
      </x:c>
      <x:c r="M182" s="32" t="str">
        <x:v>1–3 weeks</x:v>
      </x:c>
      <x:c r="N182" s="32" t="str">
        <x:v>Medium</x:v>
      </x:c>
      <x:c r="O182" s="32" t="str">
        <x:v>Amazon S3
AWS Lake Formation
Amazon Redshift
AWS Glue</x:v>
      </x:c>
      <x:c r="P182" s="32" t="str">
        <x:v>Microsoft Fabric
Azure Databricks
Azure Data Lake Storage</x:v>
      </x:c>
      <x:c r="Q182" s="32" t="str">
        <x:v>BigQuery Lakehouse
Lakehouse</x:v>
      </x:c>
      <x:c r="R182" s="32" t="n">
        <x:f>'Provider Ratings'!AD182</x:f>
        <x:v>3.8</x:v>
      </x:c>
      <x:c r="S182" s="32" t="n">
        <x:f>'Provider Ratings'!AE182</x:f>
        <x:v>3.86</x:v>
      </x:c>
      <x:c r="T182" s="32" t="n">
        <x:f>'Provider Ratings'!AF182</x:f>
        <x:v>4.06</x:v>
      </x:c>
      <x:c r="U182" s="32" t="str">
        <x:f>'Provider Ratings'!AG182</x:f>
        <x:v>GCP</x:v>
      </x:c>
      <x:c r="V182" s="32" t="str">
        <x:f>'Provider Ratings'!AH182</x:f>
        <x:v>Start with Google Cloud when data, AI, Kubernetes, network or managed developer experience is the main differentiator.</x:v>
      </x:c>
      <x:c r="W182" s="32" t="str">
        <x:v>Close</x:v>
      </x:c>
      <x:c r="X182" s="32"/>
      <x:c r="Y182" s="32" t="str">
        <x:v>2026-07-12</x:v>
      </x:c>
    </x:row>
    <x:row r="183">
      <x:c r="A183" s="32" t="str">
        <x:v>06 Data Platform, Analytics &amp; BI</x:v>
      </x:c>
      <x:c r="B183" s="32" t="str">
        <x:v>Data, Analytics &amp; BI</x:v>
      </x:c>
      <x:c r="C183" s="32" t="str">
        <x:v>Data Lake, Warehouse &amp; Lakehouse</x:v>
      </x:c>
      <x:c r="D183" s="32" t="str">
        <x:v>Workload</x:v>
      </x:c>
      <x:c r="E183" s="32" t="str">
        <x:v>Data lake</x:v>
      </x:c>
      <x:c r="F183" s="32" t="str">
        <x:v>Cloud data lake storage</x:v>
      </x:c>
      <x:c r="G183" s="32" t="str">
        <x:v>Store raw and curated data centrally for analytics, ML and governance.</x:v>
      </x:c>
      <x:c r="H183" s="32" t="str">
        <x:v>Choose this capability when you need to store raw and curated data centrally for analytics, ml and governance.</x:v>
      </x:c>
      <x:c r="I183" s="32" t="str">
        <x:v>Is the primary need governed BI, open data-lake processing, real-time analytics, or one unified lakehouse?</x:v>
      </x:c>
      <x:c r="J183" s="32" t="str">
        <x:v>Managed simplicity and performance versus portability, data gravity and long-term cost.</x:v>
      </x:c>
      <x:c r="K183" s="32" t="n">
        <x:v>3</x:v>
      </x:c>
      <x:c r="L183" s="32" t="str">
        <x:v>Moderate</x:v>
      </x:c>
      <x:c r="M183" s="32" t="str">
        <x:v>1–3 weeks</x:v>
      </x:c>
      <x:c r="N183" s="32" t="str">
        <x:v>Medium</x:v>
      </x:c>
      <x:c r="O183" s="32" t="str">
        <x:v>Amazon S3
AWS Lake Formation</x:v>
      </x:c>
      <x:c r="P183" s="32" t="str">
        <x:v>Azure Data Lake Storage</x:v>
      </x:c>
      <x:c r="Q183" s="32" t="str">
        <x:v>Cloud Storage
BigLake</x:v>
      </x:c>
      <x:c r="R183" s="32" t="n">
        <x:f>'Provider Ratings'!AD183</x:f>
        <x:v>3.84</x:v>
      </x:c>
      <x:c r="S183" s="32" t="n">
        <x:f>'Provider Ratings'!AE183</x:f>
        <x:v>3.95</x:v>
      </x:c>
      <x:c r="T183" s="32" t="n">
        <x:f>'Provider Ratings'!AF183</x:f>
        <x:v>4.06</x:v>
      </x:c>
      <x:c r="U183" s="32" t="str">
        <x:f>'Provider Ratings'!AG183</x:f>
        <x:v>Context-dependent tie</x:v>
      </x:c>
      <x:c r="V183" s="32" t="str">
        <x:f>'Provider Ratings'!AH183</x:f>
        <x:v>Scores are close: use ecosystem, data gravity, region, skills, commercials and proof-of-value results to decide.</x:v>
      </x:c>
      <x:c r="W183" s="32" t="str">
        <x:v>Close</x:v>
      </x:c>
      <x:c r="X183" s="32"/>
      <x:c r="Y183" s="32" t="str">
        <x:v>2026-07-12</x:v>
      </x:c>
    </x:row>
    <x:row r="184">
      <x:c r="A184" s="32" t="str">
        <x:v>06 Data Platform, Analytics &amp; BI</x:v>
      </x:c>
      <x:c r="B184" s="32" t="str">
        <x:v>Data, Analytics &amp; BI</x:v>
      </x:c>
      <x:c r="C184" s="32" t="str">
        <x:v>Data Lake, Warehouse &amp; Lakehouse</x:v>
      </x:c>
      <x:c r="D184" s="32" t="str">
        <x:v>Workload</x:v>
      </x:c>
      <x:c r="E184" s="32" t="str">
        <x:v>Serverless SQL</x:v>
      </x:c>
      <x:c r="F184" s="32" t="str">
        <x:v>Serverless query over data lake</x:v>
      </x:c>
      <x:c r="G184" s="32" t="str">
        <x:v>Query files in object storage using SQL without managing database servers.</x:v>
      </x:c>
      <x:c r="H184" s="32" t="str">
        <x:v>Choose this capability when you need to query files in object storage using sql without managing database servers.</x:v>
      </x:c>
      <x:c r="I184" s="32" t="str">
        <x:v>Is the primary need governed BI, open data-lake processing, real-time analytics, or one unified lakehouse?</x:v>
      </x:c>
      <x:c r="J184" s="32" t="str">
        <x:v>Managed simplicity and performance versus portability, data gravity and long-term cost.</x:v>
      </x:c>
      <x:c r="K184" s="32" t="n">
        <x:v>3</x:v>
      </x:c>
      <x:c r="L184" s="32" t="str">
        <x:v>Moderate</x:v>
      </x:c>
      <x:c r="M184" s="32" t="str">
        <x:v>1–3 weeks</x:v>
      </x:c>
      <x:c r="N184" s="32" t="str">
        <x:v>High</x:v>
      </x:c>
      <x:c r="O184" s="32" t="str">
        <x:v>Amazon Athena</x:v>
      </x:c>
      <x:c r="P184" s="32" t="str">
        <x:v>Azure Synapse serverless SQL
Microsoft Fabric</x:v>
      </x:c>
      <x:c r="Q184" s="32" t="str">
        <x:v>BigQuery external tables
BigLake</x:v>
      </x:c>
      <x:c r="R184" s="32" t="n">
        <x:f>'Provider Ratings'!AD184</x:f>
        <x:v>3.99</x:v>
      </x:c>
      <x:c r="S184" s="32" t="n">
        <x:f>'Provider Ratings'!AE184</x:f>
        <x:v>3.89</x:v>
      </x:c>
      <x:c r="T184" s="32" t="n">
        <x:f>'Provider Ratings'!AF184</x:f>
        <x:v>4.04</x:v>
      </x:c>
      <x:c r="U184" s="32" t="str">
        <x:f>'Provider Ratings'!AG184</x:f>
        <x:v>Context-dependent tie</x:v>
      </x:c>
      <x:c r="V184" s="32" t="str">
        <x:f>'Provider Ratings'!AH184</x:f>
        <x:v>Scores are close: use ecosystem, data gravity, region, skills, commercials and proof-of-value results to decide.</x:v>
      </x:c>
      <x:c r="W184" s="32" t="str">
        <x:v>Close</x:v>
      </x:c>
      <x:c r="X184" s="32"/>
      <x:c r="Y184" s="32" t="str">
        <x:v>2026-07-12</x:v>
      </x:c>
    </x:row>
    <x:row r="185">
      <x:c r="A185" s="32" t="str">
        <x:v>06 Data Platform, Analytics &amp; BI</x:v>
      </x:c>
      <x:c r="B185" s="32" t="str">
        <x:v>Data, Analytics &amp; BI</x:v>
      </x:c>
      <x:c r="C185" s="32" t="str">
        <x:v>Data Engineering &amp; Orchestration</x:v>
      </x:c>
      <x:c r="D185" s="32" t="str">
        <x:v>Workload</x:v>
      </x:c>
      <x:c r="E185" s="32" t="str">
        <x:v>Big data</x:v>
      </x:c>
      <x:c r="F185" s="32" t="str">
        <x:v>Managed Spark and Hadoop</x:v>
      </x:c>
      <x:c r="G185" s="32" t="str">
        <x:v>Run managed open-source big-data processing frameworks.</x:v>
      </x:c>
      <x:c r="H185" s="32" t="str">
        <x:v>Choose this capability when you need to run managed open-source big-data processing frameworks.</x:v>
      </x:c>
      <x:c r="I185" s="32" t="str">
        <x:v>Do you need batch ETL, ELT, Spark, CDC, orchestration, or a unified managed pipeline experience?</x:v>
      </x:c>
      <x:c r="J185" s="32" t="str">
        <x:v>Managed simplicity and performance versus portability, data gravity and long-term cost.</x:v>
      </x:c>
      <x:c r="K185" s="32" t="n">
        <x:v>3</x:v>
      </x:c>
      <x:c r="L185" s="32" t="str">
        <x:v>Moderate</x:v>
      </x:c>
      <x:c r="M185" s="32" t="str">
        <x:v>1–3 weeks</x:v>
      </x:c>
      <x:c r="N185" s="32" t="str">
        <x:v>Medium</x:v>
      </x:c>
      <x:c r="O185" s="32" t="str">
        <x:v>Amazon EMR</x:v>
      </x:c>
      <x:c r="P185" s="32" t="str">
        <x:v>Azure HDInsight
Azure Databricks</x:v>
      </x:c>
      <x:c r="Q185" s="32" t="str">
        <x:v>Managed Service for Apache Spark
Dataproc</x:v>
      </x:c>
      <x:c r="R185" s="32" t="n">
        <x:f>'Provider Ratings'!AD185</x:f>
        <x:v>3.88</x:v>
      </x:c>
      <x:c r="S185" s="32" t="n">
        <x:f>'Provider Ratings'!AE185</x:f>
        <x:v>3.89</x:v>
      </x:c>
      <x:c r="T185" s="32" t="n">
        <x:f>'Provider Ratings'!AF185</x:f>
        <x:v>3.95</x:v>
      </x:c>
      <x:c r="U185" s="32" t="str">
        <x:f>'Provider Ratings'!AG185</x:f>
        <x:v>Context-dependent tie</x:v>
      </x:c>
      <x:c r="V185" s="32" t="str">
        <x:f>'Provider Ratings'!AH185</x:f>
        <x:v>Scores are close: use ecosystem, data gravity, region, skills, commercials and proof-of-value results to decide.</x:v>
      </x:c>
      <x:c r="W185" s="32" t="str">
        <x:v>Close</x:v>
      </x:c>
      <x:c r="X185" s="32"/>
      <x:c r="Y185" s="32" t="str">
        <x:v>2026-07-12</x:v>
      </x:c>
    </x:row>
    <x:row r="186">
      <x:c r="A186" s="32" t="str">
        <x:v>06 Data Platform, Analytics &amp; BI</x:v>
      </x:c>
      <x:c r="B186" s="32" t="str">
        <x:v>Data, Analytics &amp; BI</x:v>
      </x:c>
      <x:c r="C186" s="32" t="str">
        <x:v>Streaming &amp; Real-Time Data</x:v>
      </x:c>
      <x:c r="D186" s="32" t="str">
        <x:v>Workload</x:v>
      </x:c>
      <x:c r="E186" s="32" t="str">
        <x:v>Streaming ingestion</x:v>
      </x:c>
      <x:c r="F186" s="32" t="str">
        <x:v>Streaming event ingestion</x:v>
      </x:c>
      <x:c r="G186" s="32" t="str">
        <x:v>Ingest high-volume event streams for near-real-time processing.</x:v>
      </x:c>
      <x:c r="H186" s="32" t="str">
        <x:v>Choose this capability when you need to ingest high-volume event streams for near-real-time processing.</x:v>
      </x:c>
      <x:c r="I186" s="32" t="str">
        <x:v>What throughput, ordering, replay, latency and ecosystem compatibility are required?</x:v>
      </x:c>
      <x:c r="J186" s="32" t="str">
        <x:v>Managed simplicity and performance versus portability, data gravity and long-term cost.</x:v>
      </x:c>
      <x:c r="K186" s="32" t="n">
        <x:v>3</x:v>
      </x:c>
      <x:c r="L186" s="32" t="str">
        <x:v>Moderate</x:v>
      </x:c>
      <x:c r="M186" s="32" t="str">
        <x:v>1–3 weeks</x:v>
      </x:c>
      <x:c r="N186" s="32" t="str">
        <x:v>Medium</x:v>
      </x:c>
      <x:c r="O186" s="32" t="str">
        <x:v>Amazon Kinesis Data Streams
Amazon Data Firehose</x:v>
      </x:c>
      <x:c r="P186" s="32" t="str">
        <x:v>Azure Event Hubs</x:v>
      </x:c>
      <x:c r="Q186" s="32" t="str">
        <x:v>Pub/Sub
Managed Service for Apache Kafka</x:v>
      </x:c>
      <x:c r="R186" s="32" t="n">
        <x:f>'Provider Ratings'!AD186</x:f>
        <x:v>3.8</x:v>
      </x:c>
      <x:c r="S186" s="32" t="n">
        <x:f>'Provider Ratings'!AE186</x:f>
        <x:v>3.93</x:v>
      </x:c>
      <x:c r="T186" s="32" t="n">
        <x:f>'Provider Ratings'!AF186</x:f>
        <x:v>3.95</x:v>
      </x:c>
      <x:c r="U186" s="32" t="str">
        <x:f>'Provider Ratings'!AG186</x:f>
        <x:v>Context-dependent tie</x:v>
      </x:c>
      <x:c r="V186" s="32" t="str">
        <x:f>'Provider Ratings'!AH186</x:f>
        <x:v>Scores are close: use ecosystem, data gravity, region, skills, commercials and proof-of-value results to decide.</x:v>
      </x:c>
      <x:c r="W186" s="32" t="str">
        <x:v>Close</x:v>
      </x:c>
      <x:c r="X186" s="32"/>
      <x:c r="Y186" s="32" t="str">
        <x:v>2026-07-12</x:v>
      </x:c>
    </x:row>
    <x:row r="187">
      <x:c r="A187" s="32" t="str">
        <x:v>06 Data Platform, Analytics &amp; BI</x:v>
      </x:c>
      <x:c r="B187" s="32" t="str">
        <x:v>Data, Analytics &amp; BI</x:v>
      </x:c>
      <x:c r="C187" s="32" t="str">
        <x:v>Streaming &amp; Real-Time Data</x:v>
      </x:c>
      <x:c r="D187" s="32" t="str">
        <x:v>Workload</x:v>
      </x:c>
      <x:c r="E187" s="32" t="str">
        <x:v>Stream processing</x:v>
      </x:c>
      <x:c r="F187" s="32" t="str">
        <x:v>Managed stream processing</x:v>
      </x:c>
      <x:c r="G187" s="32" t="str">
        <x:v>Process and transform continuously arriving data with low latency.</x:v>
      </x:c>
      <x:c r="H187" s="32" t="str">
        <x:v>Choose this capability when you need to process and transform continuously arriving data with low latency.</x:v>
      </x:c>
      <x:c r="I187" s="32" t="str">
        <x:v>What throughput, ordering, replay, latency and ecosystem compatibility are required?</x:v>
      </x:c>
      <x:c r="J187" s="32" t="str">
        <x:v>Managed simplicity and performance versus portability, data gravity and long-term cost.</x:v>
      </x:c>
      <x:c r="K187" s="32" t="n">
        <x:v>3</x:v>
      </x:c>
      <x:c r="L187" s="32" t="str">
        <x:v>Moderate</x:v>
      </x:c>
      <x:c r="M187" s="32" t="str">
        <x:v>1–3 weeks</x:v>
      </x:c>
      <x:c r="N187" s="32" t="str">
        <x:v>Medium</x:v>
      </x:c>
      <x:c r="O187" s="32" t="str">
        <x:v>Amazon Managed Service for Apache Flink
Amazon Kinesis Data Analytics</x:v>
      </x:c>
      <x:c r="P187" s="32" t="str">
        <x:v>Azure Stream Analytics
Azure Databricks Structured Streaming</x:v>
      </x:c>
      <x:c r="Q187" s="32" t="str">
        <x:v>Dataflow</x:v>
      </x:c>
      <x:c r="R187" s="32" t="n">
        <x:f>'Provider Ratings'!AD187</x:f>
        <x:v>3.8</x:v>
      </x:c>
      <x:c r="S187" s="32" t="n">
        <x:f>'Provider Ratings'!AE187</x:f>
        <x:v>3.84</x:v>
      </x:c>
      <x:c r="T187" s="32" t="n">
        <x:f>'Provider Ratings'!AF187</x:f>
        <x:v>4.07</x:v>
      </x:c>
      <x:c r="U187" s="32" t="str">
        <x:f>'Provider Ratings'!AG187</x:f>
        <x:v>GCP</x:v>
      </x:c>
      <x:c r="V187" s="32" t="str">
        <x:f>'Provider Ratings'!AH187</x:f>
        <x:v>Start with Google Cloud when data, AI, Kubernetes, network or managed developer experience is the main differentiator.</x:v>
      </x:c>
      <x:c r="W187" s="32" t="str">
        <x:v>Close</x:v>
      </x:c>
      <x:c r="X187" s="32"/>
      <x:c r="Y187" s="32" t="str">
        <x:v>2026-07-12</x:v>
      </x:c>
    </x:row>
    <x:row r="188">
      <x:c r="A188" s="32" t="str">
        <x:v>06 Data Platform, Analytics &amp; BI</x:v>
      </x:c>
      <x:c r="B188" s="32" t="str">
        <x:v>Data, Analytics &amp; BI</x:v>
      </x:c>
      <x:c r="C188" s="32" t="str">
        <x:v>Streaming &amp; Real-Time Data</x:v>
      </x:c>
      <x:c r="D188" s="32" t="str">
        <x:v>Workload</x:v>
      </x:c>
      <x:c r="E188" s="32" t="str">
        <x:v>Kafka</x:v>
      </x:c>
      <x:c r="F188" s="32" t="str">
        <x:v>Managed Apache Kafka</x:v>
      </x:c>
      <x:c r="G188" s="32" t="str">
        <x:v>Operate Apache Kafka clusters as a managed service.</x:v>
      </x:c>
      <x:c r="H188" s="32" t="str">
        <x:v>Choose this capability when you need to operate apache kafka clusters as a managed service.</x:v>
      </x:c>
      <x:c r="I188" s="32" t="str">
        <x:v>What throughput, ordering, replay, latency and ecosystem compatibility are required?</x:v>
      </x:c>
      <x:c r="J188" s="32" t="str">
        <x:v>Managed simplicity and performance versus portability, data gravity and long-term cost.</x:v>
      </x:c>
      <x:c r="K188" s="32" t="n">
        <x:v>3</x:v>
      </x:c>
      <x:c r="L188" s="32" t="str">
        <x:v>Moderate</x:v>
      </x:c>
      <x:c r="M188" s="32" t="str">
        <x:v>1–3 weeks</x:v>
      </x:c>
      <x:c r="N188" s="32" t="str">
        <x:v>Low</x:v>
      </x:c>
      <x:c r="O188" s="32" t="str">
        <x:v>Amazon Managed Streaming for Apache Kafka</x:v>
      </x:c>
      <x:c r="P188" s="32" t="str">
        <x:v>Azure Event Hubs Kafka endpoint
Confluent Cloud on Azure</x:v>
      </x:c>
      <x:c r="Q188" s="32" t="str">
        <x:v>Managed Service for Apache Kafka</x:v>
      </x:c>
      <x:c r="R188" s="32" t="n">
        <x:f>'Provider Ratings'!AD188</x:f>
        <x:v>3.95</x:v>
      </x:c>
      <x:c r="S188" s="32" t="n">
        <x:f>'Provider Ratings'!AE188</x:f>
        <x:v>3.9</x:v>
      </x:c>
      <x:c r="T188" s="32" t="n">
        <x:f>'Provider Ratings'!AF188</x:f>
        <x:v>4.14</x:v>
      </x:c>
      <x:c r="U188" s="32" t="str">
        <x:f>'Provider Ratings'!AG188</x:f>
        <x:v>GCP</x:v>
      </x:c>
      <x:c r="V188" s="32" t="str">
        <x:f>'Provider Ratings'!AH188</x:f>
        <x:v>Start with Google Cloud when data, AI, Kubernetes, network or managed developer experience is the main differentiator.</x:v>
      </x:c>
      <x:c r="W188" s="32" t="str">
        <x:v>Close</x:v>
      </x:c>
      <x:c r="X188" s="32"/>
      <x:c r="Y188" s="32" t="str">
        <x:v>2026-07-12</x:v>
      </x:c>
    </x:row>
    <x:row r="189">
      <x:c r="A189" s="32" t="str">
        <x:v>06 Data Platform, Analytics &amp; BI</x:v>
      </x:c>
      <x:c r="B189" s="32" t="str">
        <x:v>Data, Analytics &amp; BI</x:v>
      </x:c>
      <x:c r="C189" s="32" t="str">
        <x:v>Data Engineering &amp; Orchestration</x:v>
      </x:c>
      <x:c r="D189" s="32" t="str">
        <x:v>Workload</x:v>
      </x:c>
      <x:c r="E189" s="32" t="str">
        <x:v>ETL and integration</x:v>
      </x:c>
      <x:c r="F189" s="32" t="str">
        <x:v>Managed ETL and data integration</x:v>
      </x:c>
      <x:c r="G189" s="32" t="str">
        <x:v>Discover, prepare, transform and move data between systems.</x:v>
      </x:c>
      <x:c r="H189" s="32" t="str">
        <x:v>Choose this capability when you need to discover, prepare, transform and move data between systems.</x:v>
      </x:c>
      <x:c r="I189" s="32" t="str">
        <x:v>Do you need batch ETL, ELT, Spark, CDC, orchestration, or a unified managed pipeline experience?</x:v>
      </x:c>
      <x:c r="J189" s="32" t="str">
        <x:v>Managed simplicity and performance versus portability, data gravity and long-term cost.</x:v>
      </x:c>
      <x:c r="K189" s="32" t="n">
        <x:v>3</x:v>
      </x:c>
      <x:c r="L189" s="32" t="str">
        <x:v>Moderate</x:v>
      </x:c>
      <x:c r="M189" s="32" t="str">
        <x:v>1–3 weeks</x:v>
      </x:c>
      <x:c r="N189" s="32" t="str">
        <x:v>Medium</x:v>
      </x:c>
      <x:c r="O189" s="32" t="str">
        <x:v>AWS Glue</x:v>
      </x:c>
      <x:c r="P189" s="32" t="str">
        <x:v>Azure Data Factory
Microsoft Fabric Data Factory</x:v>
      </x:c>
      <x:c r="Q189" s="32" t="str">
        <x:v>Cloud Data Fusion
Dataflow</x:v>
      </x:c>
      <x:c r="R189" s="32" t="n">
        <x:f>'Provider Ratings'!AD189</x:f>
        <x:v>3.88</x:v>
      </x:c>
      <x:c r="S189" s="32" t="n">
        <x:f>'Provider Ratings'!AE189</x:f>
        <x:v>3.84</x:v>
      </x:c>
      <x:c r="T189" s="32" t="n">
        <x:f>'Provider Ratings'!AF189</x:f>
        <x:v>3.95</x:v>
      </x:c>
      <x:c r="U189" s="32" t="str">
        <x:f>'Provider Ratings'!AG189</x:f>
        <x:v>Context-dependent tie</x:v>
      </x:c>
      <x:c r="V189" s="32" t="str">
        <x:f>'Provider Ratings'!AH189</x:f>
        <x:v>Scores are close: use ecosystem, data gravity, region, skills, commercials and proof-of-value results to decide.</x:v>
      </x:c>
      <x:c r="W189" s="32" t="str">
        <x:v>Close</x:v>
      </x:c>
      <x:c r="X189" s="32"/>
      <x:c r="Y189" s="32" t="str">
        <x:v>2026-07-12</x:v>
      </x:c>
    </x:row>
    <x:row r="190">
      <x:c r="A190" s="32" t="str">
        <x:v>06 Data Platform, Analytics &amp; BI</x:v>
      </x:c>
      <x:c r="B190" s="32" t="str">
        <x:v>Data, Analytics &amp; BI</x:v>
      </x:c>
      <x:c r="C190" s="32" t="str">
        <x:v>Data Engineering &amp; Orchestration</x:v>
      </x:c>
      <x:c r="D190" s="32" t="str">
        <x:v>Workload</x:v>
      </x:c>
      <x:c r="E190" s="32" t="str">
        <x:v>ELT</x:v>
      </x:c>
      <x:c r="F190" s="32" t="str">
        <x:v>SQL transformation and modelling</x:v>
      </x:c>
      <x:c r="G190" s="32" t="str">
        <x:v>Transform warehouse data through managed SQL development and dependency workflows.</x:v>
      </x:c>
      <x:c r="H190" s="32" t="str">
        <x:v>Choose this capability when you need to transform warehouse data through managed sql development and dependency workflows.</x:v>
      </x:c>
      <x:c r="I190" s="32" t="str">
        <x:v>Do you need batch ETL, ELT, Spark, CDC, orchestration, or a unified managed pipeline experience?</x:v>
      </x:c>
      <x:c r="J190" s="32" t="str">
        <x:v>Managed simplicity and performance versus portability, data gravity and long-term cost.</x:v>
      </x:c>
      <x:c r="K190" s="32" t="n">
        <x:v>3</x:v>
      </x:c>
      <x:c r="L190" s="32" t="str">
        <x:v>Moderate</x:v>
      </x:c>
      <x:c r="M190" s="32" t="str">
        <x:v>1–3 weeks</x:v>
      </x:c>
      <x:c r="N190" s="32" t="str">
        <x:v>Medium</x:v>
      </x:c>
      <x:c r="O190" s="32" t="str">
        <x:v>AWS Glue DataBrew
Amazon Redshift SQL</x:v>
      </x:c>
      <x:c r="P190" s="32" t="str">
        <x:v>Microsoft Fabric Data Factory
dbt integrations</x:v>
      </x:c>
      <x:c r="Q190" s="32" t="str">
        <x:v>Dataform</x:v>
      </x:c>
      <x:c r="R190" s="32" t="n">
        <x:f>'Provider Ratings'!AD190</x:f>
        <x:v>3.8</x:v>
      </x:c>
      <x:c r="S190" s="32" t="n">
        <x:f>'Provider Ratings'!AE190</x:f>
        <x:v>3.89</x:v>
      </x:c>
      <x:c r="T190" s="32" t="n">
        <x:f>'Provider Ratings'!AF190</x:f>
        <x:v>4.07</x:v>
      </x:c>
      <x:c r="U190" s="32" t="str">
        <x:f>'Provider Ratings'!AG190</x:f>
        <x:v>GCP</x:v>
      </x:c>
      <x:c r="V190" s="32" t="str">
        <x:f>'Provider Ratings'!AH190</x:f>
        <x:v>Start with Google Cloud when data, AI, Kubernetes, network or managed developer experience is the main differentiator.</x:v>
      </x:c>
      <x:c r="W190" s="32" t="str">
        <x:v>Close</x:v>
      </x:c>
      <x:c r="X190" s="32"/>
      <x:c r="Y190" s="32" t="str">
        <x:v>2026-07-12</x:v>
      </x:c>
    </x:row>
    <x:row r="191">
      <x:c r="A191" s="32" t="str">
        <x:v>06 Data Platform, Analytics &amp; BI</x:v>
      </x:c>
      <x:c r="B191" s="32" t="str">
        <x:v>Data, Analytics &amp; BI</x:v>
      </x:c>
      <x:c r="C191" s="32" t="str">
        <x:v>Data Engineering &amp; Orchestration</x:v>
      </x:c>
      <x:c r="D191" s="32" t="str">
        <x:v>Workload</x:v>
      </x:c>
      <x:c r="E191" s="32" t="str">
        <x:v>Data orchestration</x:v>
      </x:c>
      <x:c r="F191" s="32" t="str">
        <x:v>Data workflow orchestration</x:v>
      </x:c>
      <x:c r="G191" s="32" t="str">
        <x:v>Schedule and orchestrate dependent data pipelines and processing tasks.</x:v>
      </x:c>
      <x:c r="H191" s="32" t="str">
        <x:v>Choose this capability when you need to schedule and orchestrate dependent data pipelines and processing tasks.</x:v>
      </x:c>
      <x:c r="I191" s="32" t="str">
        <x:v>Do you need batch ETL, ELT, Spark, CDC, orchestration, or a unified managed pipeline experience?</x:v>
      </x:c>
      <x:c r="J191" s="32" t="str">
        <x:v>Managed simplicity and performance versus portability, data gravity and long-term cost.</x:v>
      </x:c>
      <x:c r="K191" s="32" t="n">
        <x:v>3</x:v>
      </x:c>
      <x:c r="L191" s="32" t="str">
        <x:v>Moderate</x:v>
      </x:c>
      <x:c r="M191" s="32" t="str">
        <x:v>1–3 weeks</x:v>
      </x:c>
      <x:c r="N191" s="32" t="str">
        <x:v>High</x:v>
      </x:c>
      <x:c r="O191" s="32" t="str">
        <x:v>Amazon Managed Workflows for Apache Airflow
AWS Step Functions</x:v>
      </x:c>
      <x:c r="P191" s="32" t="str">
        <x:v>Azure Data Factory
Microsoft Fabric</x:v>
      </x:c>
      <x:c r="Q191" s="32" t="str">
        <x:v>Managed Service for Apache Airflow
Orchestration Pipelines</x:v>
      </x:c>
      <x:c r="R191" s="32" t="n">
        <x:f>'Provider Ratings'!AD191</x:f>
        <x:v>3.76</x:v>
      </x:c>
      <x:c r="S191" s="32" t="n">
        <x:f>'Provider Ratings'!AE191</x:f>
        <x:v>3.8</x:v>
      </x:c>
      <x:c r="T191" s="32" t="n">
        <x:f>'Provider Ratings'!AF191</x:f>
        <x:v>3.91</x:v>
      </x:c>
      <x:c r="U191" s="32" t="str">
        <x:f>'Provider Ratings'!AG191</x:f>
        <x:v>Context-dependent tie</x:v>
      </x:c>
      <x:c r="V191" s="32" t="str">
        <x:f>'Provider Ratings'!AH191</x:f>
        <x:v>Scores are close: use ecosystem, data gravity, region, skills, commercials and proof-of-value results to decide.</x:v>
      </x:c>
      <x:c r="W191" s="32" t="str">
        <x:v>Close</x:v>
      </x:c>
      <x:c r="X191" s="32"/>
      <x:c r="Y191" s="32" t="str">
        <x:v>2026-07-12</x:v>
      </x:c>
    </x:row>
    <x:row r="192">
      <x:c r="A192" s="32" t="str">
        <x:v>06 Data Platform, Analytics &amp; BI</x:v>
      </x:c>
      <x:c r="B192" s="32" t="str">
        <x:v>Data, Analytics &amp; BI</x:v>
      </x:c>
      <x:c r="C192" s="32" t="str">
        <x:v>Data Engineering &amp; Orchestration</x:v>
      </x:c>
      <x:c r="D192" s="32" t="str">
        <x:v>Workload</x:v>
      </x:c>
      <x:c r="E192" s="32" t="str">
        <x:v>Data replication</x:v>
      </x:c>
      <x:c r="F192" s="32" t="str">
        <x:v>Change data capture and replication</x:v>
      </x:c>
      <x:c r="G192" s="32" t="str">
        <x:v>Continuously replicate database changes into analytical or operational targets.</x:v>
      </x:c>
      <x:c r="H192" s="32" t="str">
        <x:v>Choose this capability when you need to continuously replicate database changes into analytical or operational targets.</x:v>
      </x:c>
      <x:c r="I192" s="32" t="str">
        <x:v>Do you need batch ETL, ELT, Spark, CDC, orchestration, or a unified managed pipeline experience?</x:v>
      </x:c>
      <x:c r="J192" s="32" t="str">
        <x:v>Managed simplicity and performance versus portability, data gravity and long-term cost.</x:v>
      </x:c>
      <x:c r="K192" s="32" t="n">
        <x:v>3</x:v>
      </x:c>
      <x:c r="L192" s="32" t="str">
        <x:v>Moderate</x:v>
      </x:c>
      <x:c r="M192" s="32" t="str">
        <x:v>1–3 weeks</x:v>
      </x:c>
      <x:c r="N192" s="32" t="str">
        <x:v>Medium</x:v>
      </x:c>
      <x:c r="O192" s="32" t="str">
        <x:v>AWS Database Migration Service
Amazon Data Firehose</x:v>
      </x:c>
      <x:c r="P192" s="32" t="str">
        <x:v>Azure Data Factory
Azure Database Migration Service</x:v>
      </x:c>
      <x:c r="Q192" s="32" t="str">
        <x:v>Datastream</x:v>
      </x:c>
      <x:c r="R192" s="32" t="n">
        <x:f>'Provider Ratings'!AD192</x:f>
        <x:v>3.8</x:v>
      </x:c>
      <x:c r="S192" s="32" t="n">
        <x:f>'Provider Ratings'!AE192</x:f>
        <x:v>3.84</x:v>
      </x:c>
      <x:c r="T192" s="32" t="n">
        <x:f>'Provider Ratings'!AF192</x:f>
        <x:v>4.07</x:v>
      </x:c>
      <x:c r="U192" s="32" t="str">
        <x:f>'Provider Ratings'!AG192</x:f>
        <x:v>GCP</x:v>
      </x:c>
      <x:c r="V192" s="32" t="str">
        <x:f>'Provider Ratings'!AH192</x:f>
        <x:v>Start with Google Cloud when data, AI, Kubernetes, network or managed developer experience is the main differentiator.</x:v>
      </x:c>
      <x:c r="W192" s="32" t="str">
        <x:v>Close</x:v>
      </x:c>
      <x:c r="X192" s="32"/>
      <x:c r="Y192" s="32" t="str">
        <x:v>2026-07-12</x:v>
      </x:c>
    </x:row>
    <x:row r="193">
      <x:c r="A193" s="32" t="str">
        <x:v>06 Data Platform, Analytics &amp; BI</x:v>
      </x:c>
      <x:c r="B193" s="32" t="str">
        <x:v>Data, Analytics &amp; BI</x:v>
      </x:c>
      <x:c r="C193" s="32" t="str">
        <x:v>Data Governance, Sharing &amp; Quality</x:v>
      </x:c>
      <x:c r="D193" s="32" t="str">
        <x:v>Workload</x:v>
      </x:c>
      <x:c r="E193" s="32" t="str">
        <x:v>Data catalogue</x:v>
      </x:c>
      <x:c r="F193" s="32" t="str">
        <x:v>Data catalogue and metadata</x:v>
      </x:c>
      <x:c r="G193" s="32" t="str">
        <x:v>Discover, classify and understand data assets through searchable metadata.</x:v>
      </x:c>
      <x:c r="H193" s="32" t="str">
        <x:v>Choose this capability when you need to discover, classify and understand data assets through searchable metadata.</x:v>
      </x:c>
      <x:c r="I193" s="32" t="str">
        <x:v>What business outcome, scale, control, integration and operating model justify choosing data catalogue and metadata?</x:v>
      </x:c>
      <x:c r="J193" s="32" t="str">
        <x:v>Managed simplicity and performance versus portability, data gravity and long-term cost.</x:v>
      </x:c>
      <x:c r="K193" s="32" t="n">
        <x:v>3</x:v>
      </x:c>
      <x:c r="L193" s="32" t="str">
        <x:v>Moderate</x:v>
      </x:c>
      <x:c r="M193" s="32" t="str">
        <x:v>1–3 weeks</x:v>
      </x:c>
      <x:c r="N193" s="32" t="str">
        <x:v>Medium</x:v>
      </x:c>
      <x:c r="O193" s="32" t="str">
        <x:v>AWS Glue Data Catalog
Amazon DataZone</x:v>
      </x:c>
      <x:c r="P193" s="32" t="str">
        <x:v>Microsoft Purview Data Map</x:v>
      </x:c>
      <x:c r="Q193" s="32" t="str">
        <x:v>Dataplex Universal Catalog
Data Catalog
Knowledge Catalog</x:v>
      </x:c>
      <x:c r="R193" s="32" t="n">
        <x:f>'Provider Ratings'!AD193</x:f>
        <x:v>3.8</x:v>
      </x:c>
      <x:c r="S193" s="32" t="n">
        <x:f>'Provider Ratings'!AE193</x:f>
        <x:v>3.93</x:v>
      </x:c>
      <x:c r="T193" s="32" t="n">
        <x:f>'Provider Ratings'!AF193</x:f>
        <x:v>3.85</x:v>
      </x:c>
      <x:c r="U193" s="32" t="str">
        <x:f>'Provider Ratings'!AG193</x:f>
        <x:v>Context-dependent tie</x:v>
      </x:c>
      <x:c r="V193" s="32" t="str">
        <x:f>'Provider Ratings'!AH193</x:f>
        <x:v>Scores are close: use ecosystem, data gravity, region, skills, commercials and proof-of-value results to decide.</x:v>
      </x:c>
      <x:c r="W193" s="32" t="str">
        <x:v>Close</x:v>
      </x:c>
      <x:c r="X193" s="32"/>
      <x:c r="Y193" s="32" t="str">
        <x:v>2026-07-12</x:v>
      </x:c>
    </x:row>
    <x:row r="194">
      <x:c r="A194" s="32" t="str">
        <x:v>06 Data Platform, Analytics &amp; BI</x:v>
      </x:c>
      <x:c r="B194" s="32" t="str">
        <x:v>Data, Analytics &amp; BI</x:v>
      </x:c>
      <x:c r="C194" s="32" t="str">
        <x:v>Data Governance, Sharing &amp; Quality</x:v>
      </x:c>
      <x:c r="D194" s="32" t="str">
        <x:v>Workload</x:v>
      </x:c>
      <x:c r="E194" s="32" t="str">
        <x:v>Data governance</x:v>
      </x:c>
      <x:c r="F194" s="32" t="str">
        <x:v>Enterprise data governance</x:v>
      </x:c>
      <x:c r="G194" s="32" t="str">
        <x:v>Manage ownership, lineage, quality, access and policy across enterprise data.</x:v>
      </x:c>
      <x:c r="H194" s="32" t="str">
        <x:v>Choose this capability when you need to manage ownership, lineage, quality, access and policy across enterprise data.</x:v>
      </x:c>
      <x:c r="I194" s="32" t="str">
        <x:v>What business outcome, scale, control, integration and operating model justify choosing enterprise data governance?</x:v>
      </x:c>
      <x:c r="J194" s="32" t="str">
        <x:v>Managed simplicity and performance versus portability, data gravity and long-term cost.</x:v>
      </x:c>
      <x:c r="K194" s="32" t="n">
        <x:v>2</x:v>
      </x:c>
      <x:c r="L194" s="32" t="str">
        <x:v>Advanced</x:v>
      </x:c>
      <x:c r="M194" s="32" t="str">
        <x:v>3–8 weeks</x:v>
      </x:c>
      <x:c r="N194" s="32" t="str">
        <x:v>Medium</x:v>
      </x:c>
      <x:c r="O194" s="32" t="str">
        <x:v>Amazon DataZone
AWS Lake Formation</x:v>
      </x:c>
      <x:c r="P194" s="32" t="str">
        <x:v>Microsoft Purview</x:v>
      </x:c>
      <x:c r="Q194" s="32" t="str">
        <x:v>Dataplex Universal Catalog</x:v>
      </x:c>
      <x:c r="R194" s="32" t="n">
        <x:f>'Provider Ratings'!AD194</x:f>
        <x:v>3.6</x:v>
      </x:c>
      <x:c r="S194" s="32" t="n">
        <x:f>'Provider Ratings'!AE194</x:f>
        <x:v>3.73</x:v>
      </x:c>
      <x:c r="T194" s="32" t="n">
        <x:f>'Provider Ratings'!AF194</x:f>
        <x:v>3.74</x:v>
      </x:c>
      <x:c r="U194" s="32" t="str">
        <x:f>'Provider Ratings'!AG194</x:f>
        <x:v>Context-dependent tie</x:v>
      </x:c>
      <x:c r="V194" s="32" t="str">
        <x:f>'Provider Ratings'!AH194</x:f>
        <x:v>Scores are close: use ecosystem, data gravity, region, skills, commercials and proof-of-value results to decide.</x:v>
      </x:c>
      <x:c r="W194" s="32" t="str">
        <x:v>Close</x:v>
      </x:c>
      <x:c r="X194" s="32"/>
      <x:c r="Y194" s="32" t="str">
        <x:v>2026-07-12</x:v>
      </x:c>
    </x:row>
    <x:row r="195">
      <x:c r="A195" s="32" t="str">
        <x:v>06 Data Platform, Analytics &amp; BI</x:v>
      </x:c>
      <x:c r="B195" s="32" t="str">
        <x:v>Data, Analytics &amp; BI</x:v>
      </x:c>
      <x:c r="C195" s="32" t="str">
        <x:v>Data Governance, Sharing &amp; Quality</x:v>
      </x:c>
      <x:c r="D195" s="32" t="str">
        <x:v>Workload</x:v>
      </x:c>
      <x:c r="E195" s="32" t="str">
        <x:v>Data sharing</x:v>
      </x:c>
      <x:c r="F195" s="32" t="str">
        <x:v>Governed data sharing</x:v>
      </x:c>
      <x:c r="G195" s="32" t="str">
        <x:v>Share datasets with internal or external consumers under controlled access.</x:v>
      </x:c>
      <x:c r="H195" s="32" t="str">
        <x:v>Choose this capability when you need to share datasets with internal or external consumers under controlled access.</x:v>
      </x:c>
      <x:c r="I195" s="32" t="str">
        <x:v>What business outcome, scale, control, integration and operating model justify choosing governed data sharing?</x:v>
      </x:c>
      <x:c r="J195" s="32" t="str">
        <x:v>Managed simplicity and performance versus portability, data gravity and long-term cost.</x:v>
      </x:c>
      <x:c r="K195" s="32" t="n">
        <x:v>3</x:v>
      </x:c>
      <x:c r="L195" s="32" t="str">
        <x:v>Moderate</x:v>
      </x:c>
      <x:c r="M195" s="32" t="str">
        <x:v>1–3 weeks</x:v>
      </x:c>
      <x:c r="N195" s="32" t="str">
        <x:v>Medium</x:v>
      </x:c>
      <x:c r="O195" s="32" t="str">
        <x:v>AWS Data Exchange
AWS Lake Formation</x:v>
      </x:c>
      <x:c r="P195" s="32" t="str">
        <x:v>Azure Data Share
Microsoft Purview</x:v>
      </x:c>
      <x:c r="Q195" s="32" t="str">
        <x:v>Analytics Hub
BigQuery sharing</x:v>
      </x:c>
      <x:c r="R195" s="32" t="n">
        <x:f>'Provider Ratings'!AD195</x:f>
        <x:v>3.8</x:v>
      </x:c>
      <x:c r="S195" s="32" t="n">
        <x:f>'Provider Ratings'!AE195</x:f>
        <x:v>3.84</x:v>
      </x:c>
      <x:c r="T195" s="32" t="n">
        <x:f>'Provider Ratings'!AF195</x:f>
        <x:v>3.85</x:v>
      </x:c>
      <x:c r="U195" s="32" t="str">
        <x:f>'Provider Ratings'!AG195</x:f>
        <x:v>Context-dependent tie</x:v>
      </x:c>
      <x:c r="V195" s="32" t="str">
        <x:f>'Provider Ratings'!AH195</x:f>
        <x:v>Scores are close: use ecosystem, data gravity, region, skills, commercials and proof-of-value results to decide.</x:v>
      </x:c>
      <x:c r="W195" s="32" t="str">
        <x:v>Close</x:v>
      </x:c>
      <x:c r="X195" s="32"/>
      <x:c r="Y195" s="32" t="str">
        <x:v>2026-07-12</x:v>
      </x:c>
    </x:row>
    <x:row r="196">
      <x:c r="A196" s="32" t="str">
        <x:v>06 Data Platform, Analytics &amp; BI</x:v>
      </x:c>
      <x:c r="B196" s="32" t="str">
        <x:v>Data, Analytics &amp; BI</x:v>
      </x:c>
      <x:c r="C196" s="32" t="str">
        <x:v>Data Governance, Sharing &amp; Quality</x:v>
      </x:c>
      <x:c r="D196" s="32" t="str">
        <x:v>Workload</x:v>
      </x:c>
      <x:c r="E196" s="32" t="str">
        <x:v>Clean rooms</x:v>
      </x:c>
      <x:c r="F196" s="32" t="str">
        <x:v>Data clean room</x:v>
      </x:c>
      <x:c r="G196" s="32" t="str">
        <x:v>Collaborate on data analysis without exposing underlying sensitive records.</x:v>
      </x:c>
      <x:c r="H196" s="32" t="str">
        <x:v>Choose this capability when you need to collaborate on data analysis without exposing underlying sensitive records.</x:v>
      </x:c>
      <x:c r="I196" s="32" t="str">
        <x:v>What business outcome, scale, control, integration and operating model justify choosing data clean room?</x:v>
      </x:c>
      <x:c r="J196" s="32" t="str">
        <x:v>Managed simplicity and performance versus portability, data gravity and long-term cost.</x:v>
      </x:c>
      <x:c r="K196" s="32" t="n">
        <x:v>3</x:v>
      </x:c>
      <x:c r="L196" s="32" t="str">
        <x:v>Moderate</x:v>
      </x:c>
      <x:c r="M196" s="32" t="str">
        <x:v>1–3 weeks</x:v>
      </x:c>
      <x:c r="N196" s="32" t="str">
        <x:v>Medium</x:v>
      </x:c>
      <x:c r="O196" s="32" t="str">
        <x:v>AWS Clean Rooms</x:v>
      </x:c>
      <x:c r="P196" s="32" t="str">
        <x:v>Azure Confidential Clean Rooms / partner solutions</x:v>
      </x:c>
      <x:c r="Q196" s="32" t="str">
        <x:v>BigQuery data clean rooms</x:v>
      </x:c>
      <x:c r="R196" s="32" t="n">
        <x:f>'Provider Ratings'!AD196</x:f>
        <x:v>3.88</x:v>
      </x:c>
      <x:c r="S196" s="32" t="n">
        <x:f>'Provider Ratings'!AE196</x:f>
        <x:v>3.47</x:v>
      </x:c>
      <x:c r="T196" s="32" t="n">
        <x:f>'Provider Ratings'!AF196</x:f>
        <x:v>3.94</x:v>
      </x:c>
      <x:c r="U196" s="32" t="str">
        <x:f>'Provider Ratings'!AG196</x:f>
        <x:v>Context-dependent tie</x:v>
      </x:c>
      <x:c r="V196" s="32" t="str">
        <x:f>'Provider Ratings'!AH196</x:f>
        <x:v>Scores are close: use ecosystem, data gravity, region, skills, commercials and proof-of-value results to decide.</x:v>
      </x:c>
      <x:c r="W196" s="32" t="str">
        <x:v>Close</x:v>
      </x:c>
      <x:c r="X196" s="32"/>
      <x:c r="Y196" s="32" t="str">
        <x:v>2026-07-12</x:v>
      </x:c>
    </x:row>
    <x:row r="197">
      <x:c r="A197" s="32" t="str">
        <x:v>06 Data Platform, Analytics &amp; BI</x:v>
      </x:c>
      <x:c r="B197" s="32" t="str">
        <x:v>Data, Analytics &amp; BI</x:v>
      </x:c>
      <x:c r="C197" s="32" t="str">
        <x:v>Data Governance, Sharing &amp; Quality</x:v>
      </x:c>
      <x:c r="D197" s="32" t="str">
        <x:v>Workload</x:v>
      </x:c>
      <x:c r="E197" s="32" t="str">
        <x:v>Entity resolution</x:v>
      </x:c>
      <x:c r="F197" s="32" t="str">
        <x:v>Entity matching</x:v>
      </x:c>
      <x:c r="G197" s="32" t="str">
        <x:v>Match and link records that refer to the same real-world entity.</x:v>
      </x:c>
      <x:c r="H197" s="32" t="str">
        <x:v>Choose this capability when you need to match and link records that refer to the same real-world entity.</x:v>
      </x:c>
      <x:c r="I197" s="32" t="str">
        <x:v>What business outcome, scale, control, integration and operating model justify choosing entity matching?</x:v>
      </x:c>
      <x:c r="J197" s="32" t="str">
        <x:v>Managed simplicity and performance versus portability, data gravity and long-term cost.</x:v>
      </x:c>
      <x:c r="K197" s="32" t="n">
        <x:v>3</x:v>
      </x:c>
      <x:c r="L197" s="32" t="str">
        <x:v>Moderate</x:v>
      </x:c>
      <x:c r="M197" s="32" t="str">
        <x:v>1–3 weeks</x:v>
      </x:c>
      <x:c r="N197" s="32" t="str">
        <x:v>Medium</x:v>
      </x:c>
      <x:c r="O197" s="32" t="str">
        <x:v>AWS Entity Resolution</x:v>
      </x:c>
      <x:c r="P197" s="32" t="str">
        <x:v>Microsoft Fabric Data Factory / partner MDM</x:v>
      </x:c>
      <x:c r="Q197" s="32" t="str">
        <x:v>BigQuery entity resolution patterns</x:v>
      </x:c>
      <x:c r="R197" s="32" t="n">
        <x:f>'Provider Ratings'!AD197</x:f>
        <x:v>3.7</x:v>
      </x:c>
      <x:c r="S197" s="32" t="n">
        <x:f>'Provider Ratings'!AE197</x:f>
        <x:v>3.29</x:v>
      </x:c>
      <x:c r="T197" s="32" t="n">
        <x:f>'Provider Ratings'!AF197</x:f>
        <x:v>3.31</x:v>
      </x:c>
      <x:c r="U197" s="32" t="str">
        <x:f>'Provider Ratings'!AG197</x:f>
        <x:v>AWS</x:v>
      </x:c>
      <x:c r="V197" s="32" t="str">
        <x:f>'Provider Ratings'!AH197</x:f>
        <x:v>Start with AWS when infrastructure breadth, native integration and operational maturity are the main differentiators.</x:v>
      </x:c>
      <x:c r="W197" s="32" t="str">
        <x:v>Partial</x:v>
      </x:c>
      <x:c r="X197" s="32"/>
      <x:c r="Y197" s="32" t="str">
        <x:v>2026-07-12</x:v>
      </x:c>
    </x:row>
    <x:row r="198">
      <x:c r="A198" s="32" t="str">
        <x:v>06 Data Platform, Analytics &amp; BI</x:v>
      </x:c>
      <x:c r="B198" s="32" t="str">
        <x:v>Data, Analytics &amp; BI</x:v>
      </x:c>
      <x:c r="C198" s="32" t="str">
        <x:v>Analytics, BI &amp; Search</x:v>
      </x:c>
      <x:c r="D198" s="32" t="str">
        <x:v>Workload</x:v>
      </x:c>
      <x:c r="E198" s="32" t="str">
        <x:v>Business intelligence</x:v>
      </x:c>
      <x:c r="F198" s="32" t="str">
        <x:v>Business intelligence and dashboards</x:v>
      </x:c>
      <x:c r="G198" s="32" t="str">
        <x:v>Create interactive reports, dashboards and governed analytical experiences.</x:v>
      </x:c>
      <x:c r="H198" s="32" t="str">
        <x:v>Choose this capability when you need to create interactive reports, dashboards and governed analytical experiences.</x:v>
      </x:c>
      <x:c r="I198" s="32" t="str">
        <x:v>What business outcome, scale, control, integration and operating model justify choosing business intelligence and dashboards?</x:v>
      </x:c>
      <x:c r="J198" s="32" t="str">
        <x:v>Managed simplicity and performance versus portability, data gravity and long-term cost.</x:v>
      </x:c>
      <x:c r="K198" s="32" t="n">
        <x:v>3</x:v>
      </x:c>
      <x:c r="L198" s="32" t="str">
        <x:v>Moderate</x:v>
      </x:c>
      <x:c r="M198" s="32" t="str">
        <x:v>1–3 weeks</x:v>
      </x:c>
      <x:c r="N198" s="32" t="str">
        <x:v>Medium</x:v>
      </x:c>
      <x:c r="O198" s="32" t="str">
        <x:v>Amazon Quick
Amazon QuickSight</x:v>
      </x:c>
      <x:c r="P198" s="32" t="str">
        <x:v>Power BI
Microsoft Fabric</x:v>
      </x:c>
      <x:c r="Q198" s="32" t="str">
        <x:v>Looker
Looker Studio</x:v>
      </x:c>
      <x:c r="R198" s="32" t="n">
        <x:f>'Provider Ratings'!AD198</x:f>
        <x:v>3.8</x:v>
      </x:c>
      <x:c r="S198" s="32" t="n">
        <x:f>'Provider Ratings'!AE198</x:f>
        <x:v>4.11</x:v>
      </x:c>
      <x:c r="T198" s="32" t="n">
        <x:f>'Provider Ratings'!AF198</x:f>
        <x:v>3.92</x:v>
      </x:c>
      <x:c r="U198" s="32" t="str">
        <x:f>'Provider Ratings'!AG198</x:f>
        <x:v>Azure</x:v>
      </x:c>
      <x:c r="V198" s="32" t="str">
        <x:f>'Provider Ratings'!AH198</x:f>
        <x:v>Start with Azure when Microsoft identity, security, data, productivity or hybrid integration reduces delivery effort.</x:v>
      </x:c>
      <x:c r="W198" s="32" t="str">
        <x:v>Close</x:v>
      </x:c>
      <x:c r="X198" s="32"/>
      <x:c r="Y198" s="32" t="str">
        <x:v>2026-07-12</x:v>
      </x:c>
    </x:row>
    <x:row r="199">
      <x:c r="A199" s="32" t="str">
        <x:v>06 Data Platform, Analytics &amp; BI</x:v>
      </x:c>
      <x:c r="B199" s="32" t="str">
        <x:v>Data, Analytics &amp; BI</x:v>
      </x:c>
      <x:c r="C199" s="32" t="str">
        <x:v>Analytics, BI &amp; Search</x:v>
      </x:c>
      <x:c r="D199" s="32" t="str">
        <x:v>Workload</x:v>
      </x:c>
      <x:c r="E199" s="32" t="str">
        <x:v>Search analytics</x:v>
      </x:c>
      <x:c r="F199" s="32" t="str">
        <x:v>Managed search and log analytics</x:v>
      </x:c>
      <x:c r="G199" s="32" t="str">
        <x:v>Index, search and analyse operational or application data.</x:v>
      </x:c>
      <x:c r="H199" s="32" t="str">
        <x:v>Choose this capability when you need to index, search and analyse operational or application data.</x:v>
      </x:c>
      <x:c r="I199" s="32" t="str">
        <x:v>What business outcome, scale, control, integration and operating model justify choosing managed search and log analytics?</x:v>
      </x:c>
      <x:c r="J199" s="32" t="str">
        <x:v>Managed simplicity and performance versus portability, data gravity and long-term cost.</x:v>
      </x:c>
      <x:c r="K199" s="32" t="n">
        <x:v>3</x:v>
      </x:c>
      <x:c r="L199" s="32" t="str">
        <x:v>Moderate</x:v>
      </x:c>
      <x:c r="M199" s="32" t="str">
        <x:v>1–3 weeks</x:v>
      </x:c>
      <x:c r="N199" s="32" t="str">
        <x:v>Medium</x:v>
      </x:c>
      <x:c r="O199" s="32" t="str">
        <x:v>Amazon OpenSearch Service
Amazon OpenSearch Serverless</x:v>
      </x:c>
      <x:c r="P199" s="32" t="str">
        <x:v>Azure Data Explorer
Azure AI Search</x:v>
      </x:c>
      <x:c r="Q199" s="32" t="str">
        <x:v>BigQuery
Google Security Operations</x:v>
      </x:c>
      <x:c r="R199" s="32" t="n">
        <x:f>'Provider Ratings'!AD199</x:f>
        <x:v>3.63</x:v>
      </x:c>
      <x:c r="S199" s="32" t="n">
        <x:f>'Provider Ratings'!AE199</x:f>
        <x:v>3.87</x:v>
      </x:c>
      <x:c r="T199" s="32" t="n">
        <x:f>'Provider Ratings'!AF199</x:f>
        <x:v>3.76</x:v>
      </x:c>
      <x:c r="U199" s="32" t="str">
        <x:f>'Provider Ratings'!AG199</x:f>
        <x:v>Context-dependent tie</x:v>
      </x:c>
      <x:c r="V199" s="32" t="str">
        <x:f>'Provider Ratings'!AH199</x:f>
        <x:v>Scores are close: use ecosystem, data gravity, region, skills, commercials and proof-of-value results to decide.</x:v>
      </x:c>
      <x:c r="W199" s="32" t="str">
        <x:v>Partial</x:v>
      </x:c>
      <x:c r="X199" s="32"/>
      <x:c r="Y199" s="32" t="str">
        <x:v>2026-07-12</x:v>
      </x:c>
    </x:row>
    <x:row r="200">
      <x:c r="A200" s="32" t="str">
        <x:v>06 Data Platform, Analytics &amp; BI</x:v>
      </x:c>
      <x:c r="B200" s="32" t="str">
        <x:v>Data, Analytics &amp; BI</x:v>
      </x:c>
      <x:c r="C200" s="32" t="str">
        <x:v>Analytics, BI &amp; Search</x:v>
      </x:c>
      <x:c r="D200" s="32" t="str">
        <x:v>Workload</x:v>
      </x:c>
      <x:c r="E200" s="32" t="str">
        <x:v>Financial analytics</x:v>
      </x:c>
      <x:c r="F200" s="32" t="str">
        <x:v>Financial-services data analytics</x:v>
      </x:c>
      <x:c r="G200" s="32" t="str">
        <x:v>Store and analyse specialised capital-markets or financial datasets.</x:v>
      </x:c>
      <x:c r="H200" s="32" t="str">
        <x:v>Choose this capability when you need to store and analyse specialised capital-markets or financial datasets.</x:v>
      </x:c>
      <x:c r="I200" s="32" t="str">
        <x:v>What business outcome, scale, control, integration and operating model justify choosing financial-services data analytics?</x:v>
      </x:c>
      <x:c r="J200" s="32" t="str">
        <x:v>Managed simplicity and performance versus portability, data gravity and long-term cost.</x:v>
      </x:c>
      <x:c r="K200" s="32" t="n">
        <x:v>3</x:v>
      </x:c>
      <x:c r="L200" s="32" t="str">
        <x:v>Moderate</x:v>
      </x:c>
      <x:c r="M200" s="32" t="str">
        <x:v>1–3 weeks</x:v>
      </x:c>
      <x:c r="N200" s="32" t="str">
        <x:v>Medium</x:v>
      </x:c>
      <x:c r="O200" s="32" t="str">
        <x:v>Amazon FinSpace</x:v>
      </x:c>
      <x:c r="P200" s="32" t="str">
        <x:v>Microsoft Cloud for Financial Services
Microsoft Fabric</x:v>
      </x:c>
      <x:c r="Q200" s="32" t="str">
        <x:v>BigQuery financial-services solutions</x:v>
      </x:c>
      <x:c r="R200" s="32" t="n">
        <x:f>'Provider Ratings'!AD200</x:f>
        <x:v>3.7</x:v>
      </x:c>
      <x:c r="S200" s="32" t="n">
        <x:f>'Provider Ratings'!AE200</x:f>
        <x:v>3.87</x:v>
      </x:c>
      <x:c r="T200" s="32" t="n">
        <x:f>'Provider Ratings'!AF200</x:f>
        <x:v>3.89</x:v>
      </x:c>
      <x:c r="U200" s="32" t="str">
        <x:f>'Provider Ratings'!AG200</x:f>
        <x:v>Context-dependent tie</x:v>
      </x:c>
      <x:c r="V200" s="32" t="str">
        <x:f>'Provider Ratings'!AH200</x:f>
        <x:v>Scores are close: use ecosystem, data gravity, region, skills, commercials and proof-of-value results to decide.</x:v>
      </x:c>
      <x:c r="W200" s="32" t="str">
        <x:v>Partial</x:v>
      </x:c>
      <x:c r="X200" s="32"/>
      <x:c r="Y200" s="32" t="str">
        <x:v>2026-07-12</x:v>
      </x:c>
    </x:row>
    <x:row r="201">
      <x:c r="A201" s="32" t="str">
        <x:v>08 Applications, APIs &amp; Integration</x:v>
      </x:c>
      <x:c r="B201" s="32" t="str">
        <x:v>Application Integration</x:v>
      </x:c>
      <x:c r="C201" s="32" t="str">
        <x:v>Messaging &amp; Eventing</x:v>
      </x:c>
      <x:c r="D201" s="32" t="str">
        <x:v>Component</x:v>
      </x:c>
      <x:c r="E201" s="32" t="str">
        <x:v>Messaging</x:v>
      </x:c>
      <x:c r="F201" s="32" t="str">
        <x:v>Managed message queue</x:v>
      </x:c>
      <x:c r="G201" s="32" t="str">
        <x:v>Decouple applications with durable asynchronous message queues.</x:v>
      </x:c>
      <x:c r="H201" s="32" t="str">
        <x:v>Choose this capability when you need to decouple applications with durable asynchronous message queues.</x:v>
      </x:c>
      <x:c r="I201" s="32" t="str">
        <x:v>What business outcome, scale, control, integration and operating model justify choosing managed message queue?</x:v>
      </x:c>
      <x:c r="J201" s="32" t="str">
        <x:v>Time to market versus platform constraints and vendor lock-in.</x:v>
      </x:c>
      <x:c r="K201" s="32" t="n">
        <x:v>4</x:v>
      </x:c>
      <x:c r="L201" s="32" t="str">
        <x:v>Easy</x:v>
      </x:c>
      <x:c r="M201" s="32" t="str">
        <x:v>1–3 days</x:v>
      </x:c>
      <x:c r="N201" s="32" t="str">
        <x:v>Medium</x:v>
      </x:c>
      <x:c r="O201" s="32" t="str">
        <x:v>Amazon Simple Queue Service</x:v>
      </x:c>
      <x:c r="P201" s="32" t="str">
        <x:v>Azure Service Bus queues</x:v>
      </x:c>
      <x:c r="Q201" s="32" t="str">
        <x:v>Pub/Sub</x:v>
      </x:c>
      <x:c r="R201" s="32" t="n">
        <x:f>'Provider Ratings'!AD201</x:f>
        <x:v>4.15</x:v>
      </x:c>
      <x:c r="S201" s="32" t="n">
        <x:f>'Provider Ratings'!AE201</x:f>
        <x:v>4.06</x:v>
      </x:c>
      <x:c r="T201" s="32" t="n">
        <x:f>'Provider Ratings'!AF201</x:f>
        <x:v>3.93</x:v>
      </x:c>
      <x:c r="U201" s="32" t="str">
        <x:f>'Provider Ratings'!AG201</x:f>
        <x:v>Context-dependent tie</x:v>
      </x:c>
      <x:c r="V201" s="32" t="str">
        <x:f>'Provider Ratings'!AH201</x:f>
        <x:v>Scores are close: use ecosystem, data gravity, region, skills, commercials and proof-of-value results to decide.</x:v>
      </x:c>
      <x:c r="W201" s="32" t="str">
        <x:v>Close</x:v>
      </x:c>
      <x:c r="X201" s="32"/>
      <x:c r="Y201" s="32" t="str">
        <x:v>2026-07-12</x:v>
      </x:c>
    </x:row>
    <x:row r="202">
      <x:c r="A202" s="32" t="str">
        <x:v>08 Applications, APIs &amp; Integration</x:v>
      </x:c>
      <x:c r="B202" s="32" t="str">
        <x:v>Application Integration</x:v>
      </x:c>
      <x:c r="C202" s="32" t="str">
        <x:v>Messaging &amp; Eventing</x:v>
      </x:c>
      <x:c r="D202" s="32" t="str">
        <x:v>Workload</x:v>
      </x:c>
      <x:c r="E202" s="32" t="str">
        <x:v>Pub/sub</x:v>
      </x:c>
      <x:c r="F202" s="32" t="str">
        <x:v>Publish-subscribe messaging</x:v>
      </x:c>
      <x:c r="G202" s="32" t="str">
        <x:v>Distribute messages from publishers to multiple asynchronous subscribers.</x:v>
      </x:c>
      <x:c r="H202" s="32" t="str">
        <x:v>Choose this capability when you need to distribute messages from publishers to multiple asynchronous subscribers.</x:v>
      </x:c>
      <x:c r="I202" s="32" t="str">
        <x:v>What business outcome, scale, control, integration and operating model justify choosing publish-subscribe messaging?</x:v>
      </x:c>
      <x:c r="J202" s="32" t="str">
        <x:v>Time to market versus platform constraints and vendor lock-in.</x:v>
      </x:c>
      <x:c r="K202" s="32" t="n">
        <x:v>3</x:v>
      </x:c>
      <x:c r="L202" s="32" t="str">
        <x:v>Moderate</x:v>
      </x:c>
      <x:c r="M202" s="32" t="str">
        <x:v>1–3 weeks</x:v>
      </x:c>
      <x:c r="N202" s="32" t="str">
        <x:v>Medium</x:v>
      </x:c>
      <x:c r="O202" s="32" t="str">
        <x:v>Amazon Simple Notification Service</x:v>
      </x:c>
      <x:c r="P202" s="32" t="str">
        <x:v>Azure Service Bus topics
Azure Event Grid</x:v>
      </x:c>
      <x:c r="Q202" s="32" t="str">
        <x:v>Pub/Sub</x:v>
      </x:c>
      <x:c r="R202" s="32" t="n">
        <x:f>'Provider Ratings'!AD202</x:f>
        <x:v>3.93</x:v>
      </x:c>
      <x:c r="S202" s="32" t="n">
        <x:f>'Provider Ratings'!AE202</x:f>
        <x:v>3.75</x:v>
      </x:c>
      <x:c r="T202" s="32" t="n">
        <x:f>'Provider Ratings'!AF202</x:f>
        <x:v>3.72</x:v>
      </x:c>
      <x:c r="U202" s="32" t="str">
        <x:f>'Provider Ratings'!AG202</x:f>
        <x:v>AWS</x:v>
      </x:c>
      <x:c r="V202" s="32" t="str">
        <x:f>'Provider Ratings'!AH202</x:f>
        <x:v>Start with AWS when infrastructure breadth, native integration and operational maturity are the main differentiators.</x:v>
      </x:c>
      <x:c r="W202" s="32" t="str">
        <x:v>Close</x:v>
      </x:c>
      <x:c r="X202" s="32"/>
      <x:c r="Y202" s="32" t="str">
        <x:v>2026-07-12</x:v>
      </x:c>
    </x:row>
    <x:row r="203">
      <x:c r="A203" s="32" t="str">
        <x:v>08 Applications, APIs &amp; Integration</x:v>
      </x:c>
      <x:c r="B203" s="32" t="str">
        <x:v>Application Integration</x:v>
      </x:c>
      <x:c r="C203" s="32" t="str">
        <x:v>Messaging &amp; Eventing</x:v>
      </x:c>
      <x:c r="D203" s="32" t="str">
        <x:v>Workload</x:v>
      </x:c>
      <x:c r="E203" s="32" t="str">
        <x:v>Event bus</x:v>
      </x:c>
      <x:c r="F203" s="32" t="str">
        <x:v>Application event bus</x:v>
      </x:c>
      <x:c r="G203" s="32" t="str">
        <x:v>Route events from applications and cloud services using rules and schemas.</x:v>
      </x:c>
      <x:c r="H203" s="32" t="str">
        <x:v>Choose this capability when you need to route events from applications and cloud services using rules and schemas.</x:v>
      </x:c>
      <x:c r="I203" s="32" t="str">
        <x:v>What business outcome, scale, control, integration and operating model justify choosing application event bus?</x:v>
      </x:c>
      <x:c r="J203" s="32" t="str">
        <x:v>Time to market versus platform constraints and vendor lock-in.</x:v>
      </x:c>
      <x:c r="K203" s="32" t="n">
        <x:v>3</x:v>
      </x:c>
      <x:c r="L203" s="32" t="str">
        <x:v>Moderate</x:v>
      </x:c>
      <x:c r="M203" s="32" t="str">
        <x:v>1–3 weeks</x:v>
      </x:c>
      <x:c r="N203" s="32" t="str">
        <x:v>Medium</x:v>
      </x:c>
      <x:c r="O203" s="32" t="str">
        <x:v>Amazon EventBridge</x:v>
      </x:c>
      <x:c r="P203" s="32" t="str">
        <x:v>Azure Event Grid</x:v>
      </x:c>
      <x:c r="Q203" s="32" t="str">
        <x:v>Eventarc</x:v>
      </x:c>
      <x:c r="R203" s="32" t="n">
        <x:f>'Provider Ratings'!AD203</x:f>
        <x:v>3.93</x:v>
      </x:c>
      <x:c r="S203" s="32" t="n">
        <x:f>'Provider Ratings'!AE203</x:f>
        <x:v>3.84</x:v>
      </x:c>
      <x:c r="T203" s="32" t="n">
        <x:f>'Provider Ratings'!AF203</x:f>
        <x:v>3.81</x:v>
      </x:c>
      <x:c r="U203" s="32" t="str">
        <x:f>'Provider Ratings'!AG203</x:f>
        <x:v>Context-dependent tie</x:v>
      </x:c>
      <x:c r="V203" s="32" t="str">
        <x:f>'Provider Ratings'!AH203</x:f>
        <x:v>Scores are close: use ecosystem, data gravity, region, skills, commercials and proof-of-value results to decide.</x:v>
      </x:c>
      <x:c r="W203" s="32" t="str">
        <x:v>Close</x:v>
      </x:c>
      <x:c r="X203" s="32"/>
      <x:c r="Y203" s="32" t="str">
        <x:v>2026-07-12</x:v>
      </x:c>
    </x:row>
    <x:row r="204">
      <x:c r="A204" s="32" t="str">
        <x:v>08 Applications, APIs &amp; Integration</x:v>
      </x:c>
      <x:c r="B204" s="32" t="str">
        <x:v>Application Integration</x:v>
      </x:c>
      <x:c r="C204" s="32" t="str">
        <x:v>Workflow &amp; Orchestration</x:v>
      </x:c>
      <x:c r="D204" s="32" t="str">
        <x:v>Workload</x:v>
      </x:c>
      <x:c r="E204" s="32" t="str">
        <x:v>Workflow</x:v>
      </x:c>
      <x:c r="F204" s="32" t="str">
        <x:v>Serverless workflow orchestration</x:v>
      </x:c>
      <x:c r="G204" s="32" t="str">
        <x:v>Coordinate services and application steps using durable stateful workflows.</x:v>
      </x:c>
      <x:c r="H204" s="32" t="str">
        <x:v>Choose this capability when you need to coordinate services and application steps using durable stateful workflows.</x:v>
      </x:c>
      <x:c r="I204" s="32" t="str">
        <x:v>What business outcome, scale, control, integration and operating model justify choosing serverless workflow orchestration?</x:v>
      </x:c>
      <x:c r="J204" s="32" t="str">
        <x:v>Time to market versus platform constraints and vendor lock-in.</x:v>
      </x:c>
      <x:c r="K204" s="32" t="n">
        <x:v>3</x:v>
      </x:c>
      <x:c r="L204" s="32" t="str">
        <x:v>Moderate</x:v>
      </x:c>
      <x:c r="M204" s="32" t="str">
        <x:v>1–3 weeks</x:v>
      </x:c>
      <x:c r="N204" s="32" t="str">
        <x:v>High</x:v>
      </x:c>
      <x:c r="O204" s="32" t="str">
        <x:v>AWS Step Functions</x:v>
      </x:c>
      <x:c r="P204" s="32" t="str">
        <x:v>Azure Logic Apps
Durable Functions</x:v>
      </x:c>
      <x:c r="Q204" s="32" t="str">
        <x:v>Workflows</x:v>
      </x:c>
      <x:c r="R204" s="32" t="n">
        <x:f>'Provider Ratings'!AD204</x:f>
        <x:v>3.93</x:v>
      </x:c>
      <x:c r="S204" s="32" t="n">
        <x:f>'Provider Ratings'!AE204</x:f>
        <x:v>3.73</x:v>
      </x:c>
      <x:c r="T204" s="32" t="n">
        <x:f>'Provider Ratings'!AF204</x:f>
        <x:v>3.89</x:v>
      </x:c>
      <x:c r="U204" s="32" t="str">
        <x:f>'Provider Ratings'!AG204</x:f>
        <x:v>Context-dependent tie</x:v>
      </x:c>
      <x:c r="V204" s="32" t="str">
        <x:f>'Provider Ratings'!AH204</x:f>
        <x:v>Scores are close: use ecosystem, data gravity, region, skills, commercials and proof-of-value results to decide.</x:v>
      </x:c>
      <x:c r="W204" s="32" t="str">
        <x:v>Close</x:v>
      </x:c>
      <x:c r="X204" s="32"/>
      <x:c r="Y204" s="32" t="str">
        <x:v>2026-07-12</x:v>
      </x:c>
    </x:row>
    <x:row r="205">
      <x:c r="A205" s="32" t="str">
        <x:v>08 Applications, APIs &amp; Integration</x:v>
      </x:c>
      <x:c r="B205" s="32" t="str">
        <x:v>Application Integration</x:v>
      </x:c>
      <x:c r="C205" s="32" t="str">
        <x:v>Enterprise Integration &amp; iPaaS</x:v>
      </x:c>
      <x:c r="D205" s="32" t="str">
        <x:v>Platform</x:v>
      </x:c>
      <x:c r="E205" s="32" t="str">
        <x:v>Integration platform</x:v>
      </x:c>
      <x:c r="F205" s="32" t="str">
        <x:v>Integration platform as a service</x:v>
      </x:c>
      <x:c r="G205" s="32" t="str">
        <x:v>Connect SaaS, cloud and on-premises systems through managed connectors and workflows.</x:v>
      </x:c>
      <x:c r="H205" s="32" t="str">
        <x:v>Choose this capability when you need to connect saas, cloud and on-premises systems through managed connectors and workflows.</x:v>
      </x:c>
      <x:c r="I205" s="32" t="str">
        <x:v>What business outcome, scale, control, integration and operating model justify choosing integration platform as a service?</x:v>
      </x:c>
      <x:c r="J205" s="32" t="str">
        <x:v>Time to market versus platform constraints and vendor lock-in.</x:v>
      </x:c>
      <x:c r="K205" s="32" t="n">
        <x:v>3</x:v>
      </x:c>
      <x:c r="L205" s="32" t="str">
        <x:v>Moderate</x:v>
      </x:c>
      <x:c r="M205" s="32" t="str">
        <x:v>1–3 weeks</x:v>
      </x:c>
      <x:c r="N205" s="32" t="str">
        <x:v>Medium</x:v>
      </x:c>
      <x:c r="O205" s="32" t="str">
        <x:v>Amazon AppFlow
Amazon EventBridge</x:v>
      </x:c>
      <x:c r="P205" s="32" t="str">
        <x:v>Azure Logic Apps
Azure Integration Services</x:v>
      </x:c>
      <x:c r="Q205" s="32" t="str">
        <x:v>Application Integration
Integration Connectors</x:v>
      </x:c>
      <x:c r="R205" s="32" t="n">
        <x:f>'Provider Ratings'!AD205</x:f>
        <x:v>3.73</x:v>
      </x:c>
      <x:c r="S205" s="32" t="n">
        <x:f>'Provider Ratings'!AE205</x:f>
        <x:v>3.75</x:v>
      </x:c>
      <x:c r="T205" s="32" t="n">
        <x:f>'Provider Ratings'!AF205</x:f>
        <x:v>3.72</x:v>
      </x:c>
      <x:c r="U205" s="32" t="str">
        <x:f>'Provider Ratings'!AG205</x:f>
        <x:v>Context-dependent tie</x:v>
      </x:c>
      <x:c r="V205" s="32" t="str">
        <x:f>'Provider Ratings'!AH205</x:f>
        <x:v>Scores are close: use ecosystem, data gravity, region, skills, commercials and proof-of-value results to decide.</x:v>
      </x:c>
      <x:c r="W205" s="32" t="str">
        <x:v>Close</x:v>
      </x:c>
      <x:c r="X205" s="32"/>
      <x:c r="Y205" s="32" t="str">
        <x:v>2026-07-12</x:v>
      </x:c>
    </x:row>
    <x:row r="206">
      <x:c r="A206" s="32" t="str">
        <x:v>08 Applications, APIs &amp; Integration</x:v>
      </x:c>
      <x:c r="B206" s="32" t="str">
        <x:v>Application Integration</x:v>
      </x:c>
      <x:c r="C206" s="32" t="str">
        <x:v>Application Communications</x:v>
      </x:c>
      <x:c r="D206" s="32" t="str">
        <x:v>Workload</x:v>
      </x:c>
      <x:c r="E206" s="32" t="str">
        <x:v>Managed MQ</x:v>
      </x:c>
      <x:c r="F206" s="32" t="str">
        <x:v>Managed message broker</x:v>
      </x:c>
      <x:c r="G206" s="32" t="str">
        <x:v>Run managed enterprise message brokers using familiar protocols.</x:v>
      </x:c>
      <x:c r="H206" s="32" t="str">
        <x:v>Choose this capability when you need to run managed enterprise message brokers using familiar protocols.</x:v>
      </x:c>
      <x:c r="I206" s="32" t="str">
        <x:v>What business outcome, scale, control, integration and operating model justify choosing managed message broker?</x:v>
      </x:c>
      <x:c r="J206" s="32" t="str">
        <x:v>Time to market versus platform constraints and vendor lock-in.</x:v>
      </x:c>
      <x:c r="K206" s="32" t="n">
        <x:v>3</x:v>
      </x:c>
      <x:c r="L206" s="32" t="str">
        <x:v>Moderate</x:v>
      </x:c>
      <x:c r="M206" s="32" t="str">
        <x:v>1–3 weeks</x:v>
      </x:c>
      <x:c r="N206" s="32" t="str">
        <x:v>Medium</x:v>
      </x:c>
      <x:c r="O206" s="32" t="str">
        <x:v>Amazon MQ</x:v>
      </x:c>
      <x:c r="P206" s="32" t="str">
        <x:v>Azure Service Bus</x:v>
      </x:c>
      <x:c r="Q206" s="32" t="str">
        <x:v>Pub/Sub / partner managed brokers</x:v>
      </x:c>
      <x:c r="R206" s="32" t="n">
        <x:f>'Provider Ratings'!AD206</x:f>
        <x:v>3.64</x:v>
      </x:c>
      <x:c r="S206" s="32" t="n">
        <x:f>'Provider Ratings'!AE206</x:f>
        <x:v>3.65</x:v>
      </x:c>
      <x:c r="T206" s="32" t="n">
        <x:f>'Provider Ratings'!AF206</x:f>
        <x:v>3.16</x:v>
      </x:c>
      <x:c r="U206" s="32" t="str">
        <x:f>'Provider Ratings'!AG206</x:f>
        <x:v>Context-dependent tie</x:v>
      </x:c>
      <x:c r="V206" s="32" t="str">
        <x:f>'Provider Ratings'!AH206</x:f>
        <x:v>Scores are close: use ecosystem, data gravity, region, skills, commercials and proof-of-value results to decide.</x:v>
      </x:c>
      <x:c r="W206" s="32" t="str">
        <x:v>Partial</x:v>
      </x:c>
      <x:c r="X206" s="32"/>
      <x:c r="Y206" s="32" t="str">
        <x:v>2026-07-12</x:v>
      </x:c>
    </x:row>
    <x:row r="207">
      <x:c r="A207" s="32" t="str">
        <x:v>08 Applications, APIs &amp; Integration</x:v>
      </x:c>
      <x:c r="B207" s="32" t="str">
        <x:v>Application Integration</x:v>
      </x:c>
      <x:c r="C207" s="32" t="str">
        <x:v>Enterprise Integration &amp; iPaaS</x:v>
      </x:c>
      <x:c r="D207" s="32" t="str">
        <x:v>Workload</x:v>
      </x:c>
      <x:c r="E207" s="32" t="str">
        <x:v>B2B integration</x:v>
      </x:c>
      <x:c r="F207" s="32" t="str">
        <x:v>B2B and EDI integration</x:v>
      </x:c>
      <x:c r="G207" s="32" t="str">
        <x:v>Exchange and transform business documents with trading partners.</x:v>
      </x:c>
      <x:c r="H207" s="32" t="str">
        <x:v>Choose this capability when you need to exchange and transform business documents with trading partners.</x:v>
      </x:c>
      <x:c r="I207" s="32" t="str">
        <x:v>What business outcome, scale, control, integration and operating model justify choosing b2b and edi integration?</x:v>
      </x:c>
      <x:c r="J207" s="32" t="str">
        <x:v>Time to market versus platform constraints and vendor lock-in.</x:v>
      </x:c>
      <x:c r="K207" s="32" t="n">
        <x:v>3</x:v>
      </x:c>
      <x:c r="L207" s="32" t="str">
        <x:v>Moderate</x:v>
      </x:c>
      <x:c r="M207" s="32" t="str">
        <x:v>1–3 weeks</x:v>
      </x:c>
      <x:c r="N207" s="32" t="str">
        <x:v>Medium</x:v>
      </x:c>
      <x:c r="O207" s="32" t="str">
        <x:v>AWS B2B Data Interchange</x:v>
      </x:c>
      <x:c r="P207" s="32" t="str">
        <x:v>Azure Logic Apps Integration Account</x:v>
      </x:c>
      <x:c r="Q207" s="32" t="str">
        <x:v>Application Integration / partner EDI</x:v>
      </x:c>
      <x:c r="R207" s="32" t="n">
        <x:f>'Provider Ratings'!AD207</x:f>
        <x:v>3.64</x:v>
      </x:c>
      <x:c r="S207" s="32" t="n">
        <x:f>'Provider Ratings'!AE207</x:f>
        <x:v>3.65</x:v>
      </x:c>
      <x:c r="T207" s="32" t="n">
        <x:f>'Provider Ratings'!AF207</x:f>
        <x:v>3.16</x:v>
      </x:c>
      <x:c r="U207" s="32" t="str">
        <x:f>'Provider Ratings'!AG207</x:f>
        <x:v>Context-dependent tie</x:v>
      </x:c>
      <x:c r="V207" s="32" t="str">
        <x:f>'Provider Ratings'!AH207</x:f>
        <x:v>Scores are close: use ecosystem, data gravity, region, skills, commercials and proof-of-value results to decide.</x:v>
      </x:c>
      <x:c r="W207" s="32" t="str">
        <x:v>Partial</x:v>
      </x:c>
      <x:c r="X207" s="32"/>
      <x:c r="Y207" s="32" t="str">
        <x:v>2026-07-12</x:v>
      </x:c>
    </x:row>
    <x:row r="208">
      <x:c r="A208" s="32" t="str">
        <x:v>08 Applications, APIs &amp; Integration</x:v>
      </x:c>
      <x:c r="B208" s="32" t="str">
        <x:v>Application Integration</x:v>
      </x:c>
      <x:c r="C208" s="32" t="str">
        <x:v>Workflow &amp; Orchestration</x:v>
      </x:c>
      <x:c r="D208" s="32" t="str">
        <x:v>Workload</x:v>
      </x:c>
      <x:c r="E208" s="32" t="str">
        <x:v>Workflow scheduling</x:v>
      </x:c>
      <x:c r="F208" s="32" t="str">
        <x:v>Cloud task scheduler</x:v>
      </x:c>
      <x:c r="G208" s="32" t="str">
        <x:v>Trigger jobs and HTTP targets according to cron-like schedules.</x:v>
      </x:c>
      <x:c r="H208" s="32" t="str">
        <x:v>Choose this capability when you need to trigger jobs and http targets according to cron-like schedules.</x:v>
      </x:c>
      <x:c r="I208" s="32" t="str">
        <x:v>What business outcome, scale, control, integration and operating model justify choosing cloud task scheduler?</x:v>
      </x:c>
      <x:c r="J208" s="32" t="str">
        <x:v>Time to market versus platform constraints and vendor lock-in.</x:v>
      </x:c>
      <x:c r="K208" s="32" t="n">
        <x:v>3</x:v>
      </x:c>
      <x:c r="L208" s="32" t="str">
        <x:v>Moderate</x:v>
      </x:c>
      <x:c r="M208" s="32" t="str">
        <x:v>1–3 weeks</x:v>
      </x:c>
      <x:c r="N208" s="32" t="str">
        <x:v>High</x:v>
      </x:c>
      <x:c r="O208" s="32" t="str">
        <x:v>Amazon EventBridge Scheduler</x:v>
      </x:c>
      <x:c r="P208" s="32" t="str">
        <x:v>Azure Logic Apps
Azure Functions timer triggers</x:v>
      </x:c>
      <x:c r="Q208" s="32" t="str">
        <x:v>Cloud Scheduler</x:v>
      </x:c>
      <x:c r="R208" s="32" t="n">
        <x:f>'Provider Ratings'!AD208</x:f>
        <x:v>3.79</x:v>
      </x:c>
      <x:c r="S208" s="32" t="n">
        <x:f>'Provider Ratings'!AE208</x:f>
        <x:v>3.73</x:v>
      </x:c>
      <x:c r="T208" s="32" t="n">
        <x:f>'Provider Ratings'!AF208</x:f>
        <x:v>3.78</x:v>
      </x:c>
      <x:c r="U208" s="32" t="str">
        <x:f>'Provider Ratings'!AG208</x:f>
        <x:v>Context-dependent tie</x:v>
      </x:c>
      <x:c r="V208" s="32" t="str">
        <x:f>'Provider Ratings'!AH208</x:f>
        <x:v>Scores are close: use ecosystem, data gravity, region, skills, commercials and proof-of-value results to decide.</x:v>
      </x:c>
      <x:c r="W208" s="32" t="str">
        <x:v>Close</x:v>
      </x:c>
      <x:c r="X208" s="32"/>
      <x:c r="Y208" s="32" t="str">
        <x:v>2026-07-12</x:v>
      </x:c>
    </x:row>
    <x:row r="209">
      <x:c r="A209" s="32" t="str">
        <x:v>08 Applications, APIs &amp; Integration</x:v>
      </x:c>
      <x:c r="B209" s="32" t="str">
        <x:v>Application Integration</x:v>
      </x:c>
      <x:c r="C209" s="32" t="str">
        <x:v>Messaging &amp; Eventing</x:v>
      </x:c>
      <x:c r="D209" s="32" t="str">
        <x:v>Component</x:v>
      </x:c>
      <x:c r="E209" s="32" t="str">
        <x:v>Task queue</x:v>
      </x:c>
      <x:c r="F209" s="32" t="str">
        <x:v>Application task queue</x:v>
      </x:c>
      <x:c r="G209" s="32" t="str">
        <x:v>Dispatch and control asynchronous application tasks with retries and rate limits.</x:v>
      </x:c>
      <x:c r="H209" s="32" t="str">
        <x:v>Choose this capability when you need to dispatch and control asynchronous application tasks with retries and rate limits.</x:v>
      </x:c>
      <x:c r="I209" s="32" t="str">
        <x:v>What business outcome, scale, control, integration and operating model justify choosing application task queue?</x:v>
      </x:c>
      <x:c r="J209" s="32" t="str">
        <x:v>Time to market versus platform constraints and vendor lock-in.</x:v>
      </x:c>
      <x:c r="K209" s="32" t="n">
        <x:v>4</x:v>
      </x:c>
      <x:c r="L209" s="32" t="str">
        <x:v>Easy</x:v>
      </x:c>
      <x:c r="M209" s="32" t="str">
        <x:v>1–3 days</x:v>
      </x:c>
      <x:c r="N209" s="32" t="str">
        <x:v>Medium</x:v>
      </x:c>
      <x:c r="O209" s="32" t="str">
        <x:v>Amazon SQS</x:v>
      </x:c>
      <x:c r="P209" s="32" t="str">
        <x:v>Azure Queue Storage
Azure Service Bus</x:v>
      </x:c>
      <x:c r="Q209" s="32" t="str">
        <x:v>Cloud Tasks</x:v>
      </x:c>
      <x:c r="R209" s="32" t="n">
        <x:f>'Provider Ratings'!AD209</x:f>
        <x:v>4.15</x:v>
      </x:c>
      <x:c r="S209" s="32" t="n">
        <x:f>'Provider Ratings'!AE209</x:f>
        <x:v>3.97</x:v>
      </x:c>
      <x:c r="T209" s="32" t="n">
        <x:f>'Provider Ratings'!AF209</x:f>
        <x:v>4.02</x:v>
      </x:c>
      <x:c r="U209" s="32" t="str">
        <x:f>'Provider Ratings'!AG209</x:f>
        <x:v>Context-dependent tie</x:v>
      </x:c>
      <x:c r="V209" s="32" t="str">
        <x:f>'Provider Ratings'!AH209</x:f>
        <x:v>Scores are close: use ecosystem, data gravity, region, skills, commercials and proof-of-value results to decide.</x:v>
      </x:c>
      <x:c r="W209" s="32" t="str">
        <x:v>Close</x:v>
      </x:c>
      <x:c r="X209" s="32"/>
      <x:c r="Y209" s="32" t="str">
        <x:v>2026-07-12</x:v>
      </x:c>
    </x:row>
    <x:row r="210">
      <x:c r="A210" s="32" t="str">
        <x:v>08 Applications, APIs &amp; Integration</x:v>
      </x:c>
      <x:c r="B210" s="32" t="str">
        <x:v>Application Integration</x:v>
      </x:c>
      <x:c r="C210" s="32" t="str">
        <x:v>Application Communications</x:v>
      </x:c>
      <x:c r="D210" s="32" t="str">
        <x:v>Workload</x:v>
      </x:c>
      <x:c r="E210" s="32" t="str">
        <x:v>Email</x:v>
      </x:c>
      <x:c r="F210" s="32" t="str">
        <x:v>Transactional email</x:v>
      </x:c>
      <x:c r="G210" s="32" t="str">
        <x:v>Send application-generated transactional and bulk email.</x:v>
      </x:c>
      <x:c r="H210" s="32" t="str">
        <x:v>Choose this capability when you need to send application-generated transactional and bulk email.</x:v>
      </x:c>
      <x:c r="I210" s="32" t="str">
        <x:v>What business outcome, scale, control, integration and operating model justify choosing transactional email?</x:v>
      </x:c>
      <x:c r="J210" s="32" t="str">
        <x:v>Time to market versus platform constraints and vendor lock-in.</x:v>
      </x:c>
      <x:c r="K210" s="32" t="n">
        <x:v>4</x:v>
      </x:c>
      <x:c r="L210" s="32" t="str">
        <x:v>Easy</x:v>
      </x:c>
      <x:c r="M210" s="32" t="str">
        <x:v>1–3 days</x:v>
      </x:c>
      <x:c r="N210" s="32" t="str">
        <x:v>Medium</x:v>
      </x:c>
      <x:c r="O210" s="32" t="str">
        <x:v>Amazon Simple Email Service</x:v>
      </x:c>
      <x:c r="P210" s="32" t="str">
        <x:v>Azure Communication Services Email</x:v>
      </x:c>
      <x:c r="Q210" s="32" t="str">
        <x:v>partner email services</x:v>
      </x:c>
      <x:c r="R210" s="32" t="n">
        <x:f>'Provider Ratings'!AD210</x:f>
        <x:v>3.84</x:v>
      </x:c>
      <x:c r="S210" s="32" t="n">
        <x:f>'Provider Ratings'!AE210</x:f>
        <x:v>3.85</x:v>
      </x:c>
      <x:c r="T210" s="32" t="n">
        <x:f>'Provider Ratings'!AF210</x:f>
        <x:v>3.4</x:v>
      </x:c>
      <x:c r="U210" s="32" t="str">
        <x:f>'Provider Ratings'!AG210</x:f>
        <x:v>Context-dependent tie</x:v>
      </x:c>
      <x:c r="V210" s="32" t="str">
        <x:f>'Provider Ratings'!AH210</x:f>
        <x:v>Scores are close: use ecosystem, data gravity, region, skills, commercials and proof-of-value results to decide.</x:v>
      </x:c>
      <x:c r="W210" s="32" t="str">
        <x:v>Partial</x:v>
      </x:c>
      <x:c r="X210" s="32"/>
      <x:c r="Y210" s="32" t="str">
        <x:v>2026-07-12</x:v>
      </x:c>
    </x:row>
    <x:row r="211">
      <x:c r="A211" s="32" t="str">
        <x:v>08 Applications, APIs &amp; Integration</x:v>
      </x:c>
      <x:c r="B211" s="32" t="str">
        <x:v>Application Integration</x:v>
      </x:c>
      <x:c r="C211" s="32" t="str">
        <x:v>Application Communications</x:v>
      </x:c>
      <x:c r="D211" s="32" t="str">
        <x:v>Component</x:v>
      </x:c>
      <x:c r="E211" s="32" t="str">
        <x:v>Push notifications</x:v>
      </x:c>
      <x:c r="F211" s="32" t="str">
        <x:v>Mobile push notifications</x:v>
      </x:c>
      <x:c r="G211" s="32" t="str">
        <x:v>Send push messages and notifications to mobile devices and applications.</x:v>
      </x:c>
      <x:c r="H211" s="32" t="str">
        <x:v>Choose this capability when you need to send push messages and notifications to mobile devices and applications.</x:v>
      </x:c>
      <x:c r="I211" s="32" t="str">
        <x:v>What business outcome, scale, control, integration and operating model justify choosing mobile push notifications?</x:v>
      </x:c>
      <x:c r="J211" s="32" t="str">
        <x:v>Time to market versus platform constraints and vendor lock-in.</x:v>
      </x:c>
      <x:c r="K211" s="32" t="n">
        <x:v>5</x:v>
      </x:c>
      <x:c r="L211" s="32" t="str">
        <x:v>Very easy</x:v>
      </x:c>
      <x:c r="M211" s="32" t="str">
        <x:v>Hours</x:v>
      </x:c>
      <x:c r="N211" s="32" t="str">
        <x:v>Medium</x:v>
      </x:c>
      <x:c r="O211" s="32" t="str">
        <x:v>Amazon SNS
Amazon Pinpoint</x:v>
      </x:c>
      <x:c r="P211" s="32" t="str">
        <x:v>Azure Notification Hubs</x:v>
      </x:c>
      <x:c r="Q211" s="32" t="str">
        <x:v>Firebase Cloud Messaging</x:v>
      </x:c>
      <x:c r="R211" s="32" t="n">
        <x:f>'Provider Ratings'!AD211</x:f>
        <x:v>4.13</x:v>
      </x:c>
      <x:c r="S211" s="32" t="n">
        <x:f>'Provider Ratings'!AE211</x:f>
        <x:v>4.29</x:v>
      </x:c>
      <x:c r="T211" s="32" t="n">
        <x:f>'Provider Ratings'!AF211</x:f>
        <x:v>4.21</x:v>
      </x:c>
      <x:c r="U211" s="32" t="str">
        <x:f>'Provider Ratings'!AG211</x:f>
        <x:v>Context-dependent tie</x:v>
      </x:c>
      <x:c r="V211" s="32" t="str">
        <x:f>'Provider Ratings'!AH211</x:f>
        <x:v>Scores are close: use ecosystem, data gravity, region, skills, commercials and proof-of-value results to decide.</x:v>
      </x:c>
      <x:c r="W211" s="32" t="str">
        <x:v>Close</x:v>
      </x:c>
      <x:c r="X211" s="32"/>
      <x:c r="Y211" s="32" t="str">
        <x:v>2026-07-12</x:v>
      </x:c>
    </x:row>
    <x:row r="212">
      <x:c r="A212" s="32" t="str">
        <x:v>08 Applications, APIs &amp; Integration</x:v>
      </x:c>
      <x:c r="B212" s="32" t="str">
        <x:v>Application Integration</x:v>
      </x:c>
      <x:c r="C212" s="32" t="str">
        <x:v>Application Communications</x:v>
      </x:c>
      <x:c r="D212" s="32" t="str">
        <x:v>Workload</x:v>
      </x:c>
      <x:c r="E212" s="32" t="str">
        <x:v>Real-time messaging</x:v>
      </x:c>
      <x:c r="F212" s="32" t="str">
        <x:v>Managed real-time web messaging</x:v>
      </x:c>
      <x:c r="G212" s="32" t="str">
        <x:v>Deliver low-latency bidirectional messages to connected web and mobile clients.</x:v>
      </x:c>
      <x:c r="H212" s="32" t="str">
        <x:v>Choose this capability when you need to deliver low-latency bidirectional messages to connected web and mobile clients.</x:v>
      </x:c>
      <x:c r="I212" s="32" t="str">
        <x:v>What business outcome, scale, control, integration and operating model justify choosing managed real-time web messaging?</x:v>
      </x:c>
      <x:c r="J212" s="32" t="str">
        <x:v>Time to market versus platform constraints and vendor lock-in.</x:v>
      </x:c>
      <x:c r="K212" s="32" t="n">
        <x:v>3</x:v>
      </x:c>
      <x:c r="L212" s="32" t="str">
        <x:v>Moderate</x:v>
      </x:c>
      <x:c r="M212" s="32" t="str">
        <x:v>1–3 weeks</x:v>
      </x:c>
      <x:c r="N212" s="32" t="str">
        <x:v>Medium</x:v>
      </x:c>
      <x:c r="O212" s="32" t="str">
        <x:v>AWS AppSync subscriptions
Amazon API Gateway WebSocket APIs</x:v>
      </x:c>
      <x:c r="P212" s="32" t="str">
        <x:v>Azure SignalR Service
Azure Web PubSub</x:v>
      </x:c>
      <x:c r="Q212" s="32" t="str">
        <x:v>Firebase Realtime Database
Cloud Run WebSockets</x:v>
      </x:c>
      <x:c r="R212" s="32" t="n">
        <x:f>'Provider Ratings'!AD212</x:f>
        <x:v>3.71</x:v>
      </x:c>
      <x:c r="S212" s="32" t="n">
        <x:f>'Provider Ratings'!AE212</x:f>
        <x:v>3.56</x:v>
      </x:c>
      <x:c r="T212" s="32" t="n">
        <x:f>'Provider Ratings'!AF212</x:f>
        <x:v>3.53</x:v>
      </x:c>
      <x:c r="U212" s="32" t="str">
        <x:f>'Provider Ratings'!AG212</x:f>
        <x:v>AWS</x:v>
      </x:c>
      <x:c r="V212" s="32" t="str">
        <x:f>'Provider Ratings'!AH212</x:f>
        <x:v>Start with AWS when infrastructure breadth, native integration and operational maturity are the main differentiators.</x:v>
      </x:c>
      <x:c r="W212" s="32" t="str">
        <x:v>Partial</x:v>
      </x:c>
      <x:c r="X212" s="32"/>
      <x:c r="Y212" s="32" t="str">
        <x:v>2026-07-12</x:v>
      </x:c>
    </x:row>
    <x:row r="213">
      <x:c r="A213" s="32" t="str">
        <x:v>09 Engineering, Operations &amp; Migration</x:v>
      </x:c>
      <x:c r="B213" s="32" t="str">
        <x:v>Developer Tools &amp; DevOps</x:v>
      </x:c>
      <x:c r="C213" s="32" t="str">
        <x:v>Software Delivery &amp; Supply Chain</x:v>
      </x:c>
      <x:c r="D213" s="32" t="str">
        <x:v>Workload</x:v>
      </x:c>
      <x:c r="E213" s="32" t="str">
        <x:v>Source control</x:v>
      </x:c>
      <x:c r="F213" s="32" t="str">
        <x:v>Managed Git repositories</x:v>
      </x:c>
      <x:c r="G213" s="32" t="str">
        <x:v>Host private Git repositories with access control and development integrations.</x:v>
      </x:c>
      <x:c r="H213" s="32" t="str">
        <x:v>Choose this capability when you need to host private git repositories with access control and development integrations.</x:v>
      </x:c>
      <x:c r="I213" s="32" t="str">
        <x:v>How will source, builds, artifacts, approvals, security checks and deployments be governed end to end?</x:v>
      </x:c>
      <x:c r="J213" s="32" t="str">
        <x:v>Standardisation and automation versus flexibility and migration effort.</x:v>
      </x:c>
      <x:c r="K213" s="32" t="n">
        <x:v>3</x:v>
      </x:c>
      <x:c r="L213" s="32" t="str">
        <x:v>Moderate</x:v>
      </x:c>
      <x:c r="M213" s="32" t="str">
        <x:v>1–3 weeks</x:v>
      </x:c>
      <x:c r="N213" s="32" t="str">
        <x:v>Medium</x:v>
      </x:c>
      <x:c r="O213" s="32" t="str">
        <x:v>AWS CodeCommit</x:v>
      </x:c>
      <x:c r="P213" s="32" t="str">
        <x:v>Azure Repos
GitHub Enterprise</x:v>
      </x:c>
      <x:c r="Q213" s="32" t="str">
        <x:v>Secure Source Manager</x:v>
      </x:c>
      <x:c r="R213" s="32" t="n">
        <x:f>'Provider Ratings'!AD213</x:f>
        <x:v>3.89</x:v>
      </x:c>
      <x:c r="S213" s="32" t="n">
        <x:f>'Provider Ratings'!AE213</x:f>
        <x:v>3.91</x:v>
      </x:c>
      <x:c r="T213" s="32" t="n">
        <x:f>'Provider Ratings'!AF213</x:f>
        <x:v>3.84</x:v>
      </x:c>
      <x:c r="U213" s="32" t="str">
        <x:f>'Provider Ratings'!AG213</x:f>
        <x:v>Context-dependent tie</x:v>
      </x:c>
      <x:c r="V213" s="32" t="str">
        <x:f>'Provider Ratings'!AH213</x:f>
        <x:v>Scores are close: use ecosystem, data gravity, region, skills, commercials and proof-of-value results to decide.</x:v>
      </x:c>
      <x:c r="W213" s="32" t="str">
        <x:v>Close</x:v>
      </x:c>
      <x:c r="X213" s="32"/>
      <x:c r="Y213" s="32" t="str">
        <x:v>2026-07-12</x:v>
      </x:c>
    </x:row>
    <x:row r="214">
      <x:c r="A214" s="32" t="str">
        <x:v>09 Engineering, Operations &amp; Migration</x:v>
      </x:c>
      <x:c r="B214" s="32" t="str">
        <x:v>Developer Tools &amp; DevOps</x:v>
      </x:c>
      <x:c r="C214" s="32" t="str">
        <x:v>Software Delivery &amp; Supply Chain</x:v>
      </x:c>
      <x:c r="D214" s="32" t="str">
        <x:v>Workload</x:v>
      </x:c>
      <x:c r="E214" s="32" t="str">
        <x:v>Continuous integration</x:v>
      </x:c>
      <x:c r="F214" s="32" t="str">
        <x:v>Managed continuous integration</x:v>
      </x:c>
      <x:c r="G214" s="32" t="str">
        <x:v>Build and test source code in automated pipelines.</x:v>
      </x:c>
      <x:c r="H214" s="32" t="str">
        <x:v>Choose this capability when you need to build and test source code in automated pipelines.</x:v>
      </x:c>
      <x:c r="I214" s="32" t="str">
        <x:v>How will source, builds, artifacts, approvals, security checks and deployments be governed end to end?</x:v>
      </x:c>
      <x:c r="J214" s="32" t="str">
        <x:v>Standardisation and automation versus flexibility and migration effort.</x:v>
      </x:c>
      <x:c r="K214" s="32" t="n">
        <x:v>3</x:v>
      </x:c>
      <x:c r="L214" s="32" t="str">
        <x:v>Moderate</x:v>
      </x:c>
      <x:c r="M214" s="32" t="str">
        <x:v>1–3 weeks</x:v>
      </x:c>
      <x:c r="N214" s="32" t="str">
        <x:v>Medium</x:v>
      </x:c>
      <x:c r="O214" s="32" t="str">
        <x:v>AWS CodeBuild
AWS CodeCatalyst</x:v>
      </x:c>
      <x:c r="P214" s="32" t="str">
        <x:v>Azure Pipelines
GitHub Actions</x:v>
      </x:c>
      <x:c r="Q214" s="32" t="str">
        <x:v>Cloud Build</x:v>
      </x:c>
      <x:c r="R214" s="32" t="n">
        <x:f>'Provider Ratings'!AD214</x:f>
        <x:v>3.8</x:v>
      </x:c>
      <x:c r="S214" s="32" t="n">
        <x:f>'Provider Ratings'!AE214</x:f>
        <x:v>3.91</x:v>
      </x:c>
      <x:c r="T214" s="32" t="n">
        <x:f>'Provider Ratings'!AF214</x:f>
        <x:v>3.84</x:v>
      </x:c>
      <x:c r="U214" s="32" t="str">
        <x:f>'Provider Ratings'!AG214</x:f>
        <x:v>Context-dependent tie</x:v>
      </x:c>
      <x:c r="V214" s="32" t="str">
        <x:f>'Provider Ratings'!AH214</x:f>
        <x:v>Scores are close: use ecosystem, data gravity, region, skills, commercials and proof-of-value results to decide.</x:v>
      </x:c>
      <x:c r="W214" s="32" t="str">
        <x:v>Close</x:v>
      </x:c>
      <x:c r="X214" s="32"/>
      <x:c r="Y214" s="32" t="str">
        <x:v>2026-07-12</x:v>
      </x:c>
    </x:row>
    <x:row r="215">
      <x:c r="A215" s="32" t="str">
        <x:v>09 Engineering, Operations &amp; Migration</x:v>
      </x:c>
      <x:c r="B215" s="32" t="str">
        <x:v>Developer Tools &amp; DevOps</x:v>
      </x:c>
      <x:c r="C215" s="32" t="str">
        <x:v>Software Delivery &amp; Supply Chain</x:v>
      </x:c>
      <x:c r="D215" s="32" t="str">
        <x:v>Workload</x:v>
      </x:c>
      <x:c r="E215" s="32" t="str">
        <x:v>Continuous delivery</x:v>
      </x:c>
      <x:c r="F215" s="32" t="str">
        <x:v>Managed continuous delivery</x:v>
      </x:c>
      <x:c r="G215" s="32" t="str">
        <x:v>Deploy application and infrastructure changes through controlled release pipelines.</x:v>
      </x:c>
      <x:c r="H215" s="32" t="str">
        <x:v>Choose this capability when you need to deploy application and infrastructure changes through controlled release pipelines.</x:v>
      </x:c>
      <x:c r="I215" s="32" t="str">
        <x:v>How will source, builds, artifacts, approvals, security checks and deployments be governed end to end?</x:v>
      </x:c>
      <x:c r="J215" s="32" t="str">
        <x:v>Standardisation and automation versus flexibility and migration effort.</x:v>
      </x:c>
      <x:c r="K215" s="32" t="n">
        <x:v>3</x:v>
      </x:c>
      <x:c r="L215" s="32" t="str">
        <x:v>Moderate</x:v>
      </x:c>
      <x:c r="M215" s="32" t="str">
        <x:v>1–3 weeks</x:v>
      </x:c>
      <x:c r="N215" s="32" t="str">
        <x:v>Medium</x:v>
      </x:c>
      <x:c r="O215" s="32" t="str">
        <x:v>AWS CodePipeline
AWS CodeDeploy</x:v>
      </x:c>
      <x:c r="P215" s="32" t="str">
        <x:v>Azure Pipelines
GitHub Actions</x:v>
      </x:c>
      <x:c r="Q215" s="32" t="str">
        <x:v>Cloud Deploy</x:v>
      </x:c>
      <x:c r="R215" s="32" t="n">
        <x:f>'Provider Ratings'!AD215</x:f>
        <x:v>3.8</x:v>
      </x:c>
      <x:c r="S215" s="32" t="n">
        <x:f>'Provider Ratings'!AE215</x:f>
        <x:v>3.91</x:v>
      </x:c>
      <x:c r="T215" s="32" t="n">
        <x:f>'Provider Ratings'!AF215</x:f>
        <x:v>3.84</x:v>
      </x:c>
      <x:c r="U215" s="32" t="str">
        <x:f>'Provider Ratings'!AG215</x:f>
        <x:v>Context-dependent tie</x:v>
      </x:c>
      <x:c r="V215" s="32" t="str">
        <x:f>'Provider Ratings'!AH215</x:f>
        <x:v>Scores are close: use ecosystem, data gravity, region, skills, commercials and proof-of-value results to decide.</x:v>
      </x:c>
      <x:c r="W215" s="32" t="str">
        <x:v>Close</x:v>
      </x:c>
      <x:c r="X215" s="32"/>
      <x:c r="Y215" s="32" t="str">
        <x:v>2026-07-12</x:v>
      </x:c>
    </x:row>
    <x:row r="216">
      <x:c r="A216" s="32" t="str">
        <x:v>09 Engineering, Operations &amp; Migration</x:v>
      </x:c>
      <x:c r="B216" s="32" t="str">
        <x:v>Developer Tools &amp; DevOps</x:v>
      </x:c>
      <x:c r="C216" s="32" t="str">
        <x:v>Software Delivery &amp; Supply Chain</x:v>
      </x:c>
      <x:c r="D216" s="32" t="str">
        <x:v>Workload</x:v>
      </x:c>
      <x:c r="E216" s="32" t="str">
        <x:v>Artifacts</x:v>
      </x:c>
      <x:c r="F216" s="32" t="str">
        <x:v>Artifact and package repository</x:v>
      </x:c>
      <x:c r="G216" s="32" t="str">
        <x:v>Store application packages, dependencies and build artifacts.</x:v>
      </x:c>
      <x:c r="H216" s="32" t="str">
        <x:v>Choose this capability when you need to store application packages, dependencies and build artifacts.</x:v>
      </x:c>
      <x:c r="I216" s="32" t="str">
        <x:v>How will source, builds, artifacts, approvals, security checks and deployments be governed end to end?</x:v>
      </x:c>
      <x:c r="J216" s="32" t="str">
        <x:v>Standardisation and automation versus flexibility and migration effort.</x:v>
      </x:c>
      <x:c r="K216" s="32" t="n">
        <x:v>3</x:v>
      </x:c>
      <x:c r="L216" s="32" t="str">
        <x:v>Moderate</x:v>
      </x:c>
      <x:c r="M216" s="32" t="str">
        <x:v>1–3 weeks</x:v>
      </x:c>
      <x:c r="N216" s="32" t="str">
        <x:v>Medium</x:v>
      </x:c>
      <x:c r="O216" s="32" t="str">
        <x:v>AWS CodeArtifact
Amazon ECR</x:v>
      </x:c>
      <x:c r="P216" s="32" t="str">
        <x:v>Azure Artifacts
Azure Container Registry</x:v>
      </x:c>
      <x:c r="Q216" s="32" t="str">
        <x:v>Artifact Registry</x:v>
      </x:c>
      <x:c r="R216" s="32" t="n">
        <x:f>'Provider Ratings'!AD216</x:f>
        <x:v>3.8</x:v>
      </x:c>
      <x:c r="S216" s="32" t="n">
        <x:f>'Provider Ratings'!AE216</x:f>
        <x:v>3.91</x:v>
      </x:c>
      <x:c r="T216" s="32" t="n">
        <x:f>'Provider Ratings'!AF216</x:f>
        <x:v>3.84</x:v>
      </x:c>
      <x:c r="U216" s="32" t="str">
        <x:f>'Provider Ratings'!AG216</x:f>
        <x:v>Context-dependent tie</x:v>
      </x:c>
      <x:c r="V216" s="32" t="str">
        <x:f>'Provider Ratings'!AH216</x:f>
        <x:v>Scores are close: use ecosystem, data gravity, region, skills, commercials and proof-of-value results to decide.</x:v>
      </x:c>
      <x:c r="W216" s="32" t="str">
        <x:v>Close</x:v>
      </x:c>
      <x:c r="X216" s="32"/>
      <x:c r="Y216" s="32" t="str">
        <x:v>2026-07-12</x:v>
      </x:c>
    </x:row>
    <x:row r="217">
      <x:c r="A217" s="32" t="str">
        <x:v>09 Engineering, Operations &amp; Migration</x:v>
      </x:c>
      <x:c r="B217" s="32" t="str">
        <x:v>Developer Tools &amp; DevOps</x:v>
      </x:c>
      <x:c r="C217" s="32" t="str">
        <x:v>Software Delivery &amp; Supply Chain</x:v>
      </x:c>
      <x:c r="D217" s="32" t="str">
        <x:v>Workload</x:v>
      </x:c>
      <x:c r="E217" s="32" t="str">
        <x:v>Artifact security</x:v>
      </x:c>
      <x:c r="F217" s="32" t="str">
        <x:v>Software artifact analysis</x:v>
      </x:c>
      <x:c r="G217" s="32" t="str">
        <x:v>Scan packages and container images for vulnerabilities and supply-chain risk.</x:v>
      </x:c>
      <x:c r="H217" s="32" t="str">
        <x:v>Choose this capability when you need to scan packages and container images for vulnerabilities and supply-chain risk.</x:v>
      </x:c>
      <x:c r="I217" s="32" t="str">
        <x:v>How will source, builds, artifacts, approvals, security checks and deployments be governed end to end?</x:v>
      </x:c>
      <x:c r="J217" s="32" t="str">
        <x:v>Standardisation and automation versus flexibility and migration effort.</x:v>
      </x:c>
      <x:c r="K217" s="32" t="n">
        <x:v>3</x:v>
      </x:c>
      <x:c r="L217" s="32" t="str">
        <x:v>Moderate</x:v>
      </x:c>
      <x:c r="M217" s="32" t="str">
        <x:v>1–3 weeks</x:v>
      </x:c>
      <x:c r="N217" s="32" t="str">
        <x:v>Medium</x:v>
      </x:c>
      <x:c r="O217" s="32" t="str">
        <x:v>Amazon Inspector
Amazon ECR enhanced scanning</x:v>
      </x:c>
      <x:c r="P217" s="32" t="str">
        <x:v>Microsoft Defender for Cloud
GitHub Advanced Security</x:v>
      </x:c>
      <x:c r="Q217" s="32" t="str">
        <x:v>Artifact Analysis
Software supply chain security</x:v>
      </x:c>
      <x:c r="R217" s="32" t="n">
        <x:f>'Provider Ratings'!AD217</x:f>
        <x:v>3.8</x:v>
      </x:c>
      <x:c r="S217" s="32" t="n">
        <x:f>'Provider Ratings'!AE217</x:f>
        <x:v>3.97</x:v>
      </x:c>
      <x:c r="T217" s="32" t="n">
        <x:f>'Provider Ratings'!AF217</x:f>
        <x:v>3.74</x:v>
      </x:c>
      <x:c r="U217" s="32" t="str">
        <x:f>'Provider Ratings'!AG217</x:f>
        <x:v>Azure</x:v>
      </x:c>
      <x:c r="V217" s="32" t="str">
        <x:f>'Provider Ratings'!AH217</x:f>
        <x:v>Start with Azure when Microsoft identity, security, data, productivity or hybrid integration reduces delivery effort.</x:v>
      </x:c>
      <x:c r="W217" s="32" t="str">
        <x:v>Close</x:v>
      </x:c>
      <x:c r="X217" s="32"/>
      <x:c r="Y217" s="32" t="str">
        <x:v>2026-07-12</x:v>
      </x:c>
    </x:row>
    <x:row r="218">
      <x:c r="A218" s="32" t="str">
        <x:v>09 Engineering, Operations &amp; Migration</x:v>
      </x:c>
      <x:c r="B218" s="32" t="str">
        <x:v>Developer Tools &amp; DevOps</x:v>
      </x:c>
      <x:c r="C218" s="32" t="str">
        <x:v>Developer Experience &amp; Platform Engineering</x:v>
      </x:c>
      <x:c r="D218" s="32" t="str">
        <x:v>Platform</x:v>
      </x:c>
      <x:c r="E218" s="32" t="str">
        <x:v>Developer portal</x:v>
      </x:c>
      <x:c r="F218" s="32" t="str">
        <x:v>Internal developer platform</x:v>
      </x:c>
      <x:c r="G218" s="32" t="str">
        <x:v>Standardise approved application templates, environments and developer self-service.</x:v>
      </x:c>
      <x:c r="H218" s="32" t="str">
        <x:v>Choose this capability when you need to standardise approved application templates, environments and developer self-service.</x:v>
      </x:c>
      <x:c r="I218" s="32" t="str">
        <x:v>What business outcome, scale, control, integration and operating model justify choosing internal developer platform?</x:v>
      </x:c>
      <x:c r="J218" s="32" t="str">
        <x:v>Standardisation and automation versus flexibility and migration effort.</x:v>
      </x:c>
      <x:c r="K218" s="32" t="n">
        <x:v>3</x:v>
      </x:c>
      <x:c r="L218" s="32" t="str">
        <x:v>Moderate</x:v>
      </x:c>
      <x:c r="M218" s="32" t="str">
        <x:v>1–3 weeks</x:v>
      </x:c>
      <x:c r="N218" s="32" t="str">
        <x:v>Medium</x:v>
      </x:c>
      <x:c r="O218" s="32" t="str">
        <x:v>AWS Proton
AWS Service Catalog</x:v>
      </x:c>
      <x:c r="P218" s="32" t="str">
        <x:v>Azure Deployment Environments
Azure Dev Center</x:v>
      </x:c>
      <x:c r="Q218" s="32" t="str">
        <x:v>Application Design Center
App Hub</x:v>
      </x:c>
      <x:c r="R218" s="32" t="n">
        <x:f>'Provider Ratings'!AD218</x:f>
        <x:v>3.8</x:v>
      </x:c>
      <x:c r="S218" s="32" t="n">
        <x:f>'Provider Ratings'!AE218</x:f>
        <x:v>3.75</x:v>
      </x:c>
      <x:c r="T218" s="32" t="n">
        <x:f>'Provider Ratings'!AF218</x:f>
        <x:v>3.87</x:v>
      </x:c>
      <x:c r="U218" s="32" t="str">
        <x:f>'Provider Ratings'!AG218</x:f>
        <x:v>Context-dependent tie</x:v>
      </x:c>
      <x:c r="V218" s="32" t="str">
        <x:f>'Provider Ratings'!AH218</x:f>
        <x:v>Scores are close: use ecosystem, data gravity, region, skills, commercials and proof-of-value results to decide.</x:v>
      </x:c>
      <x:c r="W218" s="32" t="str">
        <x:v>Close</x:v>
      </x:c>
      <x:c r="X218" s="32"/>
      <x:c r="Y218" s="32" t="str">
        <x:v>2026-07-12</x:v>
      </x:c>
    </x:row>
    <x:row r="219">
      <x:c r="A219" s="32" t="str">
        <x:v>09 Engineering, Operations &amp; Migration</x:v>
      </x:c>
      <x:c r="B219" s="32" t="str">
        <x:v>Developer Tools &amp; DevOps</x:v>
      </x:c>
      <x:c r="C219" s="32" t="str">
        <x:v>Developer Experience &amp; Platform Engineering</x:v>
      </x:c>
      <x:c r="D219" s="32" t="str">
        <x:v>Workload</x:v>
      </x:c>
      <x:c r="E219" s="32" t="str">
        <x:v>Cloud IDE</x:v>
      </x:c>
      <x:c r="F219" s="32" t="str">
        <x:v>Browser-based cloud development environment</x:v>
      </x:c>
      <x:c r="G219" s="32" t="str">
        <x:v>Provide managed browser-accessible development environments connected to cloud resources.</x:v>
      </x:c>
      <x:c r="H219" s="32" t="str">
        <x:v>Choose this capability when you need to provide managed browser-accessible development environments connected to cloud resources.</x:v>
      </x:c>
      <x:c r="I219" s="32" t="str">
        <x:v>What business outcome, scale, control, integration and operating model justify choosing browser-based cloud development environment?</x:v>
      </x:c>
      <x:c r="J219" s="32" t="str">
        <x:v>Standardisation and automation versus flexibility and migration effort.</x:v>
      </x:c>
      <x:c r="K219" s="32" t="n">
        <x:v>3</x:v>
      </x:c>
      <x:c r="L219" s="32" t="str">
        <x:v>Moderate</x:v>
      </x:c>
      <x:c r="M219" s="32" t="str">
        <x:v>1–3 weeks</x:v>
      </x:c>
      <x:c r="N219" s="32" t="str">
        <x:v>Medium</x:v>
      </x:c>
      <x:c r="O219" s="32" t="str">
        <x:v>AWS Cloud9
AWS CloudShell</x:v>
      </x:c>
      <x:c r="P219" s="32" t="str">
        <x:v>Microsoft Dev Box
Azure Cloud Shell</x:v>
      </x:c>
      <x:c r="Q219" s="32" t="str">
        <x:v>Cloud Workstations
Cloud Shell</x:v>
      </x:c>
      <x:c r="R219" s="32" t="n">
        <x:f>'Provider Ratings'!AD219</x:f>
        <x:v>3.8</x:v>
      </x:c>
      <x:c r="S219" s="32" t="n">
        <x:f>'Provider Ratings'!AE219</x:f>
        <x:v>3.75</x:v>
      </x:c>
      <x:c r="T219" s="32" t="n">
        <x:f>'Provider Ratings'!AF219</x:f>
        <x:v>3.87</x:v>
      </x:c>
      <x:c r="U219" s="32" t="str">
        <x:f>'Provider Ratings'!AG219</x:f>
        <x:v>Context-dependent tie</x:v>
      </x:c>
      <x:c r="V219" s="32" t="str">
        <x:f>'Provider Ratings'!AH219</x:f>
        <x:v>Scores are close: use ecosystem, data gravity, region, skills, commercials and proof-of-value results to decide.</x:v>
      </x:c>
      <x:c r="W219" s="32" t="str">
        <x:v>Close</x:v>
      </x:c>
      <x:c r="X219" s="32"/>
      <x:c r="Y219" s="32" t="str">
        <x:v>2026-07-12</x:v>
      </x:c>
    </x:row>
    <x:row r="220">
      <x:c r="A220" s="32" t="str">
        <x:v>09 Engineering, Operations &amp; Migration</x:v>
      </x:c>
      <x:c r="B220" s="32" t="str">
        <x:v>Developer Tools &amp; DevOps</x:v>
      </x:c>
      <x:c r="C220" s="32" t="str">
        <x:v>Developer Experience &amp; Platform Engineering</x:v>
      </x:c>
      <x:c r="D220" s="32" t="str">
        <x:v>Workload</x:v>
      </x:c>
      <x:c r="E220" s="32" t="str">
        <x:v>SDK and CLI</x:v>
      </x:c>
      <x:c r="F220" s="32" t="str">
        <x:v>Cloud command-line and SDK tools</x:v>
      </x:c>
      <x:c r="G220" s="32" t="str">
        <x:v>Manage cloud resources and build applications through command-line tools and language SDKs.</x:v>
      </x:c>
      <x:c r="H220" s="32" t="str">
        <x:v>Choose this capability when you need to manage cloud resources and build applications through command-line tools and language sdks.</x:v>
      </x:c>
      <x:c r="I220" s="32" t="str">
        <x:v>What business outcome, scale, control, integration and operating model justify choosing cloud command-line and sdk tools?</x:v>
      </x:c>
      <x:c r="J220" s="32" t="str">
        <x:v>Standardisation and automation versus flexibility and migration effort.</x:v>
      </x:c>
      <x:c r="K220" s="32" t="n">
        <x:v>3</x:v>
      </x:c>
      <x:c r="L220" s="32" t="str">
        <x:v>Moderate</x:v>
      </x:c>
      <x:c r="M220" s="32" t="str">
        <x:v>1–3 weeks</x:v>
      </x:c>
      <x:c r="N220" s="32" t="str">
        <x:v>Medium</x:v>
      </x:c>
      <x:c r="O220" s="32" t="str">
        <x:v>AWS CLI
AWS SDKs</x:v>
      </x:c>
      <x:c r="P220" s="32" t="str">
        <x:v>Azure CLI
Azure PowerShell
Azure SDKs</x:v>
      </x:c>
      <x:c r="Q220" s="32" t="str">
        <x:v>gcloud CLI
Google Cloud SDK</x:v>
      </x:c>
      <x:c r="R220" s="32" t="n">
        <x:f>'Provider Ratings'!AD220</x:f>
        <x:v>3.88</x:v>
      </x:c>
      <x:c r="S220" s="32" t="n">
        <x:f>'Provider Ratings'!AE220</x:f>
        <x:v>3.8</x:v>
      </x:c>
      <x:c r="T220" s="32" t="n">
        <x:f>'Provider Ratings'!AF220</x:f>
        <x:v>3.92</x:v>
      </x:c>
      <x:c r="U220" s="32" t="str">
        <x:f>'Provider Ratings'!AG220</x:f>
        <x:v>Context-dependent tie</x:v>
      </x:c>
      <x:c r="V220" s="32" t="str">
        <x:f>'Provider Ratings'!AH220</x:f>
        <x:v>Scores are close: use ecosystem, data gravity, region, skills, commercials and proof-of-value results to decide.</x:v>
      </x:c>
      <x:c r="W220" s="32" t="str">
        <x:v>Exact</x:v>
      </x:c>
      <x:c r="X220" s="32"/>
      <x:c r="Y220" s="32" t="str">
        <x:v>2026-07-12</x:v>
      </x:c>
    </x:row>
    <x:row r="221">
      <x:c r="A221" s="32" t="str">
        <x:v>09 Engineering, Operations &amp; Migration</x:v>
      </x:c>
      <x:c r="B221" s="32" t="str">
        <x:v>Developer Tools &amp; DevOps</x:v>
      </x:c>
      <x:c r="C221" s="32" t="str">
        <x:v>Developer Experience &amp; Platform Engineering</x:v>
      </x:c>
      <x:c r="D221" s="32" t="str">
        <x:v>Workload</x:v>
      </x:c>
      <x:c r="E221" s="32" t="str">
        <x:v>Application configuration</x:v>
      </x:c>
      <x:c r="F221" s="32" t="str">
        <x:v>Central application configuration</x:v>
      </x:c>
      <x:c r="G221" s="32" t="str">
        <x:v>Store and distribute application configuration and feature settings.</x:v>
      </x:c>
      <x:c r="H221" s="32" t="str">
        <x:v>Choose this capability when you need to store and distribute application configuration and feature settings.</x:v>
      </x:c>
      <x:c r="I221" s="32" t="str">
        <x:v>What business outcome, scale, control, integration and operating model justify choosing central application configuration?</x:v>
      </x:c>
      <x:c r="J221" s="32" t="str">
        <x:v>Standardisation and automation versus flexibility and migration effort.</x:v>
      </x:c>
      <x:c r="K221" s="32" t="n">
        <x:v>3</x:v>
      </x:c>
      <x:c r="L221" s="32" t="str">
        <x:v>Moderate</x:v>
      </x:c>
      <x:c r="M221" s="32" t="str">
        <x:v>1–3 weeks</x:v>
      </x:c>
      <x:c r="N221" s="32" t="str">
        <x:v>Medium</x:v>
      </x:c>
      <x:c r="O221" s="32" t="str">
        <x:v>AWS AppConfig
Systems Manager Parameter Store</x:v>
      </x:c>
      <x:c r="P221" s="32" t="str">
        <x:v>Azure App Configuration</x:v>
      </x:c>
      <x:c r="Q221" s="32" t="str">
        <x:v>Runtime Configurator legacy / Secret Manager / Firestore patterns</x:v>
      </x:c>
      <x:c r="R221" s="32" t="n">
        <x:f>'Provider Ratings'!AD221</x:f>
        <x:v>3.65</x:v>
      </x:c>
      <x:c r="S221" s="32" t="n">
        <x:f>'Provider Ratings'!AE221</x:f>
        <x:v>3.65</x:v>
      </x:c>
      <x:c r="T221" s="32" t="n">
        <x:f>'Provider Ratings'!AF221</x:f>
        <x:v>3.31</x:v>
      </x:c>
      <x:c r="U221" s="32" t="str">
        <x:f>'Provider Ratings'!AG221</x:f>
        <x:v>Context-dependent tie</x:v>
      </x:c>
      <x:c r="V221" s="32" t="str">
        <x:f>'Provider Ratings'!AH221</x:f>
        <x:v>Scores are close: use ecosystem, data gravity, region, skills, commercials and proof-of-value results to decide.</x:v>
      </x:c>
      <x:c r="W221" s="32" t="str">
        <x:v>Partial</x:v>
      </x:c>
      <x:c r="X221" s="32"/>
      <x:c r="Y221" s="32" t="str">
        <x:v>2026-07-12</x:v>
      </x:c>
    </x:row>
    <x:row r="222">
      <x:c r="A222" s="32" t="str">
        <x:v>09 Engineering, Operations &amp; Migration</x:v>
      </x:c>
      <x:c r="B222" s="32" t="str">
        <x:v>Developer Tools &amp; DevOps</x:v>
      </x:c>
      <x:c r="C222" s="32" t="str">
        <x:v>Testing &amp; Resilience Engineering</x:v>
      </x:c>
      <x:c r="D222" s="32" t="str">
        <x:v>Workload</x:v>
      </x:c>
      <x:c r="E222" s="32" t="str">
        <x:v>Testing</x:v>
      </x:c>
      <x:c r="F222" s="32" t="str">
        <x:v>Cloud application testing</x:v>
      </x:c>
      <x:c r="G222" s="32" t="str">
        <x:v>Run browser, mobile or load tests through managed infrastructure.</x:v>
      </x:c>
      <x:c r="H222" s="32" t="str">
        <x:v>Choose this capability when you need to run browser, mobile or load tests through managed infrastructure.</x:v>
      </x:c>
      <x:c r="I222" s="32" t="str">
        <x:v>What business outcome, scale, control, integration and operating model justify choosing cloud application testing?</x:v>
      </x:c>
      <x:c r="J222" s="32" t="str">
        <x:v>Standardisation and automation versus flexibility and migration effort.</x:v>
      </x:c>
      <x:c r="K222" s="32" t="n">
        <x:v>3</x:v>
      </x:c>
      <x:c r="L222" s="32" t="str">
        <x:v>Moderate</x:v>
      </x:c>
      <x:c r="M222" s="32" t="str">
        <x:v>1–3 weeks</x:v>
      </x:c>
      <x:c r="N222" s="32" t="str">
        <x:v>Medium</x:v>
      </x:c>
      <x:c r="O222" s="32" t="str">
        <x:v>AWS Device Farm</x:v>
      </x:c>
      <x:c r="P222" s="32" t="str">
        <x:v>Azure App Testing
Microsoft Playwright Testing</x:v>
      </x:c>
      <x:c r="Q222" s="32" t="str">
        <x:v>Firebase Test Lab</x:v>
      </x:c>
      <x:c r="R222" s="32" t="n">
        <x:f>'Provider Ratings'!AD222</x:f>
        <x:v>3.89</x:v>
      </x:c>
      <x:c r="S222" s="32" t="n">
        <x:f>'Provider Ratings'!AE222</x:f>
        <x:v>3.75</x:v>
      </x:c>
      <x:c r="T222" s="32" t="n">
        <x:f>'Provider Ratings'!AF222</x:f>
        <x:v>3.81</x:v>
      </x:c>
      <x:c r="U222" s="32" t="str">
        <x:f>'Provider Ratings'!AG222</x:f>
        <x:v>Context-dependent tie</x:v>
      </x:c>
      <x:c r="V222" s="32" t="str">
        <x:f>'Provider Ratings'!AH222</x:f>
        <x:v>Scores are close: use ecosystem, data gravity, region, skills, commercials and proof-of-value results to decide.</x:v>
      </x:c>
      <x:c r="W222" s="32" t="str">
        <x:v>Close</x:v>
      </x:c>
      <x:c r="X222" s="32"/>
      <x:c r="Y222" s="32" t="str">
        <x:v>2026-07-12</x:v>
      </x:c>
    </x:row>
    <x:row r="223">
      <x:c r="A223" s="32" t="str">
        <x:v>09 Engineering, Operations &amp; Migration</x:v>
      </x:c>
      <x:c r="B223" s="32" t="str">
        <x:v>Developer Tools &amp; DevOps</x:v>
      </x:c>
      <x:c r="C223" s="32" t="str">
        <x:v>Testing &amp; Resilience Engineering</x:v>
      </x:c>
      <x:c r="D223" s="32" t="str">
        <x:v>Workload</x:v>
      </x:c>
      <x:c r="E223" s="32" t="str">
        <x:v>Chaos engineering</x:v>
      </x:c>
      <x:c r="F223" s="32" t="str">
        <x:v>Fault-injection testing</x:v>
      </x:c>
      <x:c r="G223" s="32" t="str">
        <x:v>Inject controlled failures to validate resilience and recovery behaviour.</x:v>
      </x:c>
      <x:c r="H223" s="32" t="str">
        <x:v>Choose this capability when you need to inject controlled failures to validate resilience and recovery behaviour.</x:v>
      </x:c>
      <x:c r="I223" s="32" t="str">
        <x:v>What business outcome, scale, control, integration and operating model justify choosing fault-injection testing?</x:v>
      </x:c>
      <x:c r="J223" s="32" t="str">
        <x:v>Standardisation and automation versus flexibility and migration effort.</x:v>
      </x:c>
      <x:c r="K223" s="32" t="n">
        <x:v>3</x:v>
      </x:c>
      <x:c r="L223" s="32" t="str">
        <x:v>Moderate</x:v>
      </x:c>
      <x:c r="M223" s="32" t="str">
        <x:v>1–3 weeks</x:v>
      </x:c>
      <x:c r="N223" s="32" t="str">
        <x:v>Medium</x:v>
      </x:c>
      <x:c r="O223" s="32" t="str">
        <x:v>AWS Fault Injection Service</x:v>
      </x:c>
      <x:c r="P223" s="32" t="str">
        <x:v>Azure Chaos Studio</x:v>
      </x:c>
      <x:c r="Q223" s="32" t="str">
        <x:v>Fault Injection / Chaos Mesh on GKE</x:v>
      </x:c>
      <x:c r="R223" s="32" t="n">
        <x:f>'Provider Ratings'!AD223</x:f>
        <x:v>3.74</x:v>
      </x:c>
      <x:c r="S223" s="32" t="n">
        <x:f>'Provider Ratings'!AE223</x:f>
        <x:v>3.65</x:v>
      </x:c>
      <x:c r="T223" s="32" t="n">
        <x:f>'Provider Ratings'!AF223</x:f>
        <x:v>3.53</x:v>
      </x:c>
      <x:c r="U223" s="32" t="str">
        <x:f>'Provider Ratings'!AG223</x:f>
        <x:v>Context-dependent tie</x:v>
      </x:c>
      <x:c r="V223" s="32" t="str">
        <x:f>'Provider Ratings'!AH223</x:f>
        <x:v>Scores are close: use ecosystem, data gravity, region, skills, commercials and proof-of-value results to decide.</x:v>
      </x:c>
      <x:c r="W223" s="32" t="str">
        <x:v>Partial</x:v>
      </x:c>
      <x:c r="X223" s="32"/>
      <x:c r="Y223" s="32" t="str">
        <x:v>2026-07-12</x:v>
      </x:c>
    </x:row>
    <x:row r="224">
      <x:c r="A224" s="32" t="str">
        <x:v>09 Engineering, Operations &amp; Migration</x:v>
      </x:c>
      <x:c r="B224" s="32" t="str">
        <x:v>Developer Tools &amp; DevOps</x:v>
      </x:c>
      <x:c r="C224" s="32" t="str">
        <x:v>Software Delivery &amp; Supply Chain</x:v>
      </x:c>
      <x:c r="D224" s="32" t="str">
        <x:v>Workload</x:v>
      </x:c>
      <x:c r="E224" s="32" t="str">
        <x:v>Code signing</x:v>
      </x:c>
      <x:c r="F224" s="32" t="str">
        <x:v>Artifact and code signing</x:v>
      </x:c>
      <x:c r="G224" s="32" t="str">
        <x:v>Sign software artifacts to verify publisher identity and integrity.</x:v>
      </x:c>
      <x:c r="H224" s="32" t="str">
        <x:v>Choose this capability when you need to sign software artifacts to verify publisher identity and integrity.</x:v>
      </x:c>
      <x:c r="I224" s="32" t="str">
        <x:v>How will source, builds, artifacts, approvals, security checks and deployments be governed end to end?</x:v>
      </x:c>
      <x:c r="J224" s="32" t="str">
        <x:v>Standardisation and automation versus flexibility and migration effort.</x:v>
      </x:c>
      <x:c r="K224" s="32" t="n">
        <x:v>3</x:v>
      </x:c>
      <x:c r="L224" s="32" t="str">
        <x:v>Moderate</x:v>
      </x:c>
      <x:c r="M224" s="32" t="str">
        <x:v>1–3 weeks</x:v>
      </x:c>
      <x:c r="N224" s="32" t="str">
        <x:v>Medium</x:v>
      </x:c>
      <x:c r="O224" s="32" t="str">
        <x:v>AWS Signer</x:v>
      </x:c>
      <x:c r="P224" s="32" t="str">
        <x:v>Azure Artifact Signing</x:v>
      </x:c>
      <x:c r="Q224" s="32" t="str">
        <x:v>Binary Authorization
Cloud KMS signing</x:v>
      </x:c>
      <x:c r="R224" s="32" t="n">
        <x:f>'Provider Ratings'!AD224</x:f>
        <x:v>3.89</x:v>
      </x:c>
      <x:c r="S224" s="32" t="n">
        <x:f>'Provider Ratings'!AE224</x:f>
        <x:v>3.99</x:v>
      </x:c>
      <x:c r="T224" s="32" t="n">
        <x:f>'Provider Ratings'!AF224</x:f>
        <x:v>3.74</x:v>
      </x:c>
      <x:c r="U224" s="32" t="str">
        <x:f>'Provider Ratings'!AG224</x:f>
        <x:v>Context-dependent tie</x:v>
      </x:c>
      <x:c r="V224" s="32" t="str">
        <x:f>'Provider Ratings'!AH224</x:f>
        <x:v>Scores are close: use ecosystem, data gravity, region, skills, commercials and proof-of-value results to decide.</x:v>
      </x:c>
      <x:c r="W224" s="32" t="str">
        <x:v>Close</x:v>
      </x:c>
      <x:c r="X224" s="32"/>
      <x:c r="Y224" s="32" t="str">
        <x:v>2026-07-12</x:v>
      </x:c>
    </x:row>
    <x:row r="225">
      <x:c r="A225" s="32" t="str">
        <x:v>09 Engineering, Operations &amp; Migration</x:v>
      </x:c>
      <x:c r="B225" s="32" t="str">
        <x:v>Developer Tools &amp; DevOps</x:v>
      </x:c>
      <x:c r="C225" s="32" t="str">
        <x:v>Testing &amp; Resilience Engineering</x:v>
      </x:c>
      <x:c r="D225" s="32" t="str">
        <x:v>Workload</x:v>
      </x:c>
      <x:c r="E225" s="32" t="str">
        <x:v>Application lifecycle</x:v>
      </x:c>
      <x:c r="F225" s="32" t="str">
        <x:v>Application portfolio hub</x:v>
      </x:c>
      <x:c r="G225" s="32" t="str">
        <x:v>Model applications and dependencies across cloud resources for operational ownership.</x:v>
      </x:c>
      <x:c r="H225" s="32" t="str">
        <x:v>Choose this capability when you need to model applications and dependencies across cloud resources for operational ownership.</x:v>
      </x:c>
      <x:c r="I225" s="32" t="str">
        <x:v>What business outcome, scale, control, integration and operating model justify choosing application portfolio hub?</x:v>
      </x:c>
      <x:c r="J225" s="32" t="str">
        <x:v>Standardisation and automation versus flexibility and migration effort.</x:v>
      </x:c>
      <x:c r="K225" s="32" t="n">
        <x:v>3</x:v>
      </x:c>
      <x:c r="L225" s="32" t="str">
        <x:v>Moderate</x:v>
      </x:c>
      <x:c r="M225" s="32" t="str">
        <x:v>1–3 weeks</x:v>
      </x:c>
      <x:c r="N225" s="32" t="str">
        <x:v>Medium</x:v>
      </x:c>
      <x:c r="O225" s="32" t="str">
        <x:v>AWS Systems Manager Application Manager
AWS Migration Hub</x:v>
      </x:c>
      <x:c r="P225" s="32" t="str">
        <x:v>Azure Application Insights / Azure Resource Groups</x:v>
      </x:c>
      <x:c r="Q225" s="32" t="str">
        <x:v>App Hub</x:v>
      </x:c>
      <x:c r="R225" s="32" t="n">
        <x:f>'Provider Ratings'!AD225</x:f>
        <x:v>3.65</x:v>
      </x:c>
      <x:c r="S225" s="32" t="n">
        <x:f>'Provider Ratings'!AE225</x:f>
        <x:v>3.56</x:v>
      </x:c>
      <x:c r="T225" s="32" t="n">
        <x:f>'Provider Ratings'!AF225</x:f>
        <x:v>3.62</x:v>
      </x:c>
      <x:c r="U225" s="32" t="str">
        <x:f>'Provider Ratings'!AG225</x:f>
        <x:v>Context-dependent tie</x:v>
      </x:c>
      <x:c r="V225" s="32" t="str">
        <x:f>'Provider Ratings'!AH225</x:f>
        <x:v>Scores are close: use ecosystem, data gravity, region, skills, commercials and proof-of-value results to decide.</x:v>
      </x:c>
      <x:c r="W225" s="32" t="str">
        <x:v>Partial</x:v>
      </x:c>
      <x:c r="X225" s="32"/>
      <x:c r="Y225" s="32" t="str">
        <x:v>2026-07-12</x:v>
      </x:c>
    </x:row>
    <x:row r="226">
      <x:c r="A226" s="32" t="str">
        <x:v>09 Engineering, Operations &amp; Migration</x:v>
      </x:c>
      <x:c r="B226" s="32" t="str">
        <x:v>Observability &amp; Reliability</x:v>
      </x:c>
      <x:c r="C226" s="32" t="str">
        <x:v>Observability &amp; Application Performance</x:v>
      </x:c>
      <x:c r="D226" s="32" t="str">
        <x:v>Workload</x:v>
      </x:c>
      <x:c r="E226" s="32" t="str">
        <x:v>Unified monitoring</x:v>
      </x:c>
      <x:c r="F226" s="32" t="str">
        <x:v>Cloud monitoring</x:v>
      </x:c>
      <x:c r="G226" s="32" t="str">
        <x:v>Collect metrics, create dashboards and alert on infrastructure and application health.</x:v>
      </x:c>
      <x:c r="H226" s="32" t="str">
        <x:v>Choose this capability when you need to collect metrics, create dashboards and alert on infrastructure and application health.</x:v>
      </x:c>
      <x:c r="I226" s="32" t="str">
        <x:v>Which metrics, logs, traces, SLOs and diagnostic workflows are needed across the workload?</x:v>
      </x:c>
      <x:c r="J226" s="32" t="str">
        <x:v>Standardisation and automation versus flexibility and migration effort.</x:v>
      </x:c>
      <x:c r="K226" s="32" t="n">
        <x:v>3</x:v>
      </x:c>
      <x:c r="L226" s="32" t="str">
        <x:v>Moderate</x:v>
      </x:c>
      <x:c r="M226" s="32" t="str">
        <x:v>1–3 weeks</x:v>
      </x:c>
      <x:c r="N226" s="32" t="str">
        <x:v>Medium</x:v>
      </x:c>
      <x:c r="O226" s="32" t="str">
        <x:v>Amazon CloudWatch</x:v>
      </x:c>
      <x:c r="P226" s="32" t="str">
        <x:v>Azure Monitor</x:v>
      </x:c>
      <x:c r="Q226" s="32" t="str">
        <x:v>Cloud Monitoring
Google Cloud Observability</x:v>
      </x:c>
      <x:c r="R226" s="32" t="n">
        <x:f>'Provider Ratings'!AD226</x:f>
        <x:v>3.97</x:v>
      </x:c>
      <x:c r="S226" s="32" t="n">
        <x:f>'Provider Ratings'!AE226</x:f>
        <x:v>3.95</x:v>
      </x:c>
      <x:c r="T226" s="32" t="n">
        <x:f>'Provider Ratings'!AF226</x:f>
        <x:v>3.77</x:v>
      </x:c>
      <x:c r="U226" s="32" t="str">
        <x:f>'Provider Ratings'!AG226</x:f>
        <x:v>Context-dependent tie</x:v>
      </x:c>
      <x:c r="V226" s="32" t="str">
        <x:f>'Provider Ratings'!AH226</x:f>
        <x:v>Scores are close: use ecosystem, data gravity, region, skills, commercials and proof-of-value results to decide.</x:v>
      </x:c>
      <x:c r="W226" s="32" t="str">
        <x:v>Exact</x:v>
      </x:c>
      <x:c r="X226" s="32"/>
      <x:c r="Y226" s="32" t="str">
        <x:v>2026-07-12</x:v>
      </x:c>
    </x:row>
    <x:row r="227">
      <x:c r="A227" s="32" t="str">
        <x:v>09 Engineering, Operations &amp; Migration</x:v>
      </x:c>
      <x:c r="B227" s="32" t="str">
        <x:v>Observability &amp; Reliability</x:v>
      </x:c>
      <x:c r="C227" s="32" t="str">
        <x:v>Observability &amp; Application Performance</x:v>
      </x:c>
      <x:c r="D227" s="32" t="str">
        <x:v>Workload</x:v>
      </x:c>
      <x:c r="E227" s="32" t="str">
        <x:v>Logging</x:v>
      </x:c>
      <x:c r="F227" s="32" t="str">
        <x:v>Central log management</x:v>
      </x:c>
      <x:c r="G227" s="32" t="str">
        <x:v>Collect, search, retain and route cloud and application logs.</x:v>
      </x:c>
      <x:c r="H227" s="32" t="str">
        <x:v>Choose this capability when you need to collect, search, retain and route cloud and application logs.</x:v>
      </x:c>
      <x:c r="I227" s="32" t="str">
        <x:v>Which metrics, logs, traces, SLOs and diagnostic workflows are needed across the workload?</x:v>
      </x:c>
      <x:c r="J227" s="32" t="str">
        <x:v>Standardisation and automation versus flexibility and migration effort.</x:v>
      </x:c>
      <x:c r="K227" s="32" t="n">
        <x:v>3</x:v>
      </x:c>
      <x:c r="L227" s="32" t="str">
        <x:v>Moderate</x:v>
      </x:c>
      <x:c r="M227" s="32" t="str">
        <x:v>1–3 weeks</x:v>
      </x:c>
      <x:c r="N227" s="32" t="str">
        <x:v>Medium</x:v>
      </x:c>
      <x:c r="O227" s="32" t="str">
        <x:v>Amazon CloudWatch Logs</x:v>
      </x:c>
      <x:c r="P227" s="32" t="str">
        <x:v>Azure Monitor Logs
Log Analytics</x:v>
      </x:c>
      <x:c r="Q227" s="32" t="str">
        <x:v>Cloud Logging</x:v>
      </x:c>
      <x:c r="R227" s="32" t="n">
        <x:f>'Provider Ratings'!AD227</x:f>
        <x:v>3.97</x:v>
      </x:c>
      <x:c r="S227" s="32" t="n">
        <x:f>'Provider Ratings'!AE227</x:f>
        <x:v>3.85</x:v>
      </x:c>
      <x:c r="T227" s="32" t="n">
        <x:f>'Provider Ratings'!AF227</x:f>
        <x:v>3.87</x:v>
      </x:c>
      <x:c r="U227" s="32" t="str">
        <x:f>'Provider Ratings'!AG227</x:f>
        <x:v>Context-dependent tie</x:v>
      </x:c>
      <x:c r="V227" s="32" t="str">
        <x:f>'Provider Ratings'!AH227</x:f>
        <x:v>Scores are close: use ecosystem, data gravity, region, skills, commercials and proof-of-value results to decide.</x:v>
      </x:c>
      <x:c r="W227" s="32" t="str">
        <x:v>Exact</x:v>
      </x:c>
      <x:c r="X227" s="32"/>
      <x:c r="Y227" s="32" t="str">
        <x:v>2026-07-12</x:v>
      </x:c>
    </x:row>
    <x:row r="228">
      <x:c r="A228" s="32" t="str">
        <x:v>09 Engineering, Operations &amp; Migration</x:v>
      </x:c>
      <x:c r="B228" s="32" t="str">
        <x:v>Observability &amp; Reliability</x:v>
      </x:c>
      <x:c r="C228" s="32" t="str">
        <x:v>Reliability, SRE &amp; Service Health</x:v>
      </x:c>
      <x:c r="D228" s="32" t="str">
        <x:v>Workload</x:v>
      </x:c>
      <x:c r="E228" s="32" t="str">
        <x:v>Tracing</x:v>
      </x:c>
      <x:c r="F228" s="32" t="str">
        <x:v>Distributed tracing</x:v>
      </x:c>
      <x:c r="G228" s="32" t="str">
        <x:v>Trace requests across distributed services to diagnose latency and failures.</x:v>
      </x:c>
      <x:c r="H228" s="32" t="str">
        <x:v>Choose this capability when you need to trace requests across distributed services to diagnose latency and failures.</x:v>
      </x:c>
      <x:c r="I228" s="32" t="str">
        <x:v>What business outcome, scale, control, integration and operating model justify choosing distributed tracing?</x:v>
      </x:c>
      <x:c r="J228" s="32" t="str">
        <x:v>Standardisation and automation versus flexibility and migration effort.</x:v>
      </x:c>
      <x:c r="K228" s="32" t="n">
        <x:v>3</x:v>
      </x:c>
      <x:c r="L228" s="32" t="str">
        <x:v>Moderate</x:v>
      </x:c>
      <x:c r="M228" s="32" t="str">
        <x:v>1–3 weeks</x:v>
      </x:c>
      <x:c r="N228" s="32" t="str">
        <x:v>Medium</x:v>
      </x:c>
      <x:c r="O228" s="32" t="str">
        <x:v>AWS X-Ray
Amazon CloudWatch Application Signals</x:v>
      </x:c>
      <x:c r="P228" s="32" t="str">
        <x:v>Azure Application Insights</x:v>
      </x:c>
      <x:c r="Q228" s="32" t="str">
        <x:v>Cloud Trace</x:v>
      </x:c>
      <x:c r="R228" s="32" t="n">
        <x:f>'Provider Ratings'!AD228</x:f>
        <x:v>3.88</x:v>
      </x:c>
      <x:c r="S228" s="32" t="n">
        <x:f>'Provider Ratings'!AE228</x:f>
        <x:v>3.95</x:v>
      </x:c>
      <x:c r="T228" s="32" t="n">
        <x:f>'Provider Ratings'!AF228</x:f>
        <x:v>3.87</x:v>
      </x:c>
      <x:c r="U228" s="32" t="str">
        <x:f>'Provider Ratings'!AG228</x:f>
        <x:v>Context-dependent tie</x:v>
      </x:c>
      <x:c r="V228" s="32" t="str">
        <x:f>'Provider Ratings'!AH228</x:f>
        <x:v>Scores are close: use ecosystem, data gravity, region, skills, commercials and proof-of-value results to decide.</x:v>
      </x:c>
      <x:c r="W228" s="32" t="str">
        <x:v>Exact</x:v>
      </x:c>
      <x:c r="X228" s="32"/>
      <x:c r="Y228" s="32" t="str">
        <x:v>2026-07-12</x:v>
      </x:c>
    </x:row>
    <x:row r="229">
      <x:c r="A229" s="32" t="str">
        <x:v>09 Engineering, Operations &amp; Migration</x:v>
      </x:c>
      <x:c r="B229" s="32" t="str">
        <x:v>Observability &amp; Reliability</x:v>
      </x:c>
      <x:c r="C229" s="32" t="str">
        <x:v>Observability &amp; Application Performance</x:v>
      </x:c>
      <x:c r="D229" s="32" t="str">
        <x:v>Workload</x:v>
      </x:c>
      <x:c r="E229" s="32" t="str">
        <x:v>APM</x:v>
      </x:c>
      <x:c r="F229" s="32" t="str">
        <x:v>Application performance monitoring</x:v>
      </x:c>
      <x:c r="G229" s="32" t="str">
        <x:v>Measure application dependencies, requests, errors and user-facing performance.</x:v>
      </x:c>
      <x:c r="H229" s="32" t="str">
        <x:v>Choose this capability when you need to measure application dependencies, requests, errors and user-facing performance.</x:v>
      </x:c>
      <x:c r="I229" s="32" t="str">
        <x:v>Which metrics, logs, traces, SLOs and diagnostic workflows are needed across the workload?</x:v>
      </x:c>
      <x:c r="J229" s="32" t="str">
        <x:v>Standardisation and automation versus flexibility and migration effort.</x:v>
      </x:c>
      <x:c r="K229" s="32" t="n">
        <x:v>3</x:v>
      </x:c>
      <x:c r="L229" s="32" t="str">
        <x:v>Moderate</x:v>
      </x:c>
      <x:c r="M229" s="32" t="str">
        <x:v>1–3 weeks</x:v>
      </x:c>
      <x:c r="N229" s="32" t="str">
        <x:v>Medium</x:v>
      </x:c>
      <x:c r="O229" s="32" t="str">
        <x:v>Amazon CloudWatch Application Signals
AWS X-Ray</x:v>
      </x:c>
      <x:c r="P229" s="32" t="str">
        <x:v>Azure Application Insights</x:v>
      </x:c>
      <x:c r="Q229" s="32" t="str">
        <x:v>Google Cloud Observability</x:v>
      </x:c>
      <x:c r="R229" s="32" t="n">
        <x:f>'Provider Ratings'!AD229</x:f>
        <x:v>3.8</x:v>
      </x:c>
      <x:c r="S229" s="32" t="n">
        <x:f>'Provider Ratings'!AE229</x:f>
        <x:v>3.89</x:v>
      </x:c>
      <x:c r="T229" s="32" t="n">
        <x:f>'Provider Ratings'!AF229</x:f>
        <x:v>3.81</x:v>
      </x:c>
      <x:c r="U229" s="32" t="str">
        <x:f>'Provider Ratings'!AG229</x:f>
        <x:v>Context-dependent tie</x:v>
      </x:c>
      <x:c r="V229" s="32" t="str">
        <x:f>'Provider Ratings'!AH229</x:f>
        <x:v>Scores are close: use ecosystem, data gravity, region, skills, commercials and proof-of-value results to decide.</x:v>
      </x:c>
      <x:c r="W229" s="32" t="str">
        <x:v>Close</x:v>
      </x:c>
      <x:c r="X229" s="32"/>
      <x:c r="Y229" s="32" t="str">
        <x:v>2026-07-12</x:v>
      </x:c>
    </x:row>
    <x:row r="230">
      <x:c r="A230" s="32" t="str">
        <x:v>09 Engineering, Operations &amp; Migration</x:v>
      </x:c>
      <x:c r="B230" s="32" t="str">
        <x:v>Observability &amp; Reliability</x:v>
      </x:c>
      <x:c r="C230" s="32" t="str">
        <x:v>Observability &amp; Application Performance</x:v>
      </x:c>
      <x:c r="D230" s="32" t="str">
        <x:v>Workload</x:v>
      </x:c>
      <x:c r="E230" s="32" t="str">
        <x:v>Prometheus</x:v>
      </x:c>
      <x:c r="F230" s="32" t="str">
        <x:v>Managed Prometheus</x:v>
      </x:c>
      <x:c r="G230" s="32" t="str">
        <x:v>Collect and query Prometheus-compatible metrics without operating the backend.</x:v>
      </x:c>
      <x:c r="H230" s="32" t="str">
        <x:v>Choose this capability when you need to collect and query prometheus-compatible metrics without operating the backend.</x:v>
      </x:c>
      <x:c r="I230" s="32" t="str">
        <x:v>Which metrics, logs, traces, SLOs and diagnostic workflows are needed across the workload?</x:v>
      </x:c>
      <x:c r="J230" s="32" t="str">
        <x:v>Standardisation and automation versus flexibility and migration effort.</x:v>
      </x:c>
      <x:c r="K230" s="32" t="n">
        <x:v>3</x:v>
      </x:c>
      <x:c r="L230" s="32" t="str">
        <x:v>Moderate</x:v>
      </x:c>
      <x:c r="M230" s="32" t="str">
        <x:v>1–3 weeks</x:v>
      </x:c>
      <x:c r="N230" s="32" t="str">
        <x:v>Low</x:v>
      </x:c>
      <x:c r="O230" s="32" t="str">
        <x:v>Amazon Managed Service for Prometheus</x:v>
      </x:c>
      <x:c r="P230" s="32" t="str">
        <x:v>Azure Monitor managed service for Prometheus</x:v>
      </x:c>
      <x:c r="Q230" s="32" t="str">
        <x:v>Managed Service for Prometheus</x:v>
      </x:c>
      <x:c r="R230" s="32" t="n">
        <x:f>'Provider Ratings'!AD230</x:f>
        <x:v>4.04</x:v>
      </x:c>
      <x:c r="S230" s="32" t="n">
        <x:f>'Provider Ratings'!AE230</x:f>
        <x:v>4.02</x:v>
      </x:c>
      <x:c r="T230" s="32" t="n">
        <x:f>'Provider Ratings'!AF230</x:f>
        <x:v>3.94</x:v>
      </x:c>
      <x:c r="U230" s="32" t="str">
        <x:f>'Provider Ratings'!AG230</x:f>
        <x:v>Context-dependent tie</x:v>
      </x:c>
      <x:c r="V230" s="32" t="str">
        <x:f>'Provider Ratings'!AH230</x:f>
        <x:v>Scores are close: use ecosystem, data gravity, region, skills, commercials and proof-of-value results to decide.</x:v>
      </x:c>
      <x:c r="W230" s="32" t="str">
        <x:v>Exact</x:v>
      </x:c>
      <x:c r="X230" s="32"/>
      <x:c r="Y230" s="32" t="str">
        <x:v>2026-07-12</x:v>
      </x:c>
    </x:row>
    <x:row r="231">
      <x:c r="A231" s="32" t="str">
        <x:v>09 Engineering, Operations &amp; Migration</x:v>
      </x:c>
      <x:c r="B231" s="32" t="str">
        <x:v>Observability &amp; Reliability</x:v>
      </x:c>
      <x:c r="C231" s="32" t="str">
        <x:v>Observability &amp; Application Performance</x:v>
      </x:c>
      <x:c r="D231" s="32" t="str">
        <x:v>Workload</x:v>
      </x:c>
      <x:c r="E231" s="32" t="str">
        <x:v>Grafana</x:v>
      </x:c>
      <x:c r="F231" s="32" t="str">
        <x:v>Managed Grafana</x:v>
      </x:c>
      <x:c r="G231" s="32" t="str">
        <x:v>Operate hosted Grafana workspaces for visualising metrics, logs and traces.</x:v>
      </x:c>
      <x:c r="H231" s="32" t="str">
        <x:v>Choose this capability when you need to operate hosted grafana workspaces for visualising metrics, logs and traces.</x:v>
      </x:c>
      <x:c r="I231" s="32" t="str">
        <x:v>Which metrics, logs, traces, SLOs and diagnostic workflows are needed across the workload?</x:v>
      </x:c>
      <x:c r="J231" s="32" t="str">
        <x:v>Standardisation and automation versus flexibility and migration effort.</x:v>
      </x:c>
      <x:c r="K231" s="32" t="n">
        <x:v>3</x:v>
      </x:c>
      <x:c r="L231" s="32" t="str">
        <x:v>Moderate</x:v>
      </x:c>
      <x:c r="M231" s="32" t="str">
        <x:v>1–3 weeks</x:v>
      </x:c>
      <x:c r="N231" s="32" t="str">
        <x:v>Low</x:v>
      </x:c>
      <x:c r="O231" s="32" t="str">
        <x:v>Amazon Managed Grafana</x:v>
      </x:c>
      <x:c r="P231" s="32" t="str">
        <x:v>Azure Managed Grafana</x:v>
      </x:c>
      <x:c r="Q231" s="32" t="str">
        <x:v>Managed Service for Grafana / partner Grafana Cloud</x:v>
      </x:c>
      <x:c r="R231" s="32" t="n">
        <x:f>'Provider Ratings'!AD231</x:f>
        <x:v>3.81</x:v>
      </x:c>
      <x:c r="S231" s="32" t="n">
        <x:f>'Provider Ratings'!AE231</x:f>
        <x:v>3.76</x:v>
      </x:c>
      <x:c r="T231" s="32" t="n">
        <x:f>'Provider Ratings'!AF231</x:f>
        <x:v>3.22</x:v>
      </x:c>
      <x:c r="U231" s="32" t="str">
        <x:f>'Provider Ratings'!AG231</x:f>
        <x:v>Context-dependent tie</x:v>
      </x:c>
      <x:c r="V231" s="32" t="str">
        <x:f>'Provider Ratings'!AH231</x:f>
        <x:v>Scores are close: use ecosystem, data gravity, region, skills, commercials and proof-of-value results to decide.</x:v>
      </x:c>
      <x:c r="W231" s="32" t="str">
        <x:v>Partial</x:v>
      </x:c>
      <x:c r="X231" s="32"/>
      <x:c r="Y231" s="32" t="str">
        <x:v>2026-07-12</x:v>
      </x:c>
    </x:row>
    <x:row r="232">
      <x:c r="A232" s="32" t="str">
        <x:v>09 Engineering, Operations &amp; Migration</x:v>
      </x:c>
      <x:c r="B232" s="32" t="str">
        <x:v>Observability &amp; Reliability</x:v>
      </x:c>
      <x:c r="C232" s="32" t="str">
        <x:v>Observability &amp; Application Performance</x:v>
      </x:c>
      <x:c r="D232" s="32" t="str">
        <x:v>Workload</x:v>
      </x:c>
      <x:c r="E232" s="32" t="str">
        <x:v>Error tracking</x:v>
      </x:c>
      <x:c r="F232" s="32" t="str">
        <x:v>Application error reporting</x:v>
      </x:c>
      <x:c r="G232" s="32" t="str">
        <x:v>Aggregate and analyse application exceptions and crashes.</x:v>
      </x:c>
      <x:c r="H232" s="32" t="str">
        <x:v>Choose this capability when you need to aggregate and analyse application exceptions and crashes.</x:v>
      </x:c>
      <x:c r="I232" s="32" t="str">
        <x:v>Which metrics, logs, traces, SLOs and diagnostic workflows are needed across the workload?</x:v>
      </x:c>
      <x:c r="J232" s="32" t="str">
        <x:v>Standardisation and automation versus flexibility and migration effort.</x:v>
      </x:c>
      <x:c r="K232" s="32" t="n">
        <x:v>3</x:v>
      </x:c>
      <x:c r="L232" s="32" t="str">
        <x:v>Moderate</x:v>
      </x:c>
      <x:c r="M232" s="32" t="str">
        <x:v>1–3 weeks</x:v>
      </x:c>
      <x:c r="N232" s="32" t="str">
        <x:v>Medium</x:v>
      </x:c>
      <x:c r="O232" s="32" t="str">
        <x:v>Amazon CloudWatch Logs Insights
AWS X-Ray</x:v>
      </x:c>
      <x:c r="P232" s="32" t="str">
        <x:v>Azure Application Insights</x:v>
      </x:c>
      <x:c r="Q232" s="32" t="str">
        <x:v>Error Reporting</x:v>
      </x:c>
      <x:c r="R232" s="32" t="n">
        <x:f>'Provider Ratings'!AD232</x:f>
        <x:v>3.8</x:v>
      </x:c>
      <x:c r="S232" s="32" t="n">
        <x:f>'Provider Ratings'!AE232</x:f>
        <x:v>3.89</x:v>
      </x:c>
      <x:c r="T232" s="32" t="n">
        <x:f>'Provider Ratings'!AF232</x:f>
        <x:v>3.81</x:v>
      </x:c>
      <x:c r="U232" s="32" t="str">
        <x:f>'Provider Ratings'!AG232</x:f>
        <x:v>Context-dependent tie</x:v>
      </x:c>
      <x:c r="V232" s="32" t="str">
        <x:f>'Provider Ratings'!AH232</x:f>
        <x:v>Scores are close: use ecosystem, data gravity, region, skills, commercials and proof-of-value results to decide.</x:v>
      </x:c>
      <x:c r="W232" s="32" t="str">
        <x:v>Close</x:v>
      </x:c>
      <x:c r="X232" s="32"/>
      <x:c r="Y232" s="32" t="str">
        <x:v>2026-07-12</x:v>
      </x:c>
    </x:row>
    <x:row r="233">
      <x:c r="A233" s="32" t="str">
        <x:v>09 Engineering, Operations &amp; Migration</x:v>
      </x:c>
      <x:c r="B233" s="32" t="str">
        <x:v>Observability &amp; Reliability</x:v>
      </x:c>
      <x:c r="C233" s="32" t="str">
        <x:v>Observability &amp; Application Performance</x:v>
      </x:c>
      <x:c r="D233" s="32" t="str">
        <x:v>Workload</x:v>
      </x:c>
      <x:c r="E233" s="32" t="str">
        <x:v>Profiling</x:v>
      </x:c>
      <x:c r="F233" s="32" t="str">
        <x:v>Production code profiling</x:v>
      </x:c>
      <x:c r="G233" s="32" t="str">
        <x:v>Identify CPU and memory hot spots in running applications.</x:v>
      </x:c>
      <x:c r="H233" s="32" t="str">
        <x:v>Choose this capability when you need to identify cpu and memory hot spots in running applications.</x:v>
      </x:c>
      <x:c r="I233" s="32" t="str">
        <x:v>Which metrics, logs, traces, SLOs and diagnostic workflows are needed across the workload?</x:v>
      </x:c>
      <x:c r="J233" s="32" t="str">
        <x:v>Standardisation and automation versus flexibility and migration effort.</x:v>
      </x:c>
      <x:c r="K233" s="32" t="n">
        <x:v>3</x:v>
      </x:c>
      <x:c r="L233" s="32" t="str">
        <x:v>Moderate</x:v>
      </x:c>
      <x:c r="M233" s="32" t="str">
        <x:v>1–3 weeks</x:v>
      </x:c>
      <x:c r="N233" s="32" t="str">
        <x:v>Medium</x:v>
      </x:c>
      <x:c r="O233" s="32" t="str">
        <x:v>Amazon CodeGuru Profiler</x:v>
      </x:c>
      <x:c r="P233" s="32" t="str">
        <x:v>Azure Application Insights Profiler</x:v>
      </x:c>
      <x:c r="Q233" s="32" t="str">
        <x:v>Cloud Profiler</x:v>
      </x:c>
      <x:c r="R233" s="32" t="n">
        <x:f>'Provider Ratings'!AD233</x:f>
        <x:v>3.97</x:v>
      </x:c>
      <x:c r="S233" s="32" t="n">
        <x:f>'Provider Ratings'!AE233</x:f>
        <x:v>3.95</x:v>
      </x:c>
      <x:c r="T233" s="32" t="n">
        <x:f>'Provider Ratings'!AF233</x:f>
        <x:v>3.87</x:v>
      </x:c>
      <x:c r="U233" s="32" t="str">
        <x:f>'Provider Ratings'!AG233</x:f>
        <x:v>Context-dependent tie</x:v>
      </x:c>
      <x:c r="V233" s="32" t="str">
        <x:f>'Provider Ratings'!AH233</x:f>
        <x:v>Scores are close: use ecosystem, data gravity, region, skills, commercials and proof-of-value results to decide.</x:v>
      </x:c>
      <x:c r="W233" s="32" t="str">
        <x:v>Exact</x:v>
      </x:c>
      <x:c r="X233" s="32"/>
      <x:c r="Y233" s="32" t="str">
        <x:v>2026-07-12</x:v>
      </x:c>
    </x:row>
    <x:row r="234">
      <x:c r="A234" s="32" t="str">
        <x:v>09 Engineering, Operations &amp; Migration</x:v>
      </x:c>
      <x:c r="B234" s="32" t="str">
        <x:v>Observability &amp; Reliability</x:v>
      </x:c>
      <x:c r="C234" s="32" t="str">
        <x:v>Reliability, SRE &amp; Service Health</x:v>
      </x:c>
      <x:c r="D234" s="32" t="str">
        <x:v>Workload</x:v>
      </x:c>
      <x:c r="E234" s="32" t="str">
        <x:v>SRE automation</x:v>
      </x:c>
      <x:c r="F234" s="32" t="str">
        <x:v>AI-assisted reliability engineering</x:v>
      </x:c>
      <x:c r="G234" s="32" t="str">
        <x:v>Investigate incidents, propose remediation and automate reliability workflows.</x:v>
      </x:c>
      <x:c r="H234" s="32" t="str">
        <x:v>Choose this capability when you need to investigate incidents, propose remediation and automate reliability workflows.</x:v>
      </x:c>
      <x:c r="I234" s="32" t="str">
        <x:v>What business outcome, scale, control, integration and operating model justify choosing ai-assisted reliability engineering?</x:v>
      </x:c>
      <x:c r="J234" s="32" t="str">
        <x:v>Standardisation and automation versus flexibility and migration effort.</x:v>
      </x:c>
      <x:c r="K234" s="32" t="n">
        <x:v>3</x:v>
      </x:c>
      <x:c r="L234" s="32" t="str">
        <x:v>Moderate</x:v>
      </x:c>
      <x:c r="M234" s="32" t="str">
        <x:v>1–3 weeks</x:v>
      </x:c>
      <x:c r="N234" s="32" t="str">
        <x:v>Medium</x:v>
      </x:c>
      <x:c r="O234" s="32" t="str">
        <x:v>Amazon DevOps Guru
Amazon Q Developer</x:v>
      </x:c>
      <x:c r="P234" s="32" t="str">
        <x:v>Azure SRE Agent</x:v>
      </x:c>
      <x:c r="Q234" s="32" t="str">
        <x:v>Gemini Cloud Assist
Google Cloud Observability</x:v>
      </x:c>
      <x:c r="R234" s="32" t="n">
        <x:f>'Provider Ratings'!AD234</x:f>
        <x:v>3.8</x:v>
      </x:c>
      <x:c r="S234" s="32" t="n">
        <x:f>'Provider Ratings'!AE234</x:f>
        <x:v>3.89</x:v>
      </x:c>
      <x:c r="T234" s="32" t="n">
        <x:f>'Provider Ratings'!AF234</x:f>
        <x:v>3.74</x:v>
      </x:c>
      <x:c r="U234" s="32" t="str">
        <x:f>'Provider Ratings'!AG234</x:f>
        <x:v>Context-dependent tie</x:v>
      </x:c>
      <x:c r="V234" s="32" t="str">
        <x:f>'Provider Ratings'!AH234</x:f>
        <x:v>Scores are close: use ecosystem, data gravity, region, skills, commercials and proof-of-value results to decide.</x:v>
      </x:c>
      <x:c r="W234" s="32" t="str">
        <x:v>Close</x:v>
      </x:c>
      <x:c r="X234" s="32"/>
      <x:c r="Y234" s="32" t="str">
        <x:v>2026-07-12</x:v>
      </x:c>
    </x:row>
    <x:row r="235">
      <x:c r="A235" s="32" t="str">
        <x:v>09 Engineering, Operations &amp; Migration</x:v>
      </x:c>
      <x:c r="B235" s="32" t="str">
        <x:v>Observability &amp; Reliability</x:v>
      </x:c>
      <x:c r="C235" s="32" t="str">
        <x:v>Reliability, SRE &amp; Service Health</x:v>
      </x:c>
      <x:c r="D235" s="32" t="str">
        <x:v>Workload</x:v>
      </x:c>
      <x:c r="E235" s="32" t="str">
        <x:v>Status and maintenance</x:v>
      </x:c>
      <x:c r="F235" s="32" t="str">
        <x:v>Maintenance coordination</x:v>
      </x:c>
      <x:c r="G235" s="32" t="str">
        <x:v>Coordinate provider maintenance and workload updates to reduce disruption.</x:v>
      </x:c>
      <x:c r="H235" s="32" t="str">
        <x:v>Choose this capability when you need to coordinate provider maintenance and workload updates to reduce disruption.</x:v>
      </x:c>
      <x:c r="I235" s="32" t="str">
        <x:v>What business outcome, scale, control, integration and operating model justify choosing maintenance coordination?</x:v>
      </x:c>
      <x:c r="J235" s="32" t="str">
        <x:v>Standardisation and automation versus flexibility and migration effort.</x:v>
      </x:c>
      <x:c r="K235" s="32" t="n">
        <x:v>3</x:v>
      </x:c>
      <x:c r="L235" s="32" t="str">
        <x:v>Moderate</x:v>
      </x:c>
      <x:c r="M235" s="32" t="str">
        <x:v>1–3 weeks</x:v>
      </x:c>
      <x:c r="N235" s="32" t="str">
        <x:v>Medium</x:v>
      </x:c>
      <x:c r="O235" s="32" t="str">
        <x:v>AWS Health
AWS Systems Manager Maintenance Windows</x:v>
      </x:c>
      <x:c r="P235" s="32" t="str">
        <x:v>Azure Service Health
Azure Update Manager</x:v>
      </x:c>
      <x:c r="Q235" s="32" t="str">
        <x:v>Unified Maintenance
Personalized Service Health</x:v>
      </x:c>
      <x:c r="R235" s="32" t="n">
        <x:f>'Provider Ratings'!AD235</x:f>
        <x:v>3.8</x:v>
      </x:c>
      <x:c r="S235" s="32" t="n">
        <x:f>'Provider Ratings'!AE235</x:f>
        <x:v>3.8</x:v>
      </x:c>
      <x:c r="T235" s="32" t="n">
        <x:f>'Provider Ratings'!AF235</x:f>
        <x:v>3.74</x:v>
      </x:c>
      <x:c r="U235" s="32" t="str">
        <x:f>'Provider Ratings'!AG235</x:f>
        <x:v>Context-dependent tie</x:v>
      </x:c>
      <x:c r="V235" s="32" t="str">
        <x:f>'Provider Ratings'!AH235</x:f>
        <x:v>Scores are close: use ecosystem, data gravity, region, skills, commercials and proof-of-value results to decide.</x:v>
      </x:c>
      <x:c r="W235" s="32" t="str">
        <x:v>Close</x:v>
      </x:c>
      <x:c r="X235" s="32"/>
      <x:c r="Y235" s="32" t="str">
        <x:v>2026-07-12</x:v>
      </x:c>
    </x:row>
    <x:row r="236">
      <x:c r="A236" s="32" t="str">
        <x:v>09 Engineering, Operations &amp; Migration</x:v>
      </x:c>
      <x:c r="B236" s="32" t="str">
        <x:v>Migration &amp; Modernisation</x:v>
      </x:c>
      <x:c r="C236" s="32" t="str">
        <x:v>Migration, Modernisation &amp; Transformation</x:v>
      </x:c>
      <x:c r="D236" s="32" t="str">
        <x:v>Workload</x:v>
      </x:c>
      <x:c r="E236" s="32" t="str">
        <x:v>Discovery</x:v>
      </x:c>
      <x:c r="F236" s="32" t="str">
        <x:v>Migration discovery and assessment</x:v>
      </x:c>
      <x:c r="G236" s="32" t="str">
        <x:v>Discover servers, dependencies and utilisation to build migration plans and business cases.</x:v>
      </x:c>
      <x:c r="H236" s="32" t="str">
        <x:v>Choose this capability when you need to discover servers, dependencies and utilisation to build migration plans and business cases.</x:v>
      </x:c>
      <x:c r="I236" s="32" t="str">
        <x:v>What business outcome, scale, control, integration and operating model justify choosing migration discovery and assessment?</x:v>
      </x:c>
      <x:c r="J236" s="32" t="str">
        <x:v>Standardisation and automation versus flexibility and migration effort.</x:v>
      </x:c>
      <x:c r="K236" s="32" t="n">
        <x:v>3</x:v>
      </x:c>
      <x:c r="L236" s="32" t="str">
        <x:v>Moderate</x:v>
      </x:c>
      <x:c r="M236" s="32" t="str">
        <x:v>1–3 weeks</x:v>
      </x:c>
      <x:c r="N236" s="32" t="str">
        <x:v>Medium</x:v>
      </x:c>
      <x:c r="O236" s="32" t="str">
        <x:v>AWS Application Discovery Service
AWS Migration Hub</x:v>
      </x:c>
      <x:c r="P236" s="32" t="str">
        <x:v>Azure Migrate</x:v>
      </x:c>
      <x:c r="Q236" s="32" t="str">
        <x:v>Migration Center</x:v>
      </x:c>
      <x:c r="R236" s="32" t="n">
        <x:f>'Provider Ratings'!AD236</x:f>
        <x:v>3.84</x:v>
      </x:c>
      <x:c r="S236" s="32" t="n">
        <x:f>'Provider Ratings'!AE236</x:f>
        <x:v>3.84</x:v>
      </x:c>
      <x:c r="T236" s="32" t="n">
        <x:f>'Provider Ratings'!AF236</x:f>
        <x:v>3.81</x:v>
      </x:c>
      <x:c r="U236" s="32" t="str">
        <x:f>'Provider Ratings'!AG236</x:f>
        <x:v>Context-dependent tie</x:v>
      </x:c>
      <x:c r="V236" s="32" t="str">
        <x:f>'Provider Ratings'!AH236</x:f>
        <x:v>Scores are close: use ecosystem, data gravity, region, skills, commercials and proof-of-value results to decide.</x:v>
      </x:c>
      <x:c r="W236" s="32" t="str">
        <x:v>Close</x:v>
      </x:c>
      <x:c r="X236" s="32"/>
      <x:c r="Y236" s="32" t="str">
        <x:v>2026-07-12</x:v>
      </x:c>
    </x:row>
    <x:row r="237">
      <x:c r="A237" s="32" t="str">
        <x:v>09 Engineering, Operations &amp; Migration</x:v>
      </x:c>
      <x:c r="B237" s="32" t="str">
        <x:v>Migration &amp; Modernisation</x:v>
      </x:c>
      <x:c r="C237" s="32" t="str">
        <x:v>Migration, Modernisation &amp; Transformation</x:v>
      </x:c>
      <x:c r="D237" s="32" t="str">
        <x:v>Workload</x:v>
      </x:c>
      <x:c r="E237" s="32" t="str">
        <x:v>Migration portfolio</x:v>
      </x:c>
      <x:c r="F237" s="32" t="str">
        <x:v>Migration programme hub</x:v>
      </x:c>
      <x:c r="G237" s="32" t="str">
        <x:v>Track migration waves, applications, servers and progress from a central workspace.</x:v>
      </x:c>
      <x:c r="H237" s="32" t="str">
        <x:v>Choose this capability when you need to track migration waves, applications, servers and progress from a central workspace.</x:v>
      </x:c>
      <x:c r="I237" s="32" t="str">
        <x:v>What business outcome, scale, control, integration and operating model justify choosing migration programme hub?</x:v>
      </x:c>
      <x:c r="J237" s="32" t="str">
        <x:v>Standardisation and automation versus flexibility and migration effort.</x:v>
      </x:c>
      <x:c r="K237" s="32" t="n">
        <x:v>3</x:v>
      </x:c>
      <x:c r="L237" s="32" t="str">
        <x:v>Moderate</x:v>
      </x:c>
      <x:c r="M237" s="32" t="str">
        <x:v>1–3 weeks</x:v>
      </x:c>
      <x:c r="N237" s="32" t="str">
        <x:v>Medium</x:v>
      </x:c>
      <x:c r="O237" s="32" t="str">
        <x:v>AWS Migration Hub</x:v>
      </x:c>
      <x:c r="P237" s="32" t="str">
        <x:v>Azure Migrate</x:v>
      </x:c>
      <x:c r="Q237" s="32" t="str">
        <x:v>Migration Center</x:v>
      </x:c>
      <x:c r="R237" s="32" t="n">
        <x:f>'Provider Ratings'!AD237</x:f>
        <x:v>3.94</x:v>
      </x:c>
      <x:c r="S237" s="32" t="n">
        <x:f>'Provider Ratings'!AE237</x:f>
        <x:v>3.84</x:v>
      </x:c>
      <x:c r="T237" s="32" t="n">
        <x:f>'Provider Ratings'!AF237</x:f>
        <x:v>3.81</x:v>
      </x:c>
      <x:c r="U237" s="32" t="str">
        <x:f>'Provider Ratings'!AG237</x:f>
        <x:v>Context-dependent tie</x:v>
      </x:c>
      <x:c r="V237" s="32" t="str">
        <x:f>'Provider Ratings'!AH237</x:f>
        <x:v>Scores are close: use ecosystem, data gravity, region, skills, commercials and proof-of-value results to decide.</x:v>
      </x:c>
      <x:c r="W237" s="32" t="str">
        <x:v>Close</x:v>
      </x:c>
      <x:c r="X237" s="32"/>
      <x:c r="Y237" s="32" t="str">
        <x:v>2026-07-12</x:v>
      </x:c>
    </x:row>
    <x:row r="238">
      <x:c r="A238" s="32" t="str">
        <x:v>09 Engineering, Operations &amp; Migration</x:v>
      </x:c>
      <x:c r="B238" s="32" t="str">
        <x:v>Migration &amp; Modernisation</x:v>
      </x:c>
      <x:c r="C238" s="32" t="str">
        <x:v>Migration, Modernisation &amp; Transformation</x:v>
      </x:c>
      <x:c r="D238" s="32" t="str">
        <x:v>Workload</x:v>
      </x:c>
      <x:c r="E238" s="32" t="str">
        <x:v>VM migration</x:v>
      </x:c>
      <x:c r="F238" s="32" t="str">
        <x:v>Virtual-machine migration</x:v>
      </x:c>
      <x:c r="G238" s="32" t="str">
        <x:v>Replicate and migrate physical or virtual servers into cloud virtual machines.</x:v>
      </x:c>
      <x:c r="H238" s="32" t="str">
        <x:v>Choose this capability when you need to replicate and migrate physical or virtual servers into cloud virtual machines.</x:v>
      </x:c>
      <x:c r="I238" s="32" t="str">
        <x:v>What business outcome, scale, control, integration and operating model justify choosing virtual-machine migration?</x:v>
      </x:c>
      <x:c r="J238" s="32" t="str">
        <x:v>Standardisation and automation versus flexibility and migration effort.</x:v>
      </x:c>
      <x:c r="K238" s="32" t="n">
        <x:v>3</x:v>
      </x:c>
      <x:c r="L238" s="32" t="str">
        <x:v>Moderate</x:v>
      </x:c>
      <x:c r="M238" s="32" t="str">
        <x:v>1–3 weeks</x:v>
      </x:c>
      <x:c r="N238" s="32" t="str">
        <x:v>Medium</x:v>
      </x:c>
      <x:c r="O238" s="32" t="str">
        <x:v>AWS Application Migration Service / AWS Transform MGN</x:v>
      </x:c>
      <x:c r="P238" s="32" t="str">
        <x:v>Azure Migrate: Server Migration</x:v>
      </x:c>
      <x:c r="Q238" s="32" t="str">
        <x:v>Migrate to Virtual Machines</x:v>
      </x:c>
      <x:c r="R238" s="32" t="n">
        <x:f>'Provider Ratings'!AD238</x:f>
        <x:v>3.92</x:v>
      </x:c>
      <x:c r="S238" s="32" t="n">
        <x:f>'Provider Ratings'!AE238</x:f>
        <x:v>3.9</x:v>
      </x:c>
      <x:c r="T238" s="32" t="n">
        <x:f>'Provider Ratings'!AF238</x:f>
        <x:v>3.87</x:v>
      </x:c>
      <x:c r="U238" s="32" t="str">
        <x:f>'Provider Ratings'!AG238</x:f>
        <x:v>Context-dependent tie</x:v>
      </x:c>
      <x:c r="V238" s="32" t="str">
        <x:f>'Provider Ratings'!AH238</x:f>
        <x:v>Scores are close: use ecosystem, data gravity, region, skills, commercials and proof-of-value results to decide.</x:v>
      </x:c>
      <x:c r="W238" s="32" t="str">
        <x:v>Exact</x:v>
      </x:c>
      <x:c r="X238" s="32"/>
      <x:c r="Y238" s="32" t="str">
        <x:v>2026-07-12</x:v>
      </x:c>
    </x:row>
    <x:row r="239">
      <x:c r="A239" s="32" t="str">
        <x:v>09 Engineering, Operations &amp; Migration</x:v>
      </x:c>
      <x:c r="B239" s="32" t="str">
        <x:v>Migration &amp; Modernisation</x:v>
      </x:c>
      <x:c r="C239" s="32" t="str">
        <x:v>Migration, Modernisation &amp; Transformation</x:v>
      </x:c>
      <x:c r="D239" s="32" t="str">
        <x:v>Workload</x:v>
      </x:c>
      <x:c r="E239" s="32" t="str">
        <x:v>Application modernisation</x:v>
      </x:c>
      <x:c r="F239" s="32" t="str">
        <x:v>Application modernisation</x:v>
      </x:c>
      <x:c r="G239" s="32" t="str">
        <x:v>Assess and transform legacy applications into cloud-native architectures.</x:v>
      </x:c>
      <x:c r="H239" s="32" t="str">
        <x:v>Choose this capability when you need to assess and transform legacy applications into cloud-native architectures.</x:v>
      </x:c>
      <x:c r="I239" s="32" t="str">
        <x:v>What business outcome, scale, control, integration and operating model justify choosing application modernisation?</x:v>
      </x:c>
      <x:c r="J239" s="32" t="str">
        <x:v>Standardisation and automation versus flexibility and migration effort.</x:v>
      </x:c>
      <x:c r="K239" s="32" t="n">
        <x:v>3</x:v>
      </x:c>
      <x:c r="L239" s="32" t="str">
        <x:v>Moderate</x:v>
      </x:c>
      <x:c r="M239" s="32" t="str">
        <x:v>1–3 weeks</x:v>
      </x:c>
      <x:c r="N239" s="32" t="str">
        <x:v>Medium</x:v>
      </x:c>
      <x:c r="O239" s="32" t="str">
        <x:v>AWS Transform
AWS App2Container</x:v>
      </x:c>
      <x:c r="P239" s="32" t="str">
        <x:v>Azure Migrate
Azure App Service migration tools</x:v>
      </x:c>
      <x:c r="Q239" s="32" t="str">
        <x:v>Migrate to Containers</x:v>
      </x:c>
      <x:c r="R239" s="32" t="n">
        <x:f>'Provider Ratings'!AD239</x:f>
        <x:v>3.84</x:v>
      </x:c>
      <x:c r="S239" s="32" t="n">
        <x:f>'Provider Ratings'!AE239</x:f>
        <x:v>3.75</x:v>
      </x:c>
      <x:c r="T239" s="32" t="n">
        <x:f>'Provider Ratings'!AF239</x:f>
        <x:v>3.81</x:v>
      </x:c>
      <x:c r="U239" s="32" t="str">
        <x:f>'Provider Ratings'!AG239</x:f>
        <x:v>Context-dependent tie</x:v>
      </x:c>
      <x:c r="V239" s="32" t="str">
        <x:f>'Provider Ratings'!AH239</x:f>
        <x:v>Scores are close: use ecosystem, data gravity, region, skills, commercials and proof-of-value results to decide.</x:v>
      </x:c>
      <x:c r="W239" s="32" t="str">
        <x:v>Close</x:v>
      </x:c>
      <x:c r="X239" s="32"/>
      <x:c r="Y239" s="32" t="str">
        <x:v>2026-07-12</x:v>
      </x:c>
    </x:row>
    <x:row r="240">
      <x:c r="A240" s="32" t="str">
        <x:v>09 Engineering, Operations &amp; Migration</x:v>
      </x:c>
      <x:c r="B240" s="32" t="str">
        <x:v>Migration &amp; Modernisation</x:v>
      </x:c>
      <x:c r="C240" s="32" t="str">
        <x:v>Migration, Modernisation &amp; Transformation</x:v>
      </x:c>
      <x:c r="D240" s="32" t="str">
        <x:v>Workload</x:v>
      </x:c>
      <x:c r="E240" s="32" t="str">
        <x:v>Mainframe</x:v>
      </x:c>
      <x:c r="F240" s="32" t="str">
        <x:v>Mainframe modernisation</x:v>
      </x:c>
      <x:c r="G240" s="32" t="str">
        <x:v>Assess, replatform, refactor or incrementally modernise mainframe workloads.</x:v>
      </x:c>
      <x:c r="H240" s="32" t="str">
        <x:v>Choose this capability when you need to assess, replatform, refactor or incrementally modernise mainframe workloads.</x:v>
      </x:c>
      <x:c r="I240" s="32" t="str">
        <x:v>What business outcome, scale, control, integration and operating model justify choosing mainframe modernisation?</x:v>
      </x:c>
      <x:c r="J240" s="32" t="str">
        <x:v>Standardisation and automation versus flexibility and migration effort.</x:v>
      </x:c>
      <x:c r="K240" s="32" t="n">
        <x:v>2</x:v>
      </x:c>
      <x:c r="L240" s="32" t="str">
        <x:v>Advanced</x:v>
      </x:c>
      <x:c r="M240" s="32" t="str">
        <x:v>3–8 weeks</x:v>
      </x:c>
      <x:c r="N240" s="32" t="str">
        <x:v>Medium</x:v>
      </x:c>
      <x:c r="O240" s="32" t="str">
        <x:v>AWS Mainframe Modernization Service
AWS Transform</x:v>
      </x:c>
      <x:c r="P240" s="32" t="str">
        <x:v>Azure Logic Apps mainframe connectors
partner mainframe services</x:v>
      </x:c>
      <x:c r="Q240" s="32" t="str">
        <x:v>Mainframe Assessment Tool
Mainframe Connector
Dual Run</x:v>
      </x:c>
      <x:c r="R240" s="32" t="n">
        <x:f>'Provider Ratings'!AD240</x:f>
        <x:v>3.48</x:v>
      </x:c>
      <x:c r="S240" s="32" t="n">
        <x:f>'Provider Ratings'!AE240</x:f>
        <x:v>2.98</x:v>
      </x:c>
      <x:c r="T240" s="32" t="n">
        <x:f>'Provider Ratings'!AF240</x:f>
        <x:v>3.35</x:v>
      </x:c>
      <x:c r="U240" s="32" t="str">
        <x:f>'Provider Ratings'!AG240</x:f>
        <x:v>Context-dependent tie</x:v>
      </x:c>
      <x:c r="V240" s="32" t="str">
        <x:f>'Provider Ratings'!AH240</x:f>
        <x:v>Scores are close: use ecosystem, data gravity, region, skills, commercials and proof-of-value results to decide.</x:v>
      </x:c>
      <x:c r="W240" s="32" t="str">
        <x:v>Partial</x:v>
      </x:c>
      <x:c r="X240" s="32"/>
      <x:c r="Y240" s="32" t="str">
        <x:v>2026-07-12</x:v>
      </x:c>
    </x:row>
    <x:row r="241">
      <x:c r="A241" s="32" t="str">
        <x:v>09 Engineering, Operations &amp; Migration</x:v>
      </x:c>
      <x:c r="B241" s="32" t="str">
        <x:v>Migration &amp; Modernisation</x:v>
      </x:c>
      <x:c r="C241" s="32" t="str">
        <x:v>Migration, Modernisation &amp; Transformation</x:v>
      </x:c>
      <x:c r="D241" s="32" t="str">
        <x:v>Workload</x:v>
      </x:c>
      <x:c r="E241" s="32" t="str">
        <x:v>File transfer</x:v>
      </x:c>
      <x:c r="F241" s="32" t="str">
        <x:v>Managed file transfer</x:v>
      </x:c>
      <x:c r="G241" s="32" t="str">
        <x:v>Transfer files using managed SFTP, FTPS or FTP endpoints.</x:v>
      </x:c>
      <x:c r="H241" s="32" t="str">
        <x:v>Choose this capability when you need to transfer files using managed sftp, ftps or ftp endpoints.</x:v>
      </x:c>
      <x:c r="I241" s="32" t="str">
        <x:v>What business outcome, scale, control, integration and operating model justify choosing managed file transfer?</x:v>
      </x:c>
      <x:c r="J241" s="32" t="str">
        <x:v>Standardisation and automation versus flexibility and migration effort.</x:v>
      </x:c>
      <x:c r="K241" s="32" t="n">
        <x:v>3</x:v>
      </x:c>
      <x:c r="L241" s="32" t="str">
        <x:v>Moderate</x:v>
      </x:c>
      <x:c r="M241" s="32" t="str">
        <x:v>1–3 weeks</x:v>
      </x:c>
      <x:c r="N241" s="32" t="str">
        <x:v>Medium</x:v>
      </x:c>
      <x:c r="O241" s="32" t="str">
        <x:v>AWS Transfer Family</x:v>
      </x:c>
      <x:c r="P241" s="32" t="str">
        <x:v>Azure Storage SFTP</x:v>
      </x:c>
      <x:c r="Q241" s="32" t="str">
        <x:v>Storage Transfer Service / partner SFTP</x:v>
      </x:c>
      <x:c r="R241" s="32" t="n">
        <x:f>'Provider Ratings'!AD241</x:f>
        <x:v>3.78</x:v>
      </x:c>
      <x:c r="S241" s="32" t="n">
        <x:f>'Provider Ratings'!AE241</x:f>
        <x:v>3.65</x:v>
      </x:c>
      <x:c r="T241" s="32" t="n">
        <x:f>'Provider Ratings'!AF241</x:f>
        <x:v>3.16</x:v>
      </x:c>
      <x:c r="U241" s="32" t="str">
        <x:f>'Provider Ratings'!AG241</x:f>
        <x:v>Context-dependent tie</x:v>
      </x:c>
      <x:c r="V241" s="32" t="str">
        <x:f>'Provider Ratings'!AH241</x:f>
        <x:v>Scores are close: use ecosystem, data gravity, region, skills, commercials and proof-of-value results to decide.</x:v>
      </x:c>
      <x:c r="W241" s="32" t="str">
        <x:v>Partial</x:v>
      </x:c>
      <x:c r="X241" s="32"/>
      <x:c r="Y241" s="32" t="str">
        <x:v>2026-07-12</x:v>
      </x:c>
    </x:row>
    <x:row r="242">
      <x:c r="A242" s="32" t="str">
        <x:v>09 Engineering, Operations &amp; Migration</x:v>
      </x:c>
      <x:c r="B242" s="32" t="str">
        <x:v>Migration &amp; Modernisation</x:v>
      </x:c>
      <x:c r="C242" s="32" t="str">
        <x:v>Migration, Modernisation &amp; Transformation</x:v>
      </x:c>
      <x:c r="D242" s="32" t="str">
        <x:v>Workload</x:v>
      </x:c>
      <x:c r="E242" s="32" t="str">
        <x:v>Cross-cloud data transfer</x:v>
      </x:c>
      <x:c r="F242" s="32" t="str">
        <x:v>Cross-cloud data movement</x:v>
      </x:c>
      <x:c r="G242" s="32" t="str">
        <x:v>Move data efficiently between cloud providers and storage services.</x:v>
      </x:c>
      <x:c r="H242" s="32" t="str">
        <x:v>Choose this capability when you need to move data efficiently between cloud providers and storage services.</x:v>
      </x:c>
      <x:c r="I242" s="32" t="str">
        <x:v>What business outcome, scale, control, integration and operating model justify choosing cross-cloud data movement?</x:v>
      </x:c>
      <x:c r="J242" s="32" t="str">
        <x:v>Standardisation and automation versus flexibility and migration effort.</x:v>
      </x:c>
      <x:c r="K242" s="32" t="n">
        <x:v>3</x:v>
      </x:c>
      <x:c r="L242" s="32" t="str">
        <x:v>Moderate</x:v>
      </x:c>
      <x:c r="M242" s="32" t="str">
        <x:v>1–3 weeks</x:v>
      </x:c>
      <x:c r="N242" s="32" t="str">
        <x:v>Medium</x:v>
      </x:c>
      <x:c r="O242" s="32" t="str">
        <x:v>AWS DataSync</x:v>
      </x:c>
      <x:c r="P242" s="32" t="str">
        <x:v>Azure Data Factory
Azure Storage Mover</x:v>
      </x:c>
      <x:c r="Q242" s="32" t="str">
        <x:v>Storage Transfer Service
Data Transfer Essentials</x:v>
      </x:c>
      <x:c r="R242" s="32" t="n">
        <x:f>'Provider Ratings'!AD242</x:f>
        <x:v>3.94</x:v>
      </x:c>
      <x:c r="S242" s="32" t="n">
        <x:f>'Provider Ratings'!AE242</x:f>
        <x:v>3.75</x:v>
      </x:c>
      <x:c r="T242" s="32" t="n">
        <x:f>'Provider Ratings'!AF242</x:f>
        <x:v>3.74</x:v>
      </x:c>
      <x:c r="U242" s="32" t="str">
        <x:f>'Provider Ratings'!AG242</x:f>
        <x:v>AWS</x:v>
      </x:c>
      <x:c r="V242" s="32" t="str">
        <x:f>'Provider Ratings'!AH242</x:f>
        <x:v>Start with AWS when infrastructure breadth, native integration and operational maturity are the main differentiators.</x:v>
      </x:c>
      <x:c r="W242" s="32" t="str">
        <x:v>Close</x:v>
      </x:c>
      <x:c r="X242" s="32"/>
      <x:c r="Y242" s="32" t="str">
        <x:v>2026-07-12</x:v>
      </x:c>
    </x:row>
    <x:row r="243">
      <x:c r="A243" s="32" t="str">
        <x:v>09 Engineering, Operations &amp; Migration</x:v>
      </x:c>
      <x:c r="B243" s="32" t="str">
        <x:v>Migration &amp; Modernisation</x:v>
      </x:c>
      <x:c r="C243" s="32" t="str">
        <x:v>Migration, Modernisation &amp; Transformation</x:v>
      </x:c>
      <x:c r="D243" s="32" t="str">
        <x:v>Workload</x:v>
      </x:c>
      <x:c r="E243" s="32" t="str">
        <x:v>Resource relocation</x:v>
      </x:c>
      <x:c r="F243" s="32" t="str">
        <x:v>Cloud resource relocation</x:v>
      </x:c>
      <x:c r="G243" s="32" t="str">
        <x:v>Move supported resources between regions, subscriptions or projects.</x:v>
      </x:c>
      <x:c r="H243" s="32" t="str">
        <x:v>Choose this capability when you need to move supported resources between regions, subscriptions or projects.</x:v>
      </x:c>
      <x:c r="I243" s="32" t="str">
        <x:v>What business outcome, scale, control, integration and operating model justify choosing cloud resource relocation?</x:v>
      </x:c>
      <x:c r="J243" s="32" t="str">
        <x:v>Standardisation and automation versus flexibility and migration effort.</x:v>
      </x:c>
      <x:c r="K243" s="32" t="n">
        <x:v>3</x:v>
      </x:c>
      <x:c r="L243" s="32" t="str">
        <x:v>Moderate</x:v>
      </x:c>
      <x:c r="M243" s="32" t="str">
        <x:v>1–3 weeks</x:v>
      </x:c>
      <x:c r="N243" s="32" t="str">
        <x:v>Medium</x:v>
      </x:c>
      <x:c r="O243" s="32" t="str">
        <x:v>AWS Application Migration Service / service-specific replication</x:v>
      </x:c>
      <x:c r="P243" s="32" t="str">
        <x:v>Azure Resource Mover</x:v>
      </x:c>
      <x:c r="Q243" s="32" t="str">
        <x:v>Migrate to Virtual Machines / service-specific replication</x:v>
      </x:c>
      <x:c r="R243" s="32" t="n">
        <x:f>'Provider Ratings'!AD243</x:f>
        <x:v>3.33</x:v>
      </x:c>
      <x:c r="S243" s="32" t="n">
        <x:f>'Provider Ratings'!AE243</x:f>
        <x:v>3.65</x:v>
      </x:c>
      <x:c r="T243" s="32" t="n">
        <x:f>'Provider Ratings'!AF243</x:f>
        <x:v>3.16</x:v>
      </x:c>
      <x:c r="U243" s="32" t="str">
        <x:f>'Provider Ratings'!AG243</x:f>
        <x:v>Azure</x:v>
      </x:c>
      <x:c r="V243" s="32" t="str">
        <x:f>'Provider Ratings'!AH243</x:f>
        <x:v>Start with Azure when Microsoft identity, security, data, productivity or hybrid integration reduces delivery effort.</x:v>
      </x:c>
      <x:c r="W243" s="32" t="str">
        <x:v>Partial</x:v>
      </x:c>
      <x:c r="X243" s="32"/>
      <x:c r="Y243" s="32" t="str">
        <x:v>2026-07-12</x:v>
      </x:c>
    </x:row>
    <x:row r="244">
      <x:c r="A244" s="32" t="str">
        <x:v>10 Edge, IoT &amp; Industry</x:v>
      </x:c>
      <x:c r="B244" s="32" t="str">
        <x:v>IoT &amp; Edge</x:v>
      </x:c>
      <x:c r="C244" s="32" t="str">
        <x:v>IoT, Devices &amp; Industrial Edge</x:v>
      </x:c>
      <x:c r="D244" s="32" t="str">
        <x:v>Specialist</x:v>
      </x:c>
      <x:c r="E244" s="32" t="str">
        <x:v>IoT connectivity</x:v>
      </x:c>
      <x:c r="F244" s="32" t="str">
        <x:v>Managed IoT messaging</x:v>
      </x:c>
      <x:c r="G244" s="32" t="str">
        <x:v>Securely connect devices and exchange telemetry and commands at scale.</x:v>
      </x:c>
      <x:c r="H244" s="32" t="str">
        <x:v>Choose this capability when you need to securely connect devices and exchange telemetry and commands at scale.</x:v>
      </x:c>
      <x:c r="I244" s="32" t="str">
        <x:v>What business outcome, scale, control, integration and operating model justify choosing managed iot messaging?</x:v>
      </x:c>
      <x:c r="J244" s="32" t="str">
        <x:v>Native integration and speed versus portability, governance effort and total cost.</x:v>
      </x:c>
      <x:c r="K244" s="32" t="n">
        <x:v>3</x:v>
      </x:c>
      <x:c r="L244" s="32" t="str">
        <x:v>Moderate</x:v>
      </x:c>
      <x:c r="M244" s="32" t="str">
        <x:v>1–3 weeks</x:v>
      </x:c>
      <x:c r="N244" s="32" t="str">
        <x:v>Medium</x:v>
      </x:c>
      <x:c r="O244" s="32" t="str">
        <x:v>AWS IoT Core</x:v>
      </x:c>
      <x:c r="P244" s="32" t="str">
        <x:v>Azure IoT Hub</x:v>
      </x:c>
      <x:c r="Q244" s="32" t="str">
        <x:v>Google Cloud partner IoT platforms
Pub/Sub</x:v>
      </x:c>
      <x:c r="R244" s="32" t="n">
        <x:f>'Provider Ratings'!AD244</x:f>
        <x:v>3.88</x:v>
      </x:c>
      <x:c r="S244" s="32" t="n">
        <x:f>'Provider Ratings'!AE244</x:f>
        <x:v>3.65</x:v>
      </x:c>
      <x:c r="T244" s="32" t="n">
        <x:f>'Provider Ratings'!AF244</x:f>
        <x:v>3.06</x:v>
      </x:c>
      <x:c r="U244" s="32" t="str">
        <x:f>'Provider Ratings'!AG244</x:f>
        <x:v>AWS</x:v>
      </x:c>
      <x:c r="V244" s="32" t="str">
        <x:f>'Provider Ratings'!AH244</x:f>
        <x:v>Start with AWS when infrastructure breadth, native integration and operational maturity are the main differentiators.</x:v>
      </x:c>
      <x:c r="W244" s="32" t="str">
        <x:v>Partial</x:v>
      </x:c>
      <x:c r="X244" s="32" t="str">
        <x:v>Google Cloud retired its first-party IoT Core; current implementations use partners and core platform services.</x:v>
      </x:c>
      <x:c r="Y244" s="32" t="str">
        <x:v>2026-07-12</x:v>
      </x:c>
    </x:row>
    <x:row r="245">
      <x:c r="A245" s="32" t="str">
        <x:v>10 Edge, IoT &amp; Industry</x:v>
      </x:c>
      <x:c r="B245" s="32" t="str">
        <x:v>IoT &amp; Edge</x:v>
      </x:c>
      <x:c r="C245" s="32" t="str">
        <x:v>IoT, Devices &amp; Industrial Edge</x:v>
      </x:c>
      <x:c r="D245" s="32" t="str">
        <x:v>Specialist</x:v>
      </x:c>
      <x:c r="E245" s="32" t="str">
        <x:v>Device management</x:v>
      </x:c>
      <x:c r="F245" s="32" t="str">
        <x:v>IoT device management</x:v>
      </x:c>
      <x:c r="G245" s="32" t="str">
        <x:v>Register, organise, monitor and remotely manage device fleets.</x:v>
      </x:c>
      <x:c r="H245" s="32" t="str">
        <x:v>Choose this capability when you need to register, organise, monitor and remotely manage device fleets.</x:v>
      </x:c>
      <x:c r="I245" s="32" t="str">
        <x:v>What business outcome, scale, control, integration and operating model justify choosing iot device management?</x:v>
      </x:c>
      <x:c r="J245" s="32" t="str">
        <x:v>Native integration and speed versus portability, governance effort and total cost.</x:v>
      </x:c>
      <x:c r="K245" s="32" t="n">
        <x:v>3</x:v>
      </x:c>
      <x:c r="L245" s="32" t="str">
        <x:v>Moderate</x:v>
      </x:c>
      <x:c r="M245" s="32" t="str">
        <x:v>1–3 weeks</x:v>
      </x:c>
      <x:c r="N245" s="32" t="str">
        <x:v>Medium</x:v>
      </x:c>
      <x:c r="O245" s="32" t="str">
        <x:v>AWS IoT Device Management</x:v>
      </x:c>
      <x:c r="P245" s="32" t="str">
        <x:v>Azure IoT Hub Device Provisioning Service</x:v>
      </x:c>
      <x:c r="Q245" s="32" t="str">
        <x:v>Google Cloud partner IoT platforms</x:v>
      </x:c>
      <x:c r="R245" s="32" t="n">
        <x:f>'Provider Ratings'!AD245</x:f>
        <x:v>3.77</x:v>
      </x:c>
      <x:c r="S245" s="32" t="n">
        <x:f>'Provider Ratings'!AE245</x:f>
        <x:v>3.65</x:v>
      </x:c>
      <x:c r="T245" s="32" t="n">
        <x:f>'Provider Ratings'!AF245</x:f>
        <x:v>3.06</x:v>
      </x:c>
      <x:c r="U245" s="32" t="str">
        <x:f>'Provider Ratings'!AG245</x:f>
        <x:v>Context-dependent tie</x:v>
      </x:c>
      <x:c r="V245" s="32" t="str">
        <x:f>'Provider Ratings'!AH245</x:f>
        <x:v>Scores are close: use ecosystem, data gravity, region, skills, commercials and proof-of-value results to decide.</x:v>
      </x:c>
      <x:c r="W245" s="32" t="str">
        <x:v>Partial</x:v>
      </x:c>
      <x:c r="X245" s="32"/>
      <x:c r="Y245" s="32" t="str">
        <x:v>2026-07-12</x:v>
      </x:c>
    </x:row>
    <x:row r="246">
      <x:c r="A246" s="32" t="str">
        <x:v>10 Edge, IoT &amp; Industry</x:v>
      </x:c>
      <x:c r="B246" s="32" t="str">
        <x:v>IoT &amp; Edge</x:v>
      </x:c>
      <x:c r="C246" s="32" t="str">
        <x:v>IoT, Devices &amp; Industrial Edge</x:v>
      </x:c>
      <x:c r="D246" s="32" t="str">
        <x:v>Specialist</x:v>
      </x:c>
      <x:c r="E246" s="32" t="str">
        <x:v>IoT security</x:v>
      </x:c>
      <x:c r="F246" s="32" t="str">
        <x:v>IoT security monitoring</x:v>
      </x:c>
      <x:c r="G246" s="32" t="str">
        <x:v>Audit device configurations and detect anomalous IoT behaviour.</x:v>
      </x:c>
      <x:c r="H246" s="32" t="str">
        <x:v>Choose this capability when you need to audit device configurations and detect anomalous iot behaviour.</x:v>
      </x:c>
      <x:c r="I246" s="32" t="str">
        <x:v>What business outcome, scale, control, integration and operating model justify choosing iot security monitoring?</x:v>
      </x:c>
      <x:c r="J246" s="32" t="str">
        <x:v>Native integration and speed versus portability, governance effort and total cost.</x:v>
      </x:c>
      <x:c r="K246" s="32" t="n">
        <x:v>3</x:v>
      </x:c>
      <x:c r="L246" s="32" t="str">
        <x:v>Moderate</x:v>
      </x:c>
      <x:c r="M246" s="32" t="str">
        <x:v>1–3 weeks</x:v>
      </x:c>
      <x:c r="N246" s="32" t="str">
        <x:v>Medium</x:v>
      </x:c>
      <x:c r="O246" s="32" t="str">
        <x:v>AWS IoT Device Defender</x:v>
      </x:c>
      <x:c r="P246" s="32" t="str">
        <x:v>Microsoft Defender for IoT</x:v>
      </x:c>
      <x:c r="Q246" s="32" t="str">
        <x:v>Security Command Center / partner IoT security</x:v>
      </x:c>
      <x:c r="R246" s="32" t="n">
        <x:f>'Provider Ratings'!AD246</x:f>
        <x:v>3.77</x:v>
      </x:c>
      <x:c r="S246" s="32" t="n">
        <x:f>'Provider Ratings'!AE246</x:f>
        <x:v>3.72</x:v>
      </x:c>
      <x:c r="T246" s="32" t="n">
        <x:f>'Provider Ratings'!AF246</x:f>
        <x:v>3.06</x:v>
      </x:c>
      <x:c r="U246" s="32" t="str">
        <x:f>'Provider Ratings'!AG246</x:f>
        <x:v>Context-dependent tie</x:v>
      </x:c>
      <x:c r="V246" s="32" t="str">
        <x:f>'Provider Ratings'!AH246</x:f>
        <x:v>Scores are close: use ecosystem, data gravity, region, skills, commercials and proof-of-value results to decide.</x:v>
      </x:c>
      <x:c r="W246" s="32" t="str">
        <x:v>Partial</x:v>
      </x:c>
      <x:c r="X246" s="32"/>
      <x:c r="Y246" s="32" t="str">
        <x:v>2026-07-12</x:v>
      </x:c>
    </x:row>
    <x:row r="247">
      <x:c r="A247" s="32" t="str">
        <x:v>10 Edge, IoT &amp; Industry</x:v>
      </x:c>
      <x:c r="B247" s="32" t="str">
        <x:v>IoT &amp; Edge</x:v>
      </x:c>
      <x:c r="C247" s="32" t="str">
        <x:v>IoT, Devices &amp; Industrial Edge</x:v>
      </x:c>
      <x:c r="D247" s="32" t="str">
        <x:v>Specialist</x:v>
      </x:c>
      <x:c r="E247" s="32" t="str">
        <x:v>Edge runtime</x:v>
      </x:c>
      <x:c r="F247" s="32" t="str">
        <x:v>IoT edge runtime</x:v>
      </x:c>
      <x:c r="G247" s="32" t="str">
        <x:v>Run local messaging, compute and ML inference on edge devices.</x:v>
      </x:c>
      <x:c r="H247" s="32" t="str">
        <x:v>Choose this capability when you need to run local messaging, compute and ml inference on edge devices.</x:v>
      </x:c>
      <x:c r="I247" s="32" t="str">
        <x:v>What business outcome, scale, control, integration and operating model justify choosing iot edge runtime?</x:v>
      </x:c>
      <x:c r="J247" s="32" t="str">
        <x:v>Native integration and speed versus portability, governance effort and total cost.</x:v>
      </x:c>
      <x:c r="K247" s="32" t="n">
        <x:v>3</x:v>
      </x:c>
      <x:c r="L247" s="32" t="str">
        <x:v>Moderate</x:v>
      </x:c>
      <x:c r="M247" s="32" t="str">
        <x:v>1–3 weeks</x:v>
      </x:c>
      <x:c r="N247" s="32" t="str">
        <x:v>Medium</x:v>
      </x:c>
      <x:c r="O247" s="32" t="str">
        <x:v>AWS IoT Greengrass</x:v>
      </x:c>
      <x:c r="P247" s="32" t="str">
        <x:v>Azure IoT Edge</x:v>
      </x:c>
      <x:c r="Q247" s="32" t="str">
        <x:v>Google Distributed Cloud Edge / partner runtimes</x:v>
      </x:c>
      <x:c r="R247" s="32" t="n">
        <x:f>'Provider Ratings'!AD247</x:f>
        <x:v>3.77</x:v>
      </x:c>
      <x:c r="S247" s="32" t="n">
        <x:f>'Provider Ratings'!AE247</x:f>
        <x:v>3.65</x:v>
      </x:c>
      <x:c r="T247" s="32" t="n">
        <x:f>'Provider Ratings'!AF247</x:f>
        <x:v>3.06</x:v>
      </x:c>
      <x:c r="U247" s="32" t="str">
        <x:f>'Provider Ratings'!AG247</x:f>
        <x:v>Context-dependent tie</x:v>
      </x:c>
      <x:c r="V247" s="32" t="str">
        <x:f>'Provider Ratings'!AH247</x:f>
        <x:v>Scores are close: use ecosystem, data gravity, region, skills, commercials and proof-of-value results to decide.</x:v>
      </x:c>
      <x:c r="W247" s="32" t="str">
        <x:v>Partial</x:v>
      </x:c>
      <x:c r="X247" s="32"/>
      <x:c r="Y247" s="32" t="str">
        <x:v>2026-07-12</x:v>
      </x:c>
    </x:row>
    <x:row r="248">
      <x:c r="A248" s="32" t="str">
        <x:v>10 Edge, IoT &amp; Industry</x:v>
      </x:c>
      <x:c r="B248" s="32" t="str">
        <x:v>IoT &amp; Edge</x:v>
      </x:c>
      <x:c r="C248" s="32" t="str">
        <x:v>IoT, Devices &amp; Industrial Edge</x:v>
      </x:c>
      <x:c r="D248" s="32" t="str">
        <x:v>Platform</x:v>
      </x:c>
      <x:c r="E248" s="32" t="str">
        <x:v>Digital twins</x:v>
      </x:c>
      <x:c r="F248" s="32" t="str">
        <x:v>Digital twin platform</x:v>
      </x:c>
      <x:c r="G248" s="32" t="str">
        <x:v>Model physical environments, assets and relationships using digital representations.</x:v>
      </x:c>
      <x:c r="H248" s="32" t="str">
        <x:v>Choose this capability when you need to model physical environments, assets and relationships using digital representations.</x:v>
      </x:c>
      <x:c r="I248" s="32" t="str">
        <x:v>What business outcome, scale, control, integration and operating model justify choosing digital twin platform?</x:v>
      </x:c>
      <x:c r="J248" s="32" t="str">
        <x:v>Native integration and speed versus portability, governance effort and total cost.</x:v>
      </x:c>
      <x:c r="K248" s="32" t="n">
        <x:v>3</x:v>
      </x:c>
      <x:c r="L248" s="32" t="str">
        <x:v>Moderate</x:v>
      </x:c>
      <x:c r="M248" s="32" t="str">
        <x:v>1–3 weeks</x:v>
      </x:c>
      <x:c r="N248" s="32" t="str">
        <x:v>Medium</x:v>
      </x:c>
      <x:c r="O248" s="32" t="str">
        <x:v>AWS IoT TwinMaker</x:v>
      </x:c>
      <x:c r="P248" s="32" t="str">
        <x:v>Azure Digital Twins</x:v>
      </x:c>
      <x:c r="Q248" s="32" t="str">
        <x:v>Manufacturing Data Engine / partner digital twins</x:v>
      </x:c>
      <x:c r="R248" s="32" t="n">
        <x:f>'Provider Ratings'!AD248</x:f>
        <x:v>3.77</x:v>
      </x:c>
      <x:c r="S248" s="32" t="n">
        <x:f>'Provider Ratings'!AE248</x:f>
        <x:v>3.65</x:v>
      </x:c>
      <x:c r="T248" s="32" t="n">
        <x:f>'Provider Ratings'!AF248</x:f>
        <x:v>3.06</x:v>
      </x:c>
      <x:c r="U248" s="32" t="str">
        <x:f>'Provider Ratings'!AG248</x:f>
        <x:v>Context-dependent tie</x:v>
      </x:c>
      <x:c r="V248" s="32" t="str">
        <x:f>'Provider Ratings'!AH248</x:f>
        <x:v>Scores are close: use ecosystem, data gravity, region, skills, commercials and proof-of-value results to decide.</x:v>
      </x:c>
      <x:c r="W248" s="32" t="str">
        <x:v>Partial</x:v>
      </x:c>
      <x:c r="X248" s="32"/>
      <x:c r="Y248" s="32" t="str">
        <x:v>2026-07-12</x:v>
      </x:c>
    </x:row>
    <x:row r="249">
      <x:c r="A249" s="32" t="str">
        <x:v>10 Edge, IoT &amp; Industry</x:v>
      </x:c>
      <x:c r="B249" s="32" t="str">
        <x:v>IoT &amp; Edge</x:v>
      </x:c>
      <x:c r="C249" s="32" t="str">
        <x:v>IoT, Devices &amp; Industrial Edge</x:v>
      </x:c>
      <x:c r="D249" s="32" t="str">
        <x:v>Platform</x:v>
      </x:c>
      <x:c r="E249" s="32" t="str">
        <x:v>Industrial IoT</x:v>
      </x:c>
      <x:c r="F249" s="32" t="str">
        <x:v>Industrial equipment data platform</x:v>
      </x:c>
      <x:c r="G249" s="32" t="str">
        <x:v>Collect, contextualise and monitor industrial equipment and process data.</x:v>
      </x:c>
      <x:c r="H249" s="32" t="str">
        <x:v>Choose this capability when you need to collect, contextualise and monitor industrial equipment and process data.</x:v>
      </x:c>
      <x:c r="I249" s="32" t="str">
        <x:v>What business outcome, scale, control, integration and operating model justify choosing industrial equipment data platform?</x:v>
      </x:c>
      <x:c r="J249" s="32" t="str">
        <x:v>Native integration and speed versus portability, governance effort and total cost.</x:v>
      </x:c>
      <x:c r="K249" s="32" t="n">
        <x:v>3</x:v>
      </x:c>
      <x:c r="L249" s="32" t="str">
        <x:v>Moderate</x:v>
      </x:c>
      <x:c r="M249" s="32" t="str">
        <x:v>1–3 weeks</x:v>
      </x:c>
      <x:c r="N249" s="32" t="str">
        <x:v>Medium</x:v>
      </x:c>
      <x:c r="O249" s="32" t="str">
        <x:v>AWS IoT SiteWise
Amazon Monitron</x:v>
      </x:c>
      <x:c r="P249" s="32" t="str">
        <x:v>Azure IoT Operations</x:v>
      </x:c>
      <x:c r="Q249" s="32" t="str">
        <x:v>Manufacturing Data Engine</x:v>
      </x:c>
      <x:c r="R249" s="32" t="n">
        <x:f>'Provider Ratings'!AD249</x:f>
        <x:v>3.83</x:v>
      </x:c>
      <x:c r="S249" s="32" t="n">
        <x:f>'Provider Ratings'!AE249</x:f>
        <x:v>3.84</x:v>
      </x:c>
      <x:c r="T249" s="32" t="n">
        <x:f>'Provider Ratings'!AF249</x:f>
        <x:v>3.74</x:v>
      </x:c>
      <x:c r="U249" s="32" t="str">
        <x:f>'Provider Ratings'!AG249</x:f>
        <x:v>Context-dependent tie</x:v>
      </x:c>
      <x:c r="V249" s="32" t="str">
        <x:f>'Provider Ratings'!AH249</x:f>
        <x:v>Scores are close: use ecosystem, data gravity, region, skills, commercials and proof-of-value results to decide.</x:v>
      </x:c>
      <x:c r="W249" s="32" t="str">
        <x:v>Close</x:v>
      </x:c>
      <x:c r="X249" s="32"/>
      <x:c r="Y249" s="32" t="str">
        <x:v>2026-07-12</x:v>
      </x:c>
    </x:row>
    <x:row r="250">
      <x:c r="A250" s="32" t="str">
        <x:v>10 Edge, IoT &amp; Industry</x:v>
      </x:c>
      <x:c r="B250" s="32" t="str">
        <x:v>IoT &amp; Edge</x:v>
      </x:c>
      <x:c r="C250" s="32" t="str">
        <x:v>IoT, Devices &amp; Industrial Edge</x:v>
      </x:c>
      <x:c r="D250" s="32" t="str">
        <x:v>Specialist</x:v>
      </x:c>
      <x:c r="E250" s="32" t="str">
        <x:v>Vehicle telemetry</x:v>
      </x:c>
      <x:c r="F250" s="32" t="str">
        <x:v>Connected vehicle data</x:v>
      </x:c>
      <x:c r="G250" s="32" t="str">
        <x:v>Collect and process vehicle telemetry and fleet data.</x:v>
      </x:c>
      <x:c r="H250" s="32" t="str">
        <x:v>Choose this capability when you need to collect and process vehicle telemetry and fleet data.</x:v>
      </x:c>
      <x:c r="I250" s="32" t="str">
        <x:v>What business outcome, scale, control, integration and operating model justify choosing connected vehicle data?</x:v>
      </x:c>
      <x:c r="J250" s="32" t="str">
        <x:v>Native integration and speed versus portability, governance effort and total cost.</x:v>
      </x:c>
      <x:c r="K250" s="32" t="n">
        <x:v>3</x:v>
      </x:c>
      <x:c r="L250" s="32" t="str">
        <x:v>Moderate</x:v>
      </x:c>
      <x:c r="M250" s="32" t="str">
        <x:v>1–3 weeks</x:v>
      </x:c>
      <x:c r="N250" s="32" t="str">
        <x:v>Medium</x:v>
      </x:c>
      <x:c r="O250" s="32" t="str">
        <x:v>AWS IoT FleetWise</x:v>
      </x:c>
      <x:c r="P250" s="32" t="str">
        <x:v>Azure Data Manager for Agriculture / mobility partner solutions</x:v>
      </x:c>
      <x:c r="Q250" s="32" t="str">
        <x:v>Fleet Routing / partner automotive solutions</x:v>
      </x:c>
      <x:c r="R250" s="32" t="n">
        <x:f>'Provider Ratings'!AD250</x:f>
        <x:v>3.77</x:v>
      </x:c>
      <x:c r="S250" s="32" t="n">
        <x:f>'Provider Ratings'!AE250</x:f>
        <x:v>3.2</x:v>
      </x:c>
      <x:c r="T250" s="32" t="n">
        <x:f>'Provider Ratings'!AF250</x:f>
        <x:v>3.1</x:v>
      </x:c>
      <x:c r="U250" s="32" t="str">
        <x:f>'Provider Ratings'!AG250</x:f>
        <x:v>AWS</x:v>
      </x:c>
      <x:c r="V250" s="32" t="str">
        <x:f>'Provider Ratings'!AH250</x:f>
        <x:v>Start with AWS when infrastructure breadth, native integration and operational maturity are the main differentiators.</x:v>
      </x:c>
      <x:c r="W250" s="32" t="str">
        <x:v>Partial</x:v>
      </x:c>
      <x:c r="X250" s="32"/>
      <x:c r="Y250" s="32" t="str">
        <x:v>2026-07-12</x:v>
      </x:c>
    </x:row>
    <x:row r="251">
      <x:c r="A251" s="32" t="str">
        <x:v>10 Edge, IoT &amp; Industry</x:v>
      </x:c>
      <x:c r="B251" s="32" t="str">
        <x:v>IoT &amp; Edge</x:v>
      </x:c>
      <x:c r="C251" s="32" t="str">
        <x:v>IoT, Devices &amp; Industrial Edge</x:v>
      </x:c>
      <x:c r="D251" s="32" t="str">
        <x:v>Specialist</x:v>
      </x:c>
      <x:c r="E251" s="32" t="str">
        <x:v>Event detection</x:v>
      </x:c>
      <x:c r="F251" s="32" t="str">
        <x:v>IoT event detection</x:v>
      </x:c>
      <x:c r="G251" s="32" t="str">
        <x:v>Detect operational states and events from IoT telemetry.</x:v>
      </x:c>
      <x:c r="H251" s="32" t="str">
        <x:v>Choose this capability when you need to detect operational states and events from iot telemetry.</x:v>
      </x:c>
      <x:c r="I251" s="32" t="str">
        <x:v>What business outcome, scale, control, integration and operating model justify choosing iot event detection?</x:v>
      </x:c>
      <x:c r="J251" s="32" t="str">
        <x:v>Native integration and speed versus portability, governance effort and total cost.</x:v>
      </x:c>
      <x:c r="K251" s="32" t="n">
        <x:v>3</x:v>
      </x:c>
      <x:c r="L251" s="32" t="str">
        <x:v>Moderate</x:v>
      </x:c>
      <x:c r="M251" s="32" t="str">
        <x:v>1–3 weeks</x:v>
      </x:c>
      <x:c r="N251" s="32" t="str">
        <x:v>Medium</x:v>
      </x:c>
      <x:c r="O251" s="32" t="str">
        <x:v>AWS IoT Events</x:v>
      </x:c>
      <x:c r="P251" s="32" t="str">
        <x:v>Azure Stream Analytics
Azure IoT Operations</x:v>
      </x:c>
      <x:c r="Q251" s="32" t="str">
        <x:v>Dataflow
Pub/Sub</x:v>
      </x:c>
      <x:c r="R251" s="32" t="n">
        <x:f>'Provider Ratings'!AD251</x:f>
        <x:v>3.77</x:v>
      </x:c>
      <x:c r="S251" s="32" t="n">
        <x:f>'Provider Ratings'!AE251</x:f>
        <x:v>3.56</x:v>
      </x:c>
      <x:c r="T251" s="32" t="n">
        <x:f>'Provider Ratings'!AF251</x:f>
        <x:v>3.43</x:v>
      </x:c>
      <x:c r="U251" s="32" t="str">
        <x:f>'Provider Ratings'!AG251</x:f>
        <x:v>AWS</x:v>
      </x:c>
      <x:c r="V251" s="32" t="str">
        <x:f>'Provider Ratings'!AH251</x:f>
        <x:v>Start with AWS when infrastructure breadth, native integration and operational maturity are the main differentiators.</x:v>
      </x:c>
      <x:c r="W251" s="32" t="str">
        <x:v>Partial</x:v>
      </x:c>
      <x:c r="X251" s="32"/>
      <x:c r="Y251" s="32" t="str">
        <x:v>2026-07-12</x:v>
      </x:c>
    </x:row>
    <x:row r="252">
      <x:c r="A252" s="32" t="str">
        <x:v>10 Edge, IoT &amp; Industry</x:v>
      </x:c>
      <x:c r="B252" s="32" t="str">
        <x:v>IoT &amp; Edge</x:v>
      </x:c>
      <x:c r="C252" s="32" t="str">
        <x:v>IoT, Devices &amp; Industrial Edge</x:v>
      </x:c>
      <x:c r="D252" s="32" t="str">
        <x:v>Specialist</x:v>
      </x:c>
      <x:c r="E252" s="32" t="str">
        <x:v>Embedded OS</x:v>
      </x:c>
      <x:c r="F252" s="32" t="str">
        <x:v>Embedded real-time operating system</x:v>
      </x:c>
      <x:c r="G252" s="32" t="str">
        <x:v>Provide an open real-time operating system and cloud integration for microcontrollers.</x:v>
      </x:c>
      <x:c r="H252" s="32" t="str">
        <x:v>Choose this capability when you need to provide an open real-time operating system and cloud integration for microcontrollers.</x:v>
      </x:c>
      <x:c r="I252" s="32" t="str">
        <x:v>What business outcome, scale, control, integration and operating model justify choosing embedded real-time operating system?</x:v>
      </x:c>
      <x:c r="J252" s="32" t="str">
        <x:v>Native integration and speed versus portability, governance effort and total cost.</x:v>
      </x:c>
      <x:c r="K252" s="32" t="n">
        <x:v>3</x:v>
      </x:c>
      <x:c r="L252" s="32" t="str">
        <x:v>Moderate</x:v>
      </x:c>
      <x:c r="M252" s="32" t="str">
        <x:v>1–3 weeks</x:v>
      </x:c>
      <x:c r="N252" s="32" t="str">
        <x:v>Medium</x:v>
      </x:c>
      <x:c r="O252" s="32" t="str">
        <x:v>FreeRTOS</x:v>
      </x:c>
      <x:c r="P252" s="32" t="str">
        <x:v>Azure RTOS / Eclipse ThreadX ecosystem</x:v>
      </x:c>
      <x:c r="Q252" s="32" t="str">
        <x:v>Zephyr / partner ecosystem</x:v>
      </x:c>
      <x:c r="R252" s="32" t="n">
        <x:f>'Provider Ratings'!AD252</x:f>
        <x:v>3.77</x:v>
      </x:c>
      <x:c r="S252" s="32" t="n">
        <x:f>'Provider Ratings'!AE252</x:f>
        <x:v>3.2</x:v>
      </x:c>
      <x:c r="T252" s="32" t="n">
        <x:f>'Provider Ratings'!AF252</x:f>
        <x:v>3.06</x:v>
      </x:c>
      <x:c r="U252" s="32" t="str">
        <x:f>'Provider Ratings'!AG252</x:f>
        <x:v>AWS</x:v>
      </x:c>
      <x:c r="V252" s="32" t="str">
        <x:f>'Provider Ratings'!AH252</x:f>
        <x:v>Start with AWS when infrastructure breadth, native integration and operational maturity are the main differentiators.</x:v>
      </x:c>
      <x:c r="W252" s="32" t="str">
        <x:v>Partial</x:v>
      </x:c>
      <x:c r="X252" s="32"/>
      <x:c r="Y252" s="32" t="str">
        <x:v>2026-07-12</x:v>
      </x:c>
    </x:row>
    <x:row r="253">
      <x:c r="A253" s="32" t="str">
        <x:v>10 Edge, IoT &amp; Industry</x:v>
      </x:c>
      <x:c r="B253" s="32" t="str">
        <x:v>Media &amp; Communications</x:v>
      </x:c>
      <x:c r="C253" s="32" t="str">
        <x:v>Media, Communications &amp; Location</x:v>
      </x:c>
      <x:c r="D253" s="32" t="str">
        <x:v>Specialist</x:v>
      </x:c>
      <x:c r="E253" s="32" t="str">
        <x:v>Media transcoding</x:v>
      </x:c>
      <x:c r="F253" s="32" t="str">
        <x:v>File-based media transcoding</x:v>
      </x:c>
      <x:c r="G253" s="32" t="str">
        <x:v>Convert stored audio and video into delivery-ready formats and renditions.</x:v>
      </x:c>
      <x:c r="H253" s="32" t="str">
        <x:v>Choose this capability when you need to convert stored audio and video into delivery-ready formats and renditions.</x:v>
      </x:c>
      <x:c r="I253" s="32" t="str">
        <x:v>What business outcome, scale, control, integration and operating model justify choosing file-based media transcoding?</x:v>
      </x:c>
      <x:c r="J253" s="32" t="str">
        <x:v>Native integration and speed versus portability, governance effort and total cost.</x:v>
      </x:c>
      <x:c r="K253" s="32" t="n">
        <x:v>3</x:v>
      </x:c>
      <x:c r="L253" s="32" t="str">
        <x:v>Moderate</x:v>
      </x:c>
      <x:c r="M253" s="32" t="str">
        <x:v>1–3 weeks</x:v>
      </x:c>
      <x:c r="N253" s="32" t="str">
        <x:v>Medium</x:v>
      </x:c>
      <x:c r="O253" s="32" t="str">
        <x:v>AWS Elemental MediaConvert
Amazon Elastic Transcoder</x:v>
      </x:c>
      <x:c r="P253" s="32" t="str">
        <x:v>Azure Media Services migration partners
Azure Functions / partner encoders</x:v>
      </x:c>
      <x:c r="Q253" s="32" t="str">
        <x:v>Transcoder API</x:v>
      </x:c>
      <x:c r="R253" s="32" t="n">
        <x:f>'Provider Ratings'!AD253</x:f>
        <x:v>3.68</x:v>
      </x:c>
      <x:c r="S253" s="32" t="n">
        <x:f>'Provider Ratings'!AE253</x:f>
        <x:v>3.2</x:v>
      </x:c>
      <x:c r="T253" s="32" t="n">
        <x:f>'Provider Ratings'!AF253</x:f>
        <x:v>3.62</x:v>
      </x:c>
      <x:c r="U253" s="32" t="str">
        <x:f>'Provider Ratings'!AG253</x:f>
        <x:v>Context-dependent tie</x:v>
      </x:c>
      <x:c r="V253" s="32" t="str">
        <x:f>'Provider Ratings'!AH253</x:f>
        <x:v>Scores are close: use ecosystem, data gravity, region, skills, commercials and proof-of-value results to decide.</x:v>
      </x:c>
      <x:c r="W253" s="32" t="str">
        <x:v>Partial</x:v>
      </x:c>
      <x:c r="X253" s="32" t="str">
        <x:v>Azure Media Services was retired; current Azure architectures use partner solutions and general compute/services.</x:v>
      </x:c>
      <x:c r="Y253" s="32" t="str">
        <x:v>2026-07-12</x:v>
      </x:c>
    </x:row>
    <x:row r="254">
      <x:c r="A254" s="32" t="str">
        <x:v>10 Edge, IoT &amp; Industry</x:v>
      </x:c>
      <x:c r="B254" s="32" t="str">
        <x:v>Media &amp; Communications</x:v>
      </x:c>
      <x:c r="C254" s="32" t="str">
        <x:v>Media, Communications &amp; Location</x:v>
      </x:c>
      <x:c r="D254" s="32" t="str">
        <x:v>Specialist</x:v>
      </x:c>
      <x:c r="E254" s="32" t="str">
        <x:v>Live video processing</x:v>
      </x:c>
      <x:c r="F254" s="32" t="str">
        <x:v>Live video encoding</x:v>
      </x:c>
      <x:c r="G254" s="32" t="str">
        <x:v>Encode and transform live video streams for broadcast and online distribution.</x:v>
      </x:c>
      <x:c r="H254" s="32" t="str">
        <x:v>Choose this capability when you need to encode and transform live video streams for broadcast and online distribution.</x:v>
      </x:c>
      <x:c r="I254" s="32" t="str">
        <x:v>What business outcome, scale, control, integration and operating model justify choosing live video encoding?</x:v>
      </x:c>
      <x:c r="J254" s="32" t="str">
        <x:v>Native integration and speed versus portability, governance effort and total cost.</x:v>
      </x:c>
      <x:c r="K254" s="32" t="n">
        <x:v>3</x:v>
      </x:c>
      <x:c r="L254" s="32" t="str">
        <x:v>Moderate</x:v>
      </x:c>
      <x:c r="M254" s="32" t="str">
        <x:v>1–3 weeks</x:v>
      </x:c>
      <x:c r="N254" s="32" t="str">
        <x:v>Medium</x:v>
      </x:c>
      <x:c r="O254" s="32" t="str">
        <x:v>AWS Elemental MediaLive</x:v>
      </x:c>
      <x:c r="P254" s="32" t="str">
        <x:v>partner live-video services on Azure</x:v>
      </x:c>
      <x:c r="Q254" s="32" t="str">
        <x:v>Live Stream API</x:v>
      </x:c>
      <x:c r="R254" s="32" t="n">
        <x:f>'Provider Ratings'!AD254</x:f>
        <x:v>3.77</x:v>
      </x:c>
      <x:c r="S254" s="32" t="n">
        <x:f>'Provider Ratings'!AE254</x:f>
        <x:v>3.2</x:v>
      </x:c>
      <x:c r="T254" s="32" t="n">
        <x:f>'Provider Ratings'!AF254</x:f>
        <x:v>3.62</x:v>
      </x:c>
      <x:c r="U254" s="32" t="str">
        <x:f>'Provider Ratings'!AG254</x:f>
        <x:v>AWS</x:v>
      </x:c>
      <x:c r="V254" s="32" t="str">
        <x:f>'Provider Ratings'!AH254</x:f>
        <x:v>Start with AWS when infrastructure breadth, native integration and operational maturity are the main differentiators.</x:v>
      </x:c>
      <x:c r="W254" s="32" t="str">
        <x:v>Partial</x:v>
      </x:c>
      <x:c r="X254" s="32"/>
      <x:c r="Y254" s="32" t="str">
        <x:v>2026-07-12</x:v>
      </x:c>
    </x:row>
    <x:row r="255">
      <x:c r="A255" s="32" t="str">
        <x:v>10 Edge, IoT &amp; Industry</x:v>
      </x:c>
      <x:c r="B255" s="32" t="str">
        <x:v>Media &amp; Communications</x:v>
      </x:c>
      <x:c r="C255" s="32" t="str">
        <x:v>Media, Communications &amp; Location</x:v>
      </x:c>
      <x:c r="D255" s="32" t="str">
        <x:v>Specialist</x:v>
      </x:c>
      <x:c r="E255" s="32" t="str">
        <x:v>Video packaging</x:v>
      </x:c>
      <x:c r="F255" s="32" t="str">
        <x:v>Video packaging and origin</x:v>
      </x:c>
      <x:c r="G255" s="32" t="str">
        <x:v>Package live or on-demand video into streaming formats and serve manifests.</x:v>
      </x:c>
      <x:c r="H255" s="32" t="str">
        <x:v>Choose this capability when you need to package live or on-demand video into streaming formats and serve manifests.</x:v>
      </x:c>
      <x:c r="I255" s="32" t="str">
        <x:v>What business outcome, scale, control, integration and operating model justify choosing video packaging and origin?</x:v>
      </x:c>
      <x:c r="J255" s="32" t="str">
        <x:v>Native integration and speed versus portability, governance effort and total cost.</x:v>
      </x:c>
      <x:c r="K255" s="32" t="n">
        <x:v>3</x:v>
      </x:c>
      <x:c r="L255" s="32" t="str">
        <x:v>Moderate</x:v>
      </x:c>
      <x:c r="M255" s="32" t="str">
        <x:v>1–3 weeks</x:v>
      </x:c>
      <x:c r="N255" s="32" t="str">
        <x:v>Medium</x:v>
      </x:c>
      <x:c r="O255" s="32" t="str">
        <x:v>AWS Elemental MediaPackage
AWS Elemental MediaStore</x:v>
      </x:c>
      <x:c r="P255" s="32" t="str">
        <x:v>Azure Storage
Azure Front Door
partner packaging</x:v>
      </x:c>
      <x:c r="Q255" s="32" t="str">
        <x:v>Transcoder API
Cloud Storage
Media CDN</x:v>
      </x:c>
      <x:c r="R255" s="32" t="n">
        <x:f>'Provider Ratings'!AD255</x:f>
        <x:v>3.68</x:v>
      </x:c>
      <x:c r="S255" s="32" t="n">
        <x:f>'Provider Ratings'!AE255</x:f>
        <x:v>3.2</x:v>
      </x:c>
      <x:c r="T255" s="32" t="n">
        <x:f>'Provider Ratings'!AF255</x:f>
        <x:v>3.53</x:v>
      </x:c>
      <x:c r="U255" s="32" t="str">
        <x:f>'Provider Ratings'!AG255</x:f>
        <x:v>AWS</x:v>
      </x:c>
      <x:c r="V255" s="32" t="str">
        <x:f>'Provider Ratings'!AH255</x:f>
        <x:v>Start with AWS when infrastructure breadth, native integration and operational maturity are the main differentiators.</x:v>
      </x:c>
      <x:c r="W255" s="32" t="str">
        <x:v>Partial</x:v>
      </x:c>
      <x:c r="X255" s="32"/>
      <x:c r="Y255" s="32" t="str">
        <x:v>2026-07-12</x:v>
      </x:c>
    </x:row>
    <x:row r="256">
      <x:c r="A256" s="32" t="str">
        <x:v>10 Edge, IoT &amp; Industry</x:v>
      </x:c>
      <x:c r="B256" s="32" t="str">
        <x:v>Media &amp; Communications</x:v>
      </x:c>
      <x:c r="C256" s="32" t="str">
        <x:v>Media, Communications &amp; Location</x:v>
      </x:c>
      <x:c r="D256" s="32" t="str">
        <x:v>Specialist</x:v>
      </x:c>
      <x:c r="E256" s="32" t="str">
        <x:v>Video transport</x:v>
      </x:c>
      <x:c r="F256" s="32" t="str">
        <x:v>Live video transport</x:v>
      </x:c>
      <x:c r="G256" s="32" t="str">
        <x:v>Reliably transport high-quality live video between sites, partners and cloud workflows.</x:v>
      </x:c>
      <x:c r="H256" s="32" t="str">
        <x:v>Choose this capability when you need to reliably transport high-quality live video between sites, partners and cloud workflows.</x:v>
      </x:c>
      <x:c r="I256" s="32" t="str">
        <x:v>What business outcome, scale, control, integration and operating model justify choosing live video transport?</x:v>
      </x:c>
      <x:c r="J256" s="32" t="str">
        <x:v>Native integration and speed versus portability, governance effort and total cost.</x:v>
      </x:c>
      <x:c r="K256" s="32" t="n">
        <x:v>3</x:v>
      </x:c>
      <x:c r="L256" s="32" t="str">
        <x:v>Moderate</x:v>
      </x:c>
      <x:c r="M256" s="32" t="str">
        <x:v>1–3 weeks</x:v>
      </x:c>
      <x:c r="N256" s="32" t="str">
        <x:v>Medium</x:v>
      </x:c>
      <x:c r="O256" s="32" t="str">
        <x:v>AWS Elemental MediaConnect</x:v>
      </x:c>
      <x:c r="P256" s="32" t="str">
        <x:v>Azure ExpressRoute / partner media transport</x:v>
      </x:c>
      <x:c r="Q256" s="32" t="str">
        <x:v>Cloud Interconnect / partner media transport</x:v>
      </x:c>
      <x:c r="R256" s="32" t="n">
        <x:f>'Provider Ratings'!AD256</x:f>
        <x:v>3.77</x:v>
      </x:c>
      <x:c r="S256" s="32" t="n">
        <x:f>'Provider Ratings'!AE256</x:f>
        <x:v>3.2</x:v>
      </x:c>
      <x:c r="T256" s="32" t="n">
        <x:f>'Provider Ratings'!AF256</x:f>
        <x:v>3.16</x:v>
      </x:c>
      <x:c r="U256" s="32" t="str">
        <x:f>'Provider Ratings'!AG256</x:f>
        <x:v>AWS</x:v>
      </x:c>
      <x:c r="V256" s="32" t="str">
        <x:f>'Provider Ratings'!AH256</x:f>
        <x:v>Start with AWS when infrastructure breadth, native integration and operational maturity are the main differentiators.</x:v>
      </x:c>
      <x:c r="W256" s="32" t="str">
        <x:v>Partial</x:v>
      </x:c>
      <x:c r="X256" s="32"/>
      <x:c r="Y256" s="32" t="str">
        <x:v>2026-07-12</x:v>
      </x:c>
    </x:row>
    <x:row r="257">
      <x:c r="A257" s="32" t="str">
        <x:v>10 Edge, IoT &amp; Industry</x:v>
      </x:c>
      <x:c r="B257" s="32" t="str">
        <x:v>Media &amp; Communications</x:v>
      </x:c>
      <x:c r="C257" s="32" t="str">
        <x:v>Media, Communications &amp; Location</x:v>
      </x:c>
      <x:c r="D257" s="32" t="str">
        <x:v>Specialist</x:v>
      </x:c>
      <x:c r="E257" s="32" t="str">
        <x:v>Interactive streaming</x:v>
      </x:c>
      <x:c r="F257" s="32" t="str">
        <x:v>Interactive low-latency streaming</x:v>
      </x:c>
      <x:c r="G257" s="32" t="str">
        <x:v>Build low-latency live video experiences with interactive application features.</x:v>
      </x:c>
      <x:c r="H257" s="32" t="str">
        <x:v>Choose this capability when you need to build low-latency live video experiences with interactive application features.</x:v>
      </x:c>
      <x:c r="I257" s="32" t="str">
        <x:v>What business outcome, scale, control, integration and operating model justify choosing interactive low-latency streaming?</x:v>
      </x:c>
      <x:c r="J257" s="32" t="str">
        <x:v>Native integration and speed versus portability, governance effort and total cost.</x:v>
      </x:c>
      <x:c r="K257" s="32" t="n">
        <x:v>3</x:v>
      </x:c>
      <x:c r="L257" s="32" t="str">
        <x:v>Moderate</x:v>
      </x:c>
      <x:c r="M257" s="32" t="str">
        <x:v>1–3 weeks</x:v>
      </x:c>
      <x:c r="N257" s="32" t="str">
        <x:v>Medium</x:v>
      </x:c>
      <x:c r="O257" s="32" t="str">
        <x:v>Amazon Interactive Video Service</x:v>
      </x:c>
      <x:c r="P257" s="32" t="str">
        <x:v>Azure Communication Services / partner video platforms</x:v>
      </x:c>
      <x:c r="Q257" s="32" t="str">
        <x:v>WebRTC on Google Cloud / partner platforms</x:v>
      </x:c>
      <x:c r="R257" s="32" t="n">
        <x:f>'Provider Ratings'!AD257</x:f>
        <x:v>3.77</x:v>
      </x:c>
      <x:c r="S257" s="32" t="n">
        <x:f>'Provider Ratings'!AE257</x:f>
        <x:v>3.2</x:v>
      </x:c>
      <x:c r="T257" s="32" t="n">
        <x:f>'Provider Ratings'!AF257</x:f>
        <x:v>3.28</x:v>
      </x:c>
      <x:c r="U257" s="32" t="str">
        <x:f>'Provider Ratings'!AG257</x:f>
        <x:v>AWS</x:v>
      </x:c>
      <x:c r="V257" s="32" t="str">
        <x:f>'Provider Ratings'!AH257</x:f>
        <x:v>Start with AWS when infrastructure breadth, native integration and operational maturity are the main differentiators.</x:v>
      </x:c>
      <x:c r="W257" s="32" t="str">
        <x:v>Partial</x:v>
      </x:c>
      <x:c r="X257" s="32"/>
      <x:c r="Y257" s="32" t="str">
        <x:v>2026-07-12</x:v>
      </x:c>
    </x:row>
    <x:row r="258">
      <x:c r="A258" s="32" t="str">
        <x:v>10 Edge, IoT &amp; Industry</x:v>
      </x:c>
      <x:c r="B258" s="32" t="str">
        <x:v>Media &amp; Communications</x:v>
      </x:c>
      <x:c r="C258" s="32" t="str">
        <x:v>Media, Communications &amp; Location</x:v>
      </x:c>
      <x:c r="D258" s="32" t="str">
        <x:v>Specialist</x:v>
      </x:c>
      <x:c r="E258" s="32" t="str">
        <x:v>Ad insertion</x:v>
      </x:c>
      <x:c r="F258" s="32" t="str">
        <x:v>Server-side ad insertion</x:v>
      </x:c>
      <x:c r="G258" s="32" t="str">
        <x:v>Personalise and insert advertising into streaming video on the server side.</x:v>
      </x:c>
      <x:c r="H258" s="32" t="str">
        <x:v>Choose this capability when you need to personalise and insert advertising into streaming video on the server side.</x:v>
      </x:c>
      <x:c r="I258" s="32" t="str">
        <x:v>What business outcome, scale, control, integration and operating model justify choosing server-side ad insertion?</x:v>
      </x:c>
      <x:c r="J258" s="32" t="str">
        <x:v>Native integration and speed versus portability, governance effort and total cost.</x:v>
      </x:c>
      <x:c r="K258" s="32" t="n">
        <x:v>3</x:v>
      </x:c>
      <x:c r="L258" s="32" t="str">
        <x:v>Moderate</x:v>
      </x:c>
      <x:c r="M258" s="32" t="str">
        <x:v>1–3 weeks</x:v>
      </x:c>
      <x:c r="N258" s="32" t="str">
        <x:v>Medium</x:v>
      </x:c>
      <x:c r="O258" s="32" t="str">
        <x:v>AWS Elemental MediaTailor</x:v>
      </x:c>
      <x:c r="P258" s="32" t="str">
        <x:v>partner ad-insertion services on Azure</x:v>
      </x:c>
      <x:c r="Q258" s="32" t="str">
        <x:v>Video Stitcher API</x:v>
      </x:c>
      <x:c r="R258" s="32" t="n">
        <x:f>'Provider Ratings'!AD258</x:f>
        <x:v>3.77</x:v>
      </x:c>
      <x:c r="S258" s="32" t="n">
        <x:f>'Provider Ratings'!AE258</x:f>
        <x:v>3.2</x:v>
      </x:c>
      <x:c r="T258" s="32" t="n">
        <x:f>'Provider Ratings'!AF258</x:f>
        <x:v>3.62</x:v>
      </x:c>
      <x:c r="U258" s="32" t="str">
        <x:f>'Provider Ratings'!AG258</x:f>
        <x:v>AWS</x:v>
      </x:c>
      <x:c r="V258" s="32" t="str">
        <x:f>'Provider Ratings'!AH258</x:f>
        <x:v>Start with AWS when infrastructure breadth, native integration and operational maturity are the main differentiators.</x:v>
      </x:c>
      <x:c r="W258" s="32" t="str">
        <x:v>Partial</x:v>
      </x:c>
      <x:c r="X258" s="32"/>
      <x:c r="Y258" s="32" t="str">
        <x:v>2026-07-12</x:v>
      </x:c>
    </x:row>
    <x:row r="259">
      <x:c r="A259" s="32" t="str">
        <x:v>10 Edge, IoT &amp; Industry</x:v>
      </x:c>
      <x:c r="B259" s="32" t="str">
        <x:v>Media &amp; Communications</x:v>
      </x:c>
      <x:c r="C259" s="32" t="str">
        <x:v>Media, Communications &amp; Location</x:v>
      </x:c>
      <x:c r="D259" s="32" t="str">
        <x:v>Specialist</x:v>
      </x:c>
      <x:c r="E259" s="32" t="str">
        <x:v>Communications APIs</x:v>
      </x:c>
      <x:c r="F259" s="32" t="str">
        <x:v>Programmable communications</x:v>
      </x:c>
      <x:c r="G259" s="32" t="str">
        <x:v>Add voice, video, chat, SMS or email communications to applications.</x:v>
      </x:c>
      <x:c r="H259" s="32" t="str">
        <x:v>Choose this capability when you need to add voice, video, chat, sms or email communications to applications.</x:v>
      </x:c>
      <x:c r="I259" s="32" t="str">
        <x:v>What business outcome, scale, control, integration and operating model justify choosing programmable communications?</x:v>
      </x:c>
      <x:c r="J259" s="32" t="str">
        <x:v>Native integration and speed versus portability, governance effort and total cost.</x:v>
      </x:c>
      <x:c r="K259" s="32" t="n">
        <x:v>3</x:v>
      </x:c>
      <x:c r="L259" s="32" t="str">
        <x:v>Moderate</x:v>
      </x:c>
      <x:c r="M259" s="32" t="str">
        <x:v>1–3 weeks</x:v>
      </x:c>
      <x:c r="N259" s="32" t="str">
        <x:v>Medium</x:v>
      </x:c>
      <x:c r="O259" s="32" t="str">
        <x:v>Amazon Chime SDK
Amazon Connect</x:v>
      </x:c>
      <x:c r="P259" s="32" t="str">
        <x:v>Azure Communication Services</x:v>
      </x:c>
      <x:c r="Q259" s="32" t="str">
        <x:v>Google Cloud CCaaS / partner communications APIs</x:v>
      </x:c>
      <x:c r="R259" s="32" t="n">
        <x:f>'Provider Ratings'!AD259</x:f>
        <x:v>3.68</x:v>
      </x:c>
      <x:c r="S259" s="32" t="n">
        <x:f>'Provider Ratings'!AE259</x:f>
        <x:v>3.65</x:v>
      </x:c>
      <x:c r="T259" s="32" t="n">
        <x:f>'Provider Ratings'!AF259</x:f>
        <x:v>3.16</x:v>
      </x:c>
      <x:c r="U259" s="32" t="str">
        <x:f>'Provider Ratings'!AG259</x:f>
        <x:v>Context-dependent tie</x:v>
      </x:c>
      <x:c r="V259" s="32" t="str">
        <x:f>'Provider Ratings'!AH259</x:f>
        <x:v>Scores are close: use ecosystem, data gravity, region, skills, commercials and proof-of-value results to decide.</x:v>
      </x:c>
      <x:c r="W259" s="32" t="str">
        <x:v>Partial</x:v>
      </x:c>
      <x:c r="X259" s="32"/>
      <x:c r="Y259" s="32" t="str">
        <x:v>2026-07-12</x:v>
      </x:c>
    </x:row>
    <x:row r="260">
      <x:c r="A260" s="32" t="str">
        <x:v>10 Edge, IoT &amp; Industry</x:v>
      </x:c>
      <x:c r="B260" s="32" t="str">
        <x:v>Media &amp; Communications</x:v>
      </x:c>
      <x:c r="C260" s="32" t="str">
        <x:v>Media, Communications &amp; Location</x:v>
      </x:c>
      <x:c r="D260" s="32" t="str">
        <x:v>Specialist</x:v>
      </x:c>
      <x:c r="E260" s="32" t="str">
        <x:v>Maps</x:v>
      </x:c>
      <x:c r="F260" s="32" t="str">
        <x:v>Maps and geospatial APIs</x:v>
      </x:c>
      <x:c r="G260" s="32" t="str">
        <x:v>Add maps, geocoding, routing and location features to applications.</x:v>
      </x:c>
      <x:c r="H260" s="32" t="str">
        <x:v>Choose this capability when you need to add maps, geocoding, routing and location features to applications.</x:v>
      </x:c>
      <x:c r="I260" s="32" t="str">
        <x:v>What business outcome, scale, control, integration and operating model justify choosing maps and geospatial apis?</x:v>
      </x:c>
      <x:c r="J260" s="32" t="str">
        <x:v>Native integration and speed versus portability, governance effort and total cost.</x:v>
      </x:c>
      <x:c r="K260" s="32" t="n">
        <x:v>3</x:v>
      </x:c>
      <x:c r="L260" s="32" t="str">
        <x:v>Moderate</x:v>
      </x:c>
      <x:c r="M260" s="32" t="str">
        <x:v>1–3 weeks</x:v>
      </x:c>
      <x:c r="N260" s="32" t="str">
        <x:v>Medium</x:v>
      </x:c>
      <x:c r="O260" s="32" t="str">
        <x:v>Amazon Location Service</x:v>
      </x:c>
      <x:c r="P260" s="32" t="str">
        <x:v>Azure Maps</x:v>
      </x:c>
      <x:c r="Q260" s="32" t="str">
        <x:v>Google Maps Platform</x:v>
      </x:c>
      <x:c r="R260" s="32" t="n">
        <x:f>'Provider Ratings'!AD260</x:f>
        <x:v>3.94</x:v>
      </x:c>
      <x:c r="S260" s="32" t="n">
        <x:f>'Provider Ratings'!AE260</x:f>
        <x:v>3.84</x:v>
      </x:c>
      <x:c r="T260" s="32" t="n">
        <x:f>'Provider Ratings'!AF260</x:f>
        <x:v>3.81</x:v>
      </x:c>
      <x:c r="U260" s="32" t="str">
        <x:f>'Provider Ratings'!AG260</x:f>
        <x:v>Context-dependent tie</x:v>
      </x:c>
      <x:c r="V260" s="32" t="str">
        <x:f>'Provider Ratings'!AH260</x:f>
        <x:v>Scores are close: use ecosystem, data gravity, region, skills, commercials and proof-of-value results to decide.</x:v>
      </x:c>
      <x:c r="W260" s="32" t="str">
        <x:v>Close</x:v>
      </x:c>
      <x:c r="X260" s="32"/>
      <x:c r="Y260" s="32" t="str">
        <x:v>2026-07-12</x:v>
      </x:c>
    </x:row>
    <x:row r="261">
      <x:c r="A261" s="32" t="str">
        <x:v>10 Edge, IoT &amp; Industry</x:v>
      </x:c>
      <x:c r="B261" s="32" t="str">
        <x:v>Media &amp; Communications</x:v>
      </x:c>
      <x:c r="C261" s="32" t="str">
        <x:v>Media, Communications &amp; Location</x:v>
      </x:c>
      <x:c r="D261" s="32" t="str">
        <x:v>Specialist</x:v>
      </x:c>
      <x:c r="E261" s="32" t="str">
        <x:v>Game servers</x:v>
      </x:c>
      <x:c r="F261" s="32" t="str">
        <x:v>Managed multiplayer game servers</x:v>
      </x:c>
      <x:c r="G261" s="32" t="str">
        <x:v>Deploy, scale and operate session-based multiplayer game server fleets.</x:v>
      </x:c>
      <x:c r="H261" s="32" t="str">
        <x:v>Choose this capability when you need to deploy, scale and operate session-based multiplayer game server fleets.</x:v>
      </x:c>
      <x:c r="I261" s="32" t="str">
        <x:v>What business outcome, scale, control, integration and operating model justify choosing managed multiplayer game servers?</x:v>
      </x:c>
      <x:c r="J261" s="32" t="str">
        <x:v>Native integration and speed versus portability, governance effort and total cost.</x:v>
      </x:c>
      <x:c r="K261" s="32" t="n">
        <x:v>3</x:v>
      </x:c>
      <x:c r="L261" s="32" t="str">
        <x:v>Moderate</x:v>
      </x:c>
      <x:c r="M261" s="32" t="str">
        <x:v>1–3 weeks</x:v>
      </x:c>
      <x:c r="N261" s="32" t="str">
        <x:v>Medium</x:v>
      </x:c>
      <x:c r="O261" s="32" t="str">
        <x:v>Amazon GameLift Servers</x:v>
      </x:c>
      <x:c r="P261" s="32" t="str">
        <x:v>PlayFab Multiplayer Servers</x:v>
      </x:c>
      <x:c r="Q261" s="32" t="str">
        <x:v>Agones on Google Kubernetes Engine</x:v>
      </x:c>
      <x:c r="R261" s="32" t="n">
        <x:f>'Provider Ratings'!AD261</x:f>
        <x:v>3.94</x:v>
      </x:c>
      <x:c r="S261" s="32" t="n">
        <x:f>'Provider Ratings'!AE261</x:f>
        <x:v>3.84</x:v>
      </x:c>
      <x:c r="T261" s="32" t="n">
        <x:f>'Provider Ratings'!AF261</x:f>
        <x:v>3.81</x:v>
      </x:c>
      <x:c r="U261" s="32" t="str">
        <x:f>'Provider Ratings'!AG261</x:f>
        <x:v>Context-dependent tie</x:v>
      </x:c>
      <x:c r="V261" s="32" t="str">
        <x:f>'Provider Ratings'!AH261</x:f>
        <x:v>Scores are close: use ecosystem, data gravity, region, skills, commercials and proof-of-value results to decide.</x:v>
      </x:c>
      <x:c r="W261" s="32" t="str">
        <x:v>Close</x:v>
      </x:c>
      <x:c r="X261" s="32"/>
      <x:c r="Y261" s="32" t="str">
        <x:v>2026-07-12</x:v>
      </x:c>
    </x:row>
    <x:row r="262">
      <x:c r="A262" s="32" t="str">
        <x:v>08 Applications, APIs &amp; Integration</x:v>
      </x:c>
      <x:c r="B262" s="32" t="str">
        <x:v>End-User Computing &amp; Business Apps</x:v>
      </x:c>
      <x:c r="C262" s="32" t="str">
        <x:v>End-User, Collaboration &amp; Contact Centre</x:v>
      </x:c>
      <x:c r="D262" s="32" t="str">
        <x:v>Workload</x:v>
      </x:c>
      <x:c r="E262" s="32" t="str">
        <x:v>Virtual desktops</x:v>
      </x:c>
      <x:c r="F262" s="32" t="str">
        <x:v>Managed virtual desktop</x:v>
      </x:c>
      <x:c r="G262" s="32" t="str">
        <x:v>Deliver cloud-hosted desktops and applications to end users.</x:v>
      </x:c>
      <x:c r="H262" s="32" t="str">
        <x:v>Choose this capability when you need to deliver cloud-hosted desktops and applications to end users.</x:v>
      </x:c>
      <x:c r="I262" s="32" t="str">
        <x:v>What business outcome, scale, control, integration and operating model justify choosing managed virtual desktop?</x:v>
      </x:c>
      <x:c r="J262" s="32" t="str">
        <x:v>Time to market versus platform constraints and vendor lock-in.</x:v>
      </x:c>
      <x:c r="K262" s="32" t="n">
        <x:v>3</x:v>
      </x:c>
      <x:c r="L262" s="32" t="str">
        <x:v>Moderate</x:v>
      </x:c>
      <x:c r="M262" s="32" t="str">
        <x:v>1–3 weeks</x:v>
      </x:c>
      <x:c r="N262" s="32" t="str">
        <x:v>High</x:v>
      </x:c>
      <x:c r="O262" s="32" t="str">
        <x:v>Amazon WorkSpaces</x:v>
      </x:c>
      <x:c r="P262" s="32" t="str">
        <x:v>Azure Virtual Desktop
Windows 365</x:v>
      </x:c>
      <x:c r="Q262" s="32" t="str">
        <x:v>partner virtual desktop solutions on Google Cloud</x:v>
      </x:c>
      <x:c r="R262" s="32" t="n">
        <x:f>'Provider Ratings'!AD262</x:f>
        <x:v>3.6</x:v>
      </x:c>
      <x:c r="S262" s="32" t="n">
        <x:f>'Provider Ratings'!AE262</x:f>
        <x:v>3.79</x:v>
      </x:c>
      <x:c r="T262" s="32" t="n">
        <x:f>'Provider Ratings'!AF262</x:f>
        <x:v>3.12</x:v>
      </x:c>
      <x:c r="U262" s="32" t="str">
        <x:f>'Provider Ratings'!AG262</x:f>
        <x:v>Azure</x:v>
      </x:c>
      <x:c r="V262" s="32" t="str">
        <x:f>'Provider Ratings'!AH262</x:f>
        <x:v>Start with Azure when Microsoft identity, security, data, productivity or hybrid integration reduces delivery effort.</x:v>
      </x:c>
      <x:c r="W262" s="32" t="str">
        <x:v>Partial</x:v>
      </x:c>
      <x:c r="X262" s="32"/>
      <x:c r="Y262" s="32" t="str">
        <x:v>2026-07-12</x:v>
      </x:c>
    </x:row>
    <x:row r="263">
      <x:c r="A263" s="32" t="str">
        <x:v>08 Applications, APIs &amp; Integration</x:v>
      </x:c>
      <x:c r="B263" s="32" t="str">
        <x:v>End-User Computing &amp; Business Apps</x:v>
      </x:c>
      <x:c r="C263" s="32" t="str">
        <x:v>End-User, Collaboration &amp; Contact Centre</x:v>
      </x:c>
      <x:c r="D263" s="32" t="str">
        <x:v>Workload</x:v>
      </x:c>
      <x:c r="E263" s="32" t="str">
        <x:v>Application streaming</x:v>
      </x:c>
      <x:c r="F263" s="32" t="str">
        <x:v>Application streaming</x:v>
      </x:c>
      <x:c r="G263" s="32" t="str">
        <x:v>Stream centrally managed desktop applications to users without full local installation.</x:v>
      </x:c>
      <x:c r="H263" s="32" t="str">
        <x:v>Choose this capability when you need to stream centrally managed desktop applications to users without full local installation.</x:v>
      </x:c>
      <x:c r="I263" s="32" t="str">
        <x:v>What business outcome, scale, control, integration and operating model justify choosing application streaming?</x:v>
      </x:c>
      <x:c r="J263" s="32" t="str">
        <x:v>Time to market versus platform constraints and vendor lock-in.</x:v>
      </x:c>
      <x:c r="K263" s="32" t="n">
        <x:v>3</x:v>
      </x:c>
      <x:c r="L263" s="32" t="str">
        <x:v>Moderate</x:v>
      </x:c>
      <x:c r="M263" s="32" t="str">
        <x:v>1–3 weeks</x:v>
      </x:c>
      <x:c r="N263" s="32" t="str">
        <x:v>High</x:v>
      </x:c>
      <x:c r="O263" s="32" t="str">
        <x:v>Amazon WorkSpaces Applications</x:v>
      </x:c>
      <x:c r="P263" s="32" t="str">
        <x:v>Azure Virtual Desktop RemoteApp</x:v>
      </x:c>
      <x:c r="Q263" s="32" t="str">
        <x:v>partner application streaming on Google Cloud</x:v>
      </x:c>
      <x:c r="R263" s="32" t="n">
        <x:f>'Provider Ratings'!AD263</x:f>
        <x:v>3.78</x:v>
      </x:c>
      <x:c r="S263" s="32" t="n">
        <x:f>'Provider Ratings'!AE263</x:f>
        <x:v>4.07</x:v>
      </x:c>
      <x:c r="T263" s="32" t="n">
        <x:f>'Provider Ratings'!AF263</x:f>
        <x:v>3.43</x:v>
      </x:c>
      <x:c r="U263" s="32" t="str">
        <x:f>'Provider Ratings'!AG263</x:f>
        <x:v>Azure</x:v>
      </x:c>
      <x:c r="V263" s="32" t="str">
        <x:f>'Provider Ratings'!AH263</x:f>
        <x:v>Start with Azure when Microsoft identity, security, data, productivity or hybrid integration reduces delivery effort.</x:v>
      </x:c>
      <x:c r="W263" s="32" t="str">
        <x:v>Close</x:v>
      </x:c>
      <x:c r="X263" s="32"/>
      <x:c r="Y263" s="32" t="str">
        <x:v>2026-07-12</x:v>
      </x:c>
    </x:row>
    <x:row r="264">
      <x:c r="A264" s="32" t="str">
        <x:v>08 Applications, APIs &amp; Integration</x:v>
      </x:c>
      <x:c r="B264" s="32" t="str">
        <x:v>End-User Computing &amp; Business Apps</x:v>
      </x:c>
      <x:c r="C264" s="32" t="str">
        <x:v>End-User, Collaboration &amp; Contact Centre</x:v>
      </x:c>
      <x:c r="D264" s="32" t="str">
        <x:v>Workload</x:v>
      </x:c>
      <x:c r="E264" s="32" t="str">
        <x:v>Contact centre</x:v>
      </x:c>
      <x:c r="F264" s="32" t="str">
        <x:v>Cloud contact centre</x:v>
      </x:c>
      <x:c r="G264" s="32" t="str">
        <x:v>Provide omnichannel routing, agent desktops, analytics and automation for customer service.</x:v>
      </x:c>
      <x:c r="H264" s="32" t="str">
        <x:v>Choose this capability when you need to provide omnichannel routing, agent desktops, analytics and automation for customer service.</x:v>
      </x:c>
      <x:c r="I264" s="32" t="str">
        <x:v>What business outcome, scale, control, integration and operating model justify choosing cloud contact centre?</x:v>
      </x:c>
      <x:c r="J264" s="32" t="str">
        <x:v>Time to market versus platform constraints and vendor lock-in.</x:v>
      </x:c>
      <x:c r="K264" s="32" t="n">
        <x:v>3</x:v>
      </x:c>
      <x:c r="L264" s="32" t="str">
        <x:v>Moderate</x:v>
      </x:c>
      <x:c r="M264" s="32" t="str">
        <x:v>1–3 weeks</x:v>
      </x:c>
      <x:c r="N264" s="32" t="str">
        <x:v>High</x:v>
      </x:c>
      <x:c r="O264" s="32" t="str">
        <x:v>Amazon Connect</x:v>
      </x:c>
      <x:c r="P264" s="32" t="str">
        <x:v>Dynamics 365 Contact Center
Azure Communication Services</x:v>
      </x:c>
      <x:c r="Q264" s="32" t="str">
        <x:v>Google Cloud CCaaS</x:v>
      </x:c>
      <x:c r="R264" s="32" t="n">
        <x:f>'Provider Ratings'!AD264</x:f>
        <x:v>3.78</x:v>
      </x:c>
      <x:c r="S264" s="32" t="n">
        <x:f>'Provider Ratings'!AE264</x:f>
        <x:v>3.96</x:v>
      </x:c>
      <x:c r="T264" s="32" t="n">
        <x:f>'Provider Ratings'!AF264</x:f>
        <x:v>3.77</x:v>
      </x:c>
      <x:c r="U264" s="32" t="str">
        <x:f>'Provider Ratings'!AG264</x:f>
        <x:v>Azure</x:v>
      </x:c>
      <x:c r="V264" s="32" t="str">
        <x:f>'Provider Ratings'!AH264</x:f>
        <x:v>Start with Azure when Microsoft identity, security, data, productivity or hybrid integration reduces delivery effort.</x:v>
      </x:c>
      <x:c r="W264" s="32" t="str">
        <x:v>Close</x:v>
      </x:c>
      <x:c r="X264" s="32"/>
      <x:c r="Y264" s="32" t="str">
        <x:v>2026-07-12</x:v>
      </x:c>
    </x:row>
    <x:row r="265">
      <x:c r="A265" s="32" t="str">
        <x:v>08 Applications, APIs &amp; Integration</x:v>
      </x:c>
      <x:c r="B265" s="32" t="str">
        <x:v>End-User Computing &amp; Business Apps</x:v>
      </x:c>
      <x:c r="C265" s="32" t="str">
        <x:v>End-User, Collaboration &amp; Contact Centre</x:v>
      </x:c>
      <x:c r="D265" s="32" t="str">
        <x:v>Workload</x:v>
      </x:c>
      <x:c r="E265" s="32" t="str">
        <x:v>Business email</x:v>
      </x:c>
      <x:c r="F265" s="32" t="str">
        <x:v>Managed business email</x:v>
      </x:c>
      <x:c r="G265" s="32" t="str">
        <x:v>Host managed organisational email and calendaring.</x:v>
      </x:c>
      <x:c r="H265" s="32" t="str">
        <x:v>Choose this capability when you need to host managed organisational email and calendaring.</x:v>
      </x:c>
      <x:c r="I265" s="32" t="str">
        <x:v>What business outcome, scale, control, integration and operating model justify choosing managed business email?</x:v>
      </x:c>
      <x:c r="J265" s="32" t="str">
        <x:v>Time to market versus platform constraints and vendor lock-in.</x:v>
      </x:c>
      <x:c r="K265" s="32" t="n">
        <x:v>3</x:v>
      </x:c>
      <x:c r="L265" s="32" t="str">
        <x:v>Moderate</x:v>
      </x:c>
      <x:c r="M265" s="32" t="str">
        <x:v>1–3 weeks</x:v>
      </x:c>
      <x:c r="N265" s="32" t="str">
        <x:v>High</x:v>
      </x:c>
      <x:c r="O265" s="32" t="str">
        <x:v>Amazon WorkMail</x:v>
      </x:c>
      <x:c r="P265" s="32" t="str">
        <x:v>Microsoft Exchange Online</x:v>
      </x:c>
      <x:c r="Q265" s="32" t="str">
        <x:v>Google Workspace Gmail</x:v>
      </x:c>
      <x:c r="R265" s="32" t="n">
        <x:f>'Provider Ratings'!AD265</x:f>
        <x:v>3.85</x:v>
      </x:c>
      <x:c r="S265" s="32" t="n">
        <x:f>'Provider Ratings'!AE265</x:f>
        <x:v>4.13</x:v>
      </x:c>
      <x:c r="T265" s="32" t="n">
        <x:f>'Provider Ratings'!AF265</x:f>
        <x:v>3.87</x:v>
      </x:c>
      <x:c r="U265" s="32" t="str">
        <x:f>'Provider Ratings'!AG265</x:f>
        <x:v>Azure</x:v>
      </x:c>
      <x:c r="V265" s="32" t="str">
        <x:f>'Provider Ratings'!AH265</x:f>
        <x:v>Start with Azure when Microsoft identity, security, data, productivity or hybrid integration reduces delivery effort.</x:v>
      </x:c>
      <x:c r="W265" s="32" t="str">
        <x:v>Exact</x:v>
      </x:c>
      <x:c r="X265" s="32" t="str">
        <x:v>Microsoft 365 and Google Workspace sit outside the core Azure/GCP infrastructure catalogues but are the closest provider alternatives.</x:v>
      </x:c>
      <x:c r="Y265" s="32" t="str">
        <x:v>2026-07-12</x:v>
      </x:c>
    </x:row>
    <x:row r="266">
      <x:c r="A266" s="32" t="str">
        <x:v>08 Applications, APIs &amp; Integration</x:v>
      </x:c>
      <x:c r="B266" s="32" t="str">
        <x:v>End-User Computing &amp; Business Apps</x:v>
      </x:c>
      <x:c r="C266" s="32" t="str">
        <x:v>End-User, Collaboration &amp; Contact Centre</x:v>
      </x:c>
      <x:c r="D266" s="32" t="str">
        <x:v>Workload</x:v>
      </x:c>
      <x:c r="E266" s="32" t="str">
        <x:v>Collaboration</x:v>
      </x:c>
      <x:c r="F266" s="32" t="str">
        <x:v>Business collaboration</x:v>
      </x:c>
      <x:c r="G266" s="32" t="str">
        <x:v>Provide meetings, chat, content collaboration and productivity capabilities.</x:v>
      </x:c>
      <x:c r="H266" s="32" t="str">
        <x:v>Choose this capability when you need to provide meetings, chat, content collaboration and productivity capabilities.</x:v>
      </x:c>
      <x:c r="I266" s="32" t="str">
        <x:v>What business outcome, scale, control, integration and operating model justify choosing business collaboration?</x:v>
      </x:c>
      <x:c r="J266" s="32" t="str">
        <x:v>Time to market versus platform constraints and vendor lock-in.</x:v>
      </x:c>
      <x:c r="K266" s="32" t="n">
        <x:v>3</x:v>
      </x:c>
      <x:c r="L266" s="32" t="str">
        <x:v>Moderate</x:v>
      </x:c>
      <x:c r="M266" s="32" t="str">
        <x:v>1–3 weeks</x:v>
      </x:c>
      <x:c r="N266" s="32" t="str">
        <x:v>High</x:v>
      </x:c>
      <x:c r="O266" s="32" t="str">
        <x:v>Amazon Chime
Amazon WorkDocs</x:v>
      </x:c>
      <x:c r="P266" s="32" t="str">
        <x:v>Microsoft Teams
SharePoint Online</x:v>
      </x:c>
      <x:c r="Q266" s="32" t="str">
        <x:v>Google Workspace</x:v>
      </x:c>
      <x:c r="R266" s="32" t="n">
        <x:f>'Provider Ratings'!AD266</x:f>
        <x:v>3.51</x:v>
      </x:c>
      <x:c r="S266" s="32" t="n">
        <x:f>'Provider Ratings'!AE266</x:f>
        <x:v>3.79</x:v>
      </x:c>
      <x:c r="T266" s="32" t="n">
        <x:f>'Provider Ratings'!AF266</x:f>
        <x:v>3.58</x:v>
      </x:c>
      <x:c r="U266" s="32" t="str">
        <x:f>'Provider Ratings'!AG266</x:f>
        <x:v>Azure</x:v>
      </x:c>
      <x:c r="V266" s="32" t="str">
        <x:f>'Provider Ratings'!AH266</x:f>
        <x:v>Start with Azure when Microsoft identity, security, data, productivity or hybrid integration reduces delivery effort.</x:v>
      </x:c>
      <x:c r="W266" s="32" t="str">
        <x:v>Partial</x:v>
      </x:c>
      <x:c r="X266" s="32"/>
      <x:c r="Y266" s="32" t="str">
        <x:v>2026-07-12</x:v>
      </x:c>
    </x:row>
    <x:row r="267">
      <x:c r="A267" s="32" t="str">
        <x:v>10 Edge, IoT &amp; Industry</x:v>
      </x:c>
      <x:c r="B267" s="32" t="str">
        <x:v>Industry &amp; Specialist</x:v>
      </x:c>
      <x:c r="C267" s="32" t="str">
        <x:v>Industry &amp; Sovereign Solutions</x:v>
      </x:c>
      <x:c r="D267" s="32" t="str">
        <x:v>Specialist</x:v>
      </x:c>
      <x:c r="E267" s="32" t="str">
        <x:v>Satellite</x:v>
      </x:c>
      <x:c r="F267" s="32" t="str">
        <x:v>Ground-station as a service</x:v>
      </x:c>
      <x:c r="G267" s="32" t="str">
        <x:v>Schedule satellite contacts and downlink data through managed ground-station infrastructure.</x:v>
      </x:c>
      <x:c r="H267" s="32" t="str">
        <x:v>Choose this capability when you need to schedule satellite contacts and downlink data through managed ground-station infrastructure.</x:v>
      </x:c>
      <x:c r="I267" s="32" t="str">
        <x:v>What business outcome, scale, control, integration and operating model justify choosing ground-station as a service?</x:v>
      </x:c>
      <x:c r="J267" s="32" t="str">
        <x:v>Native integration and speed versus portability, governance effort and total cost.</x:v>
      </x:c>
      <x:c r="K267" s="32" t="n">
        <x:v>3</x:v>
      </x:c>
      <x:c r="L267" s="32" t="str">
        <x:v>Moderate</x:v>
      </x:c>
      <x:c r="M267" s="32" t="str">
        <x:v>1–3 weeks</x:v>
      </x:c>
      <x:c r="N267" s="32" t="str">
        <x:v>Medium</x:v>
      </x:c>
      <x:c r="O267" s="32" t="str">
        <x:v>AWS Ground Station</x:v>
      </x:c>
      <x:c r="P267" s="32" t="str">
        <x:v>Azure Orbital Ground Station</x:v>
      </x:c>
      <x:c r="Q267" s="32" t="str">
        <x:v>Google Cloud Ground Station partner ecosystem</x:v>
      </x:c>
      <x:c r="R267" s="32" t="n">
        <x:f>'Provider Ratings'!AD267</x:f>
        <x:v>3.94</x:v>
      </x:c>
      <x:c r="S267" s="32" t="n">
        <x:f>'Provider Ratings'!AE267</x:f>
        <x:v>3.84</x:v>
      </x:c>
      <x:c r="T267" s="32" t="n">
        <x:f>'Provider Ratings'!AF267</x:f>
        <x:v>3.34</x:v>
      </x:c>
      <x:c r="U267" s="32" t="str">
        <x:f>'Provider Ratings'!AG267</x:f>
        <x:v>Context-dependent tie</x:v>
      </x:c>
      <x:c r="V267" s="32" t="str">
        <x:f>'Provider Ratings'!AH267</x:f>
        <x:v>Scores are close: use ecosystem, data gravity, region, skills, commercials and proof-of-value results to decide.</x:v>
      </x:c>
      <x:c r="W267" s="32" t="str">
        <x:v>Close</x:v>
      </x:c>
      <x:c r="X267" s="32"/>
      <x:c r="Y267" s="32" t="str">
        <x:v>2026-07-12</x:v>
      </x:c>
    </x:row>
    <x:row r="268">
      <x:c r="A268" s="32" t="str">
        <x:v>10 Edge, IoT &amp; Industry</x:v>
      </x:c>
      <x:c r="B268" s="32" t="str">
        <x:v>Industry &amp; Specialist</x:v>
      </x:c>
      <x:c r="C268" s="32" t="str">
        <x:v>Industry &amp; Sovereign Solutions</x:v>
      </x:c>
      <x:c r="D268" s="32" t="str">
        <x:v>Specialist</x:v>
      </x:c>
      <x:c r="E268" s="32" t="str">
        <x:v>Financial crime</x:v>
      </x:c>
      <x:c r="F268" s="32" t="str">
        <x:v>Anti-money-laundering AI</x:v>
      </x:c>
      <x:c r="G268" s="32" t="str">
        <x:v>Detect suspicious financial activity using specialised data and AI capabilities.</x:v>
      </x:c>
      <x:c r="H268" s="32" t="str">
        <x:v>Choose this capability when you need to detect suspicious financial activity using specialised data and ai capabilities.</x:v>
      </x:c>
      <x:c r="I268" s="32" t="str">
        <x:v>What business outcome, scale, control, integration and operating model justify choosing anti-money-laundering ai?</x:v>
      </x:c>
      <x:c r="J268" s="32" t="str">
        <x:v>Native integration and speed versus portability, governance effort and total cost.</x:v>
      </x:c>
      <x:c r="K268" s="32" t="n">
        <x:v>3</x:v>
      </x:c>
      <x:c r="L268" s="32" t="str">
        <x:v>Moderate</x:v>
      </x:c>
      <x:c r="M268" s="32" t="str">
        <x:v>1–3 weeks</x:v>
      </x:c>
      <x:c r="N268" s="32" t="str">
        <x:v>Medium</x:v>
      </x:c>
      <x:c r="O268" s="32" t="str">
        <x:v>Amazon Fraud Detector
SageMaker AI</x:v>
      </x:c>
      <x:c r="P268" s="32" t="str">
        <x:v>Microsoft Cloud for Financial Services
Azure Machine Learning</x:v>
      </x:c>
      <x:c r="Q268" s="32" t="str">
        <x:v>Anti Money Laundering AI</x:v>
      </x:c>
      <x:c r="R268" s="32" t="n">
        <x:f>'Provider Ratings'!AD268</x:f>
        <x:v>3.68</x:v>
      </x:c>
      <x:c r="S268" s="32" t="n">
        <x:f>'Provider Ratings'!AE268</x:f>
        <x:v>3.56</x:v>
      </x:c>
      <x:c r="T268" s="32" t="n">
        <x:f>'Provider Ratings'!AF268</x:f>
        <x:v>3.66</x:v>
      </x:c>
      <x:c r="U268" s="32" t="str">
        <x:f>'Provider Ratings'!AG268</x:f>
        <x:v>Context-dependent tie</x:v>
      </x:c>
      <x:c r="V268" s="32" t="str">
        <x:f>'Provider Ratings'!AH268</x:f>
        <x:v>Scores are close: use ecosystem, data gravity, region, skills, commercials and proof-of-value results to decide.</x:v>
      </x:c>
      <x:c r="W268" s="32" t="str">
        <x:v>Partial</x:v>
      </x:c>
      <x:c r="X268" s="32"/>
      <x:c r="Y268" s="32" t="str">
        <x:v>2026-07-12</x:v>
      </x:c>
    </x:row>
    <x:row r="269">
      <x:c r="A269" s="32" t="str">
        <x:v>10 Edge, IoT &amp; Industry</x:v>
      </x:c>
      <x:c r="B269" s="32" t="str">
        <x:v>Industry &amp; Specialist</x:v>
      </x:c>
      <x:c r="C269" s="32" t="str">
        <x:v>Industry &amp; Sovereign Solutions</x:v>
      </x:c>
      <x:c r="D269" s="32" t="str">
        <x:v>Specialist</x:v>
      </x:c>
      <x:c r="E269" s="32" t="str">
        <x:v>Retail search</x:v>
      </x:c>
      <x:c r="F269" s="32" t="str">
        <x:v>Retail product search and discovery</x:v>
      </x:c>
      <x:c r="G269" s="32" t="str">
        <x:v>Provide semantic product search, recommendations and retail discovery.</x:v>
      </x:c>
      <x:c r="H269" s="32" t="str">
        <x:v>Choose this capability when you need to provide semantic product search, recommendations and retail discovery.</x:v>
      </x:c>
      <x:c r="I269" s="32" t="str">
        <x:v>What business outcome, scale, control, integration and operating model justify choosing retail product search and discovery?</x:v>
      </x:c>
      <x:c r="J269" s="32" t="str">
        <x:v>Native integration and speed versus portability, governance effort and total cost.</x:v>
      </x:c>
      <x:c r="K269" s="32" t="n">
        <x:v>3</x:v>
      </x:c>
      <x:c r="L269" s="32" t="str">
        <x:v>Moderate</x:v>
      </x:c>
      <x:c r="M269" s="32" t="str">
        <x:v>1–3 weeks</x:v>
      </x:c>
      <x:c r="N269" s="32" t="str">
        <x:v>Medium</x:v>
      </x:c>
      <x:c r="O269" s="32" t="str">
        <x:v>Amazon Personalize
Amazon OpenSearch Service</x:v>
      </x:c>
      <x:c r="P269" s="32" t="str">
        <x:v>Azure AI Search
Dynamics 365 Commerce</x:v>
      </x:c>
      <x:c r="Q269" s="32" t="str">
        <x:v>AI Commerce Search
Vision API Product Search</x:v>
      </x:c>
      <x:c r="R269" s="32" t="n">
        <x:f>'Provider Ratings'!AD269</x:f>
        <x:v>3.83</x:v>
      </x:c>
      <x:c r="S269" s="32" t="n">
        <x:f>'Provider Ratings'!AE269</x:f>
        <x:v>3.75</x:v>
      </x:c>
      <x:c r="T269" s="32" t="n">
        <x:f>'Provider Ratings'!AF269</x:f>
        <x:v>3.74</x:v>
      </x:c>
      <x:c r="U269" s="32" t="str">
        <x:f>'Provider Ratings'!AG269</x:f>
        <x:v>Context-dependent tie</x:v>
      </x:c>
      <x:c r="V269" s="32" t="str">
        <x:f>'Provider Ratings'!AH269</x:f>
        <x:v>Scores are close: use ecosystem, data gravity, region, skills, commercials and proof-of-value results to decide.</x:v>
      </x:c>
      <x:c r="W269" s="32" t="str">
        <x:v>Close</x:v>
      </x:c>
      <x:c r="X269" s="32"/>
      <x:c r="Y269" s="32" t="str">
        <x:v>2026-07-12</x:v>
      </x:c>
    </x:row>
    <x:row r="270">
      <x:c r="A270" s="32" t="str">
        <x:v>10 Edge, IoT &amp; Industry</x:v>
      </x:c>
      <x:c r="B270" s="32" t="str">
        <x:v>Industry &amp; Specialist</x:v>
      </x:c>
      <x:c r="C270" s="32" t="str">
        <x:v>Industry &amp; Sovereign Solutions</x:v>
      </x:c>
      <x:c r="D270" s="32" t="str">
        <x:v>Specialist</x:v>
      </x:c>
      <x:c r="E270" s="32" t="str">
        <x:v>Talent matching</x:v>
      </x:c>
      <x:c r="F270" s="32" t="str">
        <x:v>Talent and job matching</x:v>
      </x:c>
      <x:c r="G270" s="32" t="str">
        <x:v>Match candidates and jobs using specialised search and machine learning.</x:v>
      </x:c>
      <x:c r="H270" s="32" t="str">
        <x:v>Choose this capability when you need to match candidates and jobs using specialised search and machine learning.</x:v>
      </x:c>
      <x:c r="I270" s="32" t="str">
        <x:v>What business outcome, scale, control, integration and operating model justify choosing talent and job matching?</x:v>
      </x:c>
      <x:c r="J270" s="32" t="str">
        <x:v>Native integration and speed versus portability, governance effort and total cost.</x:v>
      </x:c>
      <x:c r="K270" s="32" t="n">
        <x:v>3</x:v>
      </x:c>
      <x:c r="L270" s="32" t="str">
        <x:v>Moderate</x:v>
      </x:c>
      <x:c r="M270" s="32" t="str">
        <x:v>1–3 weeks</x:v>
      </x:c>
      <x:c r="N270" s="32" t="str">
        <x:v>Medium</x:v>
      </x:c>
      <x:c r="O270" s="32" t="str">
        <x:v>Amazon Kendra
SageMaker AI</x:v>
      </x:c>
      <x:c r="P270" s="32" t="str">
        <x:v>Azure AI Search
Azure Machine Learning</x:v>
      </x:c>
      <x:c r="Q270" s="32" t="str">
        <x:v>Cloud Talent Solution</x:v>
      </x:c>
      <x:c r="R270" s="32" t="n">
        <x:f>'Provider Ratings'!AD270</x:f>
        <x:v>3.68</x:v>
      </x:c>
      <x:c r="S270" s="32" t="n">
        <x:f>'Provider Ratings'!AE270</x:f>
        <x:v>3.56</x:v>
      </x:c>
      <x:c r="T270" s="32" t="n">
        <x:f>'Provider Ratings'!AF270</x:f>
        <x:v>3.62</x:v>
      </x:c>
      <x:c r="U270" s="32" t="str">
        <x:f>'Provider Ratings'!AG270</x:f>
        <x:v>Context-dependent tie</x:v>
      </x:c>
      <x:c r="V270" s="32" t="str">
        <x:f>'Provider Ratings'!AH270</x:f>
        <x:v>Scores are close: use ecosystem, data gravity, region, skills, commercials and proof-of-value results to decide.</x:v>
      </x:c>
      <x:c r="W270" s="32" t="str">
        <x:v>Partial</x:v>
      </x:c>
      <x:c r="X270" s="32"/>
      <x:c r="Y270" s="32" t="str">
        <x:v>2026-07-12</x:v>
      </x:c>
    </x:row>
    <x:row r="271">
      <x:c r="A271" s="32" t="str">
        <x:v>10 Edge, IoT &amp; Industry</x:v>
      </x:c>
      <x:c r="B271" s="32" t="str">
        <x:v>Industry &amp; Specialist</x:v>
      </x:c>
      <x:c r="C271" s="32" t="str">
        <x:v>Industry &amp; Sovereign Solutions</x:v>
      </x:c>
      <x:c r="D271" s="32" t="str">
        <x:v>Specialist</x:v>
      </x:c>
      <x:c r="E271" s="32" t="str">
        <x:v>Telecommunications</x:v>
      </x:c>
      <x:c r="F271" s="32" t="str">
        <x:v>Telecom network automation</x:v>
      </x:c>
      <x:c r="G271" s="32" t="str">
        <x:v>Automate and optimise telecom network operations using cloud-native capabilities.</x:v>
      </x:c>
      <x:c r="H271" s="32" t="str">
        <x:v>Choose this capability when you need to automate and optimise telecom network operations using cloud-native capabilities.</x:v>
      </x:c>
      <x:c r="I271" s="32" t="str">
        <x:v>What business outcome, scale, control, integration and operating model justify choosing telecom network automation?</x:v>
      </x:c>
      <x:c r="J271" s="32" t="str">
        <x:v>Native integration and speed versus portability, governance effort and total cost.</x:v>
      </x:c>
      <x:c r="K271" s="32" t="n">
        <x:v>3</x:v>
      </x:c>
      <x:c r="L271" s="32" t="str">
        <x:v>Moderate</x:v>
      </x:c>
      <x:c r="M271" s="32" t="str">
        <x:v>1–3 weeks</x:v>
      </x:c>
      <x:c r="N271" s="32" t="str">
        <x:v>Medium</x:v>
      </x:c>
      <x:c r="O271" s="32" t="str">
        <x:v>AWS Telco Network Builder
AWS Wavelength</x:v>
      </x:c>
      <x:c r="P271" s="32" t="str">
        <x:v>Azure Operator Nexus
Azure Operator Service Manager</x:v>
      </x:c>
      <x:c r="Q271" s="32" t="str">
        <x:v>Telecom Network Automation</x:v>
      </x:c>
      <x:c r="R271" s="32" t="n">
        <x:f>'Provider Ratings'!AD271</x:f>
        <x:v>3.87</x:v>
      </x:c>
      <x:c r="S271" s="32" t="n">
        <x:f>'Provider Ratings'!AE271</x:f>
        <x:v>3.75</x:v>
      </x:c>
      <x:c r="T271" s="32" t="n">
        <x:f>'Provider Ratings'!AF271</x:f>
        <x:v>3.84</x:v>
      </x:c>
      <x:c r="U271" s="32" t="str">
        <x:f>'Provider Ratings'!AG271</x:f>
        <x:v>Context-dependent tie</x:v>
      </x:c>
      <x:c r="V271" s="32" t="str">
        <x:f>'Provider Ratings'!AH271</x:f>
        <x:v>Scores are close: use ecosystem, data gravity, region, skills, commercials and proof-of-value results to decide.</x:v>
      </x:c>
      <x:c r="W271" s="32" t="str">
        <x:v>Close</x:v>
      </x:c>
      <x:c r="X271" s="32"/>
      <x:c r="Y271" s="32" t="str">
        <x:v>2026-07-12</x:v>
      </x:c>
    </x:row>
    <x:row r="272">
      <x:c r="A272" s="32" t="str">
        <x:v>10 Edge, IoT &amp; Industry</x:v>
      </x:c>
      <x:c r="B272" s="32" t="str">
        <x:v>Industry &amp; Specialist</x:v>
      </x:c>
      <x:c r="C272" s="32" t="str">
        <x:v>Industry &amp; Sovereign Solutions</x:v>
      </x:c>
      <x:c r="D272" s="32" t="str">
        <x:v>Specialist</x:v>
      </x:c>
      <x:c r="E272" s="32" t="str">
        <x:v>Sovereign cloud</x:v>
      </x:c>
      <x:c r="F272" s="32" t="str">
        <x:v>Sovereign and regulated cloud controls</x:v>
      </x:c>
      <x:c r="G272" s="32" t="str">
        <x:v>Meet residency, operational sovereignty and regulated-industry control requirements.</x:v>
      </x:c>
      <x:c r="H272" s="32" t="str">
        <x:v>Choose this capability when you need to meet residency, operational sovereignty and regulated-industry control requirements.</x:v>
      </x:c>
      <x:c r="I272" s="32" t="str">
        <x:v>What business outcome, scale, control, integration and operating model justify choosing sovereign and regulated cloud controls?</x:v>
      </x:c>
      <x:c r="J272" s="32" t="str">
        <x:v>Native integration and speed versus portability, governance effort and total cost.</x:v>
      </x:c>
      <x:c r="K272" s="32" t="n">
        <x:v>3</x:v>
      </x:c>
      <x:c r="L272" s="32" t="str">
        <x:v>Moderate</x:v>
      </x:c>
      <x:c r="M272" s="32" t="str">
        <x:v>1–3 weeks</x:v>
      </x:c>
      <x:c r="N272" s="32" t="str">
        <x:v>Medium</x:v>
      </x:c>
      <x:c r="O272" s="32" t="str">
        <x:v>AWS European Sovereign Cloud / AWS Dedicated Local Zones</x:v>
      </x:c>
      <x:c r="P272" s="32" t="str">
        <x:v>Microsoft Cloud for Sovereignty</x:v>
      </x:c>
      <x:c r="Q272" s="32" t="str">
        <x:v>Assured Workloads
Sovereign Controls by Partners</x:v>
      </x:c>
      <x:c r="R272" s="32" t="n">
        <x:f>'Provider Ratings'!AD272</x:f>
        <x:v>3.83</x:v>
      </x:c>
      <x:c r="S272" s="32" t="n">
        <x:f>'Provider Ratings'!AE272</x:f>
        <x:v>3.84</x:v>
      </x:c>
      <x:c r="T272" s="32" t="n">
        <x:f>'Provider Ratings'!AF272</x:f>
        <x:v>3.34</x:v>
      </x:c>
      <x:c r="U272" s="32" t="str">
        <x:f>'Provider Ratings'!AG272</x:f>
        <x:v>Context-dependent tie</x:v>
      </x:c>
      <x:c r="V272" s="32" t="str">
        <x:f>'Provider Ratings'!AH272</x:f>
        <x:v>Scores are close: use ecosystem, data gravity, region, skills, commercials and proof-of-value results to decide.</x:v>
      </x:c>
      <x:c r="W272" s="32" t="str">
        <x:v>Close</x:v>
      </x:c>
      <x:c r="X272" s="32"/>
      <x:c r="Y272" s="32" t="str">
        <x:v>2026-07-12</x:v>
      </x:c>
    </x:row>
  </x:sheetData>
  <x:mergeCells>
    <x:mergeCell ref="A1:Y1"/>
    <x:mergeCell ref="A2:Y2"/>
  </x:mergeCells>
  <x:conditionalFormatting sqref="K5:K272">
    <x:cfRule type="colorScale" priority="1">
      <x:colorScale>
        <x:cfvo type="min"/>
        <x:cfvo type="percentile" val="50"/>
        <x:cfvo type="max"/>
        <x:color rgb="FFFCE4D6"/>
        <x:color rgb="FFFFF2CC"/>
        <x:color rgb="FFE2F0D9"/>
      </x:colorScale>
    </x:cfRule>
  </x:conditionalFormatting>
  <x:conditionalFormatting sqref="R5:T272">
    <x:cfRule type="colorScale" priority="2">
      <x:colorScale>
        <x:cfvo type="min"/>
        <x:cfvo type="percentile" val="50"/>
        <x:cfvo type="max"/>
        <x:color rgb="FFFCE4D6"/>
        <x:color rgb="FFFFF2CC"/>
        <x:color rgb="FFE2F0D9"/>
      </x:colorScale>
    </x:cfRule>
  </x:conditionalFormatting>
  <x:conditionalFormatting sqref="U5:U272">
    <x:cfRule type="expression" dxfId="3" priority="3">
      <x:formula>U5="Context-dependent tie"</x:formula>
    </x:cfRule>
  </x:conditionalFormatting>
  <x:conditionalFormatting sqref="W5:W272">
    <x:cfRule type="expression" dxfId="4" priority="4">
      <x:formula>W5="Exact"</x:formula>
    </x:cfRule>
    <x:cfRule type="expression" dxfId="5" priority="5">
      <x:formula>W5="Partial"</x:formula>
    </x:cfRule>
  </x:conditionalFormatting>
  <x:pageMargins left="0.7" right="0.7" top="0.75" bottom="0.75" header="0.3" footer="0.3"/>
  <x:tableParts count="1">
    <x:tablePart xmlns:r="http://schemas.openxmlformats.org/officeDocument/2006/relationships" r:id="R8a2cb86839ec413f"/>
  </x:tableParts>
</x:worksheet>
</file>

<file path=xl/worksheets/sheet7.xml><?xml version="1.0" encoding="utf-8"?>
<x:worksheet xmlns:x="http://schemas.openxmlformats.org/spreadsheetml/2006/main">
  <x:sheetFormatPr defaultRowHeight="15"/>
  <x:cols>
    <x:col min="1" max="1" width="31" hidden="0" customWidth="1"/>
    <x:col min="2" max="2" width="31" hidden="0" customWidth="1"/>
    <x:col min="3" max="3" width="32" hidden="0" customWidth="1"/>
    <x:col min="4" max="4" width="16" hidden="0" customWidth="1"/>
    <x:col min="5" max="5" width="55" hidden="0" customWidth="1"/>
    <x:col min="6" max="6" width="38" hidden="0" customWidth="1"/>
    <x:col min="7" max="7" width="40" hidden="0" customWidth="1"/>
    <x:col min="8" max="8" width="40"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3" hidden="0" customWidth="1"/>
    <x:col min="31" max="31" width="13" hidden="0" customWidth="1"/>
    <x:col min="32" max="32" width="13" hidden="0" customWidth="1"/>
    <x:col min="33" max="33" width="23" hidden="0" customWidth="1"/>
    <x:col min="34" max="34" width="58" hidden="0" customWidth="1"/>
    <x:col min="35" max="35" width="12" hidden="0" customWidth="1"/>
    <x:col min="36" max="36" width="14" hidden="0" customWidth="1"/>
  </x:cols>
  <x:sheetData>
    <x:row r="1" ht="30" customHeight="1">
      <x:c r="A1" s="5" t="str">
        <x:v>Provider Ratings by Capability</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row>
    <x:row r="2" ht="34" customHeight="1">
      <x:c r="A2" s="14" t="str">
        <x:v>One row per generic capability. Granular ratings feed the Decision Assistant and the default recommendation in the Service Decision Matrix.</x:v>
      </x:c>
      <x:c r="B2" s="14"/>
      <x:c r="C2" s="14"/>
      <x:c r="D2" s="14"/>
      <x:c r="E2" s="14"/>
      <x:c r="F2" s="14"/>
      <x:c r="G2" s="14"/>
      <x:c r="H2" s="14"/>
      <x:c r="I2" s="14"/>
      <x:c r="J2" s="14"/>
      <x:c r="K2" s="14"/>
      <x:c r="L2" s="14"/>
      <x:c r="M2" s="14"/>
      <x:c r="N2" s="14"/>
      <x:c r="O2" s="14"/>
      <x:c r="P2" s="14"/>
      <x:c r="Q2" s="14"/>
      <x:c r="R2" s="14"/>
      <x:c r="S2" s="14"/>
      <x:c r="T2" s="14"/>
      <x:c r="U2" s="14"/>
      <x:c r="V2" s="14"/>
      <x:c r="W2" s="14"/>
      <x:c r="X2" s="14"/>
      <x:c r="Y2" s="14"/>
      <x:c r="Z2" s="14"/>
      <x:c r="AA2" s="14"/>
      <x:c r="AB2" s="14"/>
      <x:c r="AC2" s="14"/>
      <x:c r="AD2" s="14"/>
      <x:c r="AE2" s="14"/>
      <x:c r="AF2" s="14"/>
      <x:c r="AG2" s="14"/>
      <x:c r="AH2" s="14"/>
      <x:c r="AI2" s="14"/>
      <x:c r="AJ2" s="14"/>
    </x:row>
    <x:row r="4" ht="34" customHeight="1">
      <x:c r="A4" s="24" t="str">
        <x:v>Generic capability</x:v>
      </x:c>
      <x:c r="B4" s="24" t="str">
        <x:v>Architecture layer</x:v>
      </x:c>
      <x:c r="C4" s="24" t="str">
        <x:v>Subcategory</x:v>
      </x:c>
      <x:c r="D4" s="24" t="str">
        <x:v>Decision level</x:v>
      </x:c>
      <x:c r="E4" s="24" t="str">
        <x:v>Decision question</x:v>
      </x:c>
      <x:c r="F4" s="24" t="str">
        <x:v>AWS service(s)</x:v>
      </x:c>
      <x:c r="G4" s="24" t="str">
        <x:v>Azure service(s)</x:v>
      </x:c>
      <x:c r="H4" s="24" t="str">
        <x:v>Google Cloud service(s)</x:v>
      </x:c>
      <x:c r="I4" s="24" t="str">
        <x:v>AWS Depth</x:v>
      </x:c>
      <x:c r="J4" s="24" t="str">
        <x:v>AWS Ease</x:v>
      </x:c>
      <x:c r="K4" s="24" t="str">
        <x:v>AWS Enterprise</x:v>
      </x:c>
      <x:c r="L4" s="24" t="str">
        <x:v>AWS Data &amp; AI</x:v>
      </x:c>
      <x:c r="M4" s="24" t="str">
        <x:v>AWS Portability</x:v>
      </x:c>
      <x:c r="N4" s="24" t="str">
        <x:v>AWS Operations</x:v>
      </x:c>
      <x:c r="O4" s="24" t="str">
        <x:v>AWS Cost</x:v>
      </x:c>
      <x:c r="P4" s="24" t="str">
        <x:v>Azure Depth</x:v>
      </x:c>
      <x:c r="Q4" s="24" t="str">
        <x:v>Azure Ease</x:v>
      </x:c>
      <x:c r="R4" s="24" t="str">
        <x:v>Azure Enterprise</x:v>
      </x:c>
      <x:c r="S4" s="24" t="str">
        <x:v>Azure Data &amp; AI</x:v>
      </x:c>
      <x:c r="T4" s="24" t="str">
        <x:v>Azure Portability</x:v>
      </x:c>
      <x:c r="U4" s="24" t="str">
        <x:v>Azure Operations</x:v>
      </x:c>
      <x:c r="V4" s="24" t="str">
        <x:v>Azure Cost</x:v>
      </x:c>
      <x:c r="W4" s="24" t="str">
        <x:v>GCP Depth</x:v>
      </x:c>
      <x:c r="X4" s="24" t="str">
        <x:v>GCP Ease</x:v>
      </x:c>
      <x:c r="Y4" s="24" t="str">
        <x:v>GCP Enterprise</x:v>
      </x:c>
      <x:c r="Z4" s="24" t="str">
        <x:v>GCP Data &amp; AI</x:v>
      </x:c>
      <x:c r="AA4" s="24" t="str">
        <x:v>GCP Portability</x:v>
      </x:c>
      <x:c r="AB4" s="24" t="str">
        <x:v>GCP Operations</x:v>
      </x:c>
      <x:c r="AC4" s="24" t="str">
        <x:v>GCP Cost</x:v>
      </x:c>
      <x:c r="AD4" s="24" t="str">
        <x:v>AWS Overall</x:v>
      </x:c>
      <x:c r="AE4" s="24" t="str">
        <x:v>Azure Overall</x:v>
      </x:c>
      <x:c r="AF4" s="24" t="str">
        <x:v>GCP Overall</x:v>
      </x:c>
      <x:c r="AG4" s="24" t="str">
        <x:v>Default best fit</x:v>
      </x:c>
      <x:c r="AH4" s="24" t="str">
        <x:v>Recommendation logic</x:v>
      </x:c>
      <x:c r="AI4" s="24" t="str">
        <x:v>Confidence</x:v>
      </x:c>
      <x:c r="AJ4" s="24" t="str">
        <x:v>Verified date</x:v>
      </x:c>
    </x:row>
    <x:row r="5">
      <x:c r="A5" s="32" t="str">
        <x:v>Cloud organisation and account hierarchy</x:v>
      </x:c>
      <x:c r="B5" s="32" t="str">
        <x:v>01 Strategy, Governance &amp; FinOps</x:v>
      </x:c>
      <x:c r="C5" s="32" t="str">
        <x:v>Cloud Foundation &amp; Governance</x:v>
      </x:c>
      <x:c r="D5" s="32" t="str">
        <x:v>Foundation</x:v>
      </x:c>
      <x:c r="E5" s="32" t="str">
        <x:v>What business outcome, scale, control, integration and operating model justify choosing cloud organisation and account hierarchy?</x:v>
      </x:c>
      <x:c r="F5" s="32" t="str">
        <x:v>AWS Organizations</x:v>
      </x:c>
      <x:c r="G5" s="32" t="str">
        <x:v>Azure Management Groups
Azure Subscriptions</x:v>
      </x:c>
      <x:c r="H5" s="32" t="str">
        <x:v>Resource Manager
Cloud Resource Manager</x:v>
      </x:c>
      <x:c r="I5" s="32" t="n">
        <x:v>4.5</x:v>
      </x:c>
      <x:c r="J5" s="32" t="n">
        <x:v>2.9</x:v>
      </x:c>
      <x:c r="K5" s="32" t="n">
        <x:v>4.6</x:v>
      </x:c>
      <x:c r="L5" s="32" t="n">
        <x:v>3.9</x:v>
      </x:c>
      <x:c r="M5" s="32" t="n">
        <x:v>3.5</x:v>
      </x:c>
      <x:c r="N5" s="32" t="n">
        <x:v>4.6</x:v>
      </x:c>
      <x:c r="O5" s="32" t="n">
        <x:v>3.7</x:v>
      </x:c>
      <x:c r="P5" s="32" t="n">
        <x:v>4</x:v>
      </x:c>
      <x:c r="Q5" s="32" t="n">
        <x:v>2.9</x:v>
      </x:c>
      <x:c r="R5" s="32" t="n">
        <x:v>4.5</x:v>
      </x:c>
      <x:c r="S5" s="32" t="n">
        <x:v>3.8</x:v>
      </x:c>
      <x:c r="T5" s="32" t="n">
        <x:v>3.5</x:v>
      </x:c>
      <x:c r="U5" s="32" t="n">
        <x:v>4.4</x:v>
      </x:c>
      <x:c r="V5" s="32" t="n">
        <x:v>3.7</x:v>
      </x:c>
      <x:c r="W5" s="32" t="n">
        <x:v>4</x:v>
      </x:c>
      <x:c r="X5" s="32" t="n">
        <x:v>2.9</x:v>
      </x:c>
      <x:c r="Y5" s="32" t="n">
        <x:v>4.2</x:v>
      </x:c>
      <x:c r="Z5" s="32" t="n">
        <x:v>3.9</x:v>
      </x:c>
      <x:c r="AA5" s="32" t="n">
        <x:v>3.5</x:v>
      </x:c>
      <x:c r="AB5" s="32" t="n">
        <x:v>4.3</x:v>
      </x:c>
      <x:c r="AC5" s="32" t="n">
        <x:v>3.8</x:v>
      </x:c>
      <x:c r="AD5" s="32" t="n">
        <x:f>ROUND((I5*'Criteria &amp; Scoring'!$B$5+J5*'Criteria &amp; Scoring'!$B$6+K5*'Criteria &amp; Scoring'!$B$7+L5*'Criteria &amp; Scoring'!$B$8+M5*'Criteria &amp; Scoring'!$B$9+N5*'Criteria &amp; Scoring'!$B$10+O5*'Criteria &amp; Scoring'!$B$11)/SUM('Criteria &amp; Scoring'!$B$5:$B$11),2)</x:f>
        <x:v>3.98</x:v>
      </x:c>
      <x:c r="AE5" s="32" t="n">
        <x:f>ROUND((P5*'Criteria &amp; Scoring'!$B$5+Q5*'Criteria &amp; Scoring'!$B$6+R5*'Criteria &amp; Scoring'!$B$7+S5*'Criteria &amp; Scoring'!$B$8+T5*'Criteria &amp; Scoring'!$B$9+U5*'Criteria &amp; Scoring'!$B$10+V5*'Criteria &amp; Scoring'!$B$11)/SUM('Criteria &amp; Scoring'!$B$5:$B$11),2)</x:f>
        <x:v>3.8</x:v>
      </x:c>
      <x:c r="AF5" s="32" t="n">
        <x:f>ROUND((W5*'Criteria &amp; Scoring'!$B$5+X5*'Criteria &amp; Scoring'!$B$6+Y5*'Criteria &amp; Scoring'!$B$7+Z5*'Criteria &amp; Scoring'!$B$8+AA5*'Criteria &amp; Scoring'!$B$9+AB5*'Criteria &amp; Scoring'!$B$10+AC5*'Criteria &amp; Scoring'!$B$11)/SUM('Criteria &amp; Scoring'!$B$5:$B$11),2)</x:f>
        <x:v>3.77</x:v>
      </x:c>
      <x:c r="AG5" s="32" t="str">
        <x:f>IF(LARGE(AD5:AF5,1)-LARGE(AD5:AF5,2)&lt;0.15,"Context-dependent tie",SUBSTITUTE(INDEX($AD$4:$AF$4,1,MATCH(MAX(AD5:AF5),AD5:AF5,0))," Overall",""))</x:f>
        <x:v>AWS</x:v>
      </x:c>
      <x:c r="AH5" s="32" t="str">
        <x:f>IF(AG5="AWS","Start with AWS when infrastructure breadth, native integration and operational maturity are the main differentiators.",IF(AG5="Azure","Start with Azure when Microsoft identity, security, data, productivity or hybrid integration reduces delivery effort.",IF(AG5="GCP","Start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5" s="32" t="str">
        <x:v>High</x:v>
      </x:c>
      <x:c r="AJ5" s="32" t="str">
        <x:v>2026-07-12</x:v>
      </x:c>
    </x:row>
    <x:row r="6">
      <x:c r="A6" s="32" t="str">
        <x:v>Enterprise landing zone</x:v>
      </x:c>
      <x:c r="B6" s="32" t="str">
        <x:v>01 Strategy, Governance &amp; FinOps</x:v>
      </x:c>
      <x:c r="C6" s="32" t="str">
        <x:v>Cloud Foundation &amp; Governance</x:v>
      </x:c>
      <x:c r="D6" s="32" t="str">
        <x:v>Foundation</x:v>
      </x:c>
      <x:c r="E6" s="32" t="str">
        <x:v>What business outcome, scale, control, integration and operating model justify choosing enterprise landing zone?</x:v>
      </x:c>
      <x:c r="F6" s="32" t="str">
        <x:v>AWS Control Tower</x:v>
      </x:c>
      <x:c r="G6" s="32" t="str">
        <x:v>Azure Landing Zones</x:v>
      </x:c>
      <x:c r="H6" s="32" t="str">
        <x:v>Google Cloud Landing Zone</x:v>
      </x:c>
      <x:c r="I6" s="32" t="n">
        <x:v>4.3</x:v>
      </x:c>
      <x:c r="J6" s="32" t="n">
        <x:v>1.9</x:v>
      </x:c>
      <x:c r="K6" s="32" t="n">
        <x:v>4.5</x:v>
      </x:c>
      <x:c r="L6" s="32" t="n">
        <x:v>3.9</x:v>
      </x:c>
      <x:c r="M6" s="32" t="n">
        <x:v>3.5</x:v>
      </x:c>
      <x:c r="N6" s="32" t="n">
        <x:v>4.5</x:v>
      </x:c>
      <x:c r="O6" s="32" t="n">
        <x:v>3.7</x:v>
      </x:c>
      <x:c r="P6" s="32" t="n">
        <x:v>4</x:v>
      </x:c>
      <x:c r="Q6" s="32" t="n">
        <x:v>2</x:v>
      </x:c>
      <x:c r="R6" s="32" t="n">
        <x:v>4.5</x:v>
      </x:c>
      <x:c r="S6" s="32" t="n">
        <x:v>3.9</x:v>
      </x:c>
      <x:c r="T6" s="32" t="n">
        <x:v>3.5</x:v>
      </x:c>
      <x:c r="U6" s="32" t="n">
        <x:v>4.4</x:v>
      </x:c>
      <x:c r="V6" s="32" t="n">
        <x:v>3.8</x:v>
      </x:c>
      <x:c r="W6" s="32" t="n">
        <x:v>4</x:v>
      </x:c>
      <x:c r="X6" s="32" t="n">
        <x:v>2</x:v>
      </x:c>
      <x:c r="Y6" s="32" t="n">
        <x:v>4.2</x:v>
      </x:c>
      <x:c r="Z6" s="32" t="n">
        <x:v>4</x:v>
      </x:c>
      <x:c r="AA6" s="32" t="n">
        <x:v>3.5</x:v>
      </x:c>
      <x:c r="AB6" s="32" t="n">
        <x:v>4.3</x:v>
      </x:c>
      <x:c r="AC6" s="32" t="n">
        <x:v>3.9</x:v>
      </x:c>
      <x:c r="AD6" s="32" t="n">
        <x:f>ROUND((I6*'Criteria &amp; Scoring'!$B$5+J6*'Criteria &amp; Scoring'!$B$6+K6*'Criteria &amp; Scoring'!$B$7+L6*'Criteria &amp; Scoring'!$B$8+M6*'Criteria &amp; Scoring'!$B$9+N6*'Criteria &amp; Scoring'!$B$10+O6*'Criteria &amp; Scoring'!$B$11)/SUM('Criteria &amp; Scoring'!$B$5:$B$11),2)</x:f>
        <x:v>3.7</x:v>
      </x:c>
      <x:c r="AE6" s="32" t="n">
        <x:f>ROUND((P6*'Criteria &amp; Scoring'!$B$5+Q6*'Criteria &amp; Scoring'!$B$6+R6*'Criteria &amp; Scoring'!$B$7+S6*'Criteria &amp; Scoring'!$B$8+T6*'Criteria &amp; Scoring'!$B$9+U6*'Criteria &amp; Scoring'!$B$10+V6*'Criteria &amp; Scoring'!$B$11)/SUM('Criteria &amp; Scoring'!$B$5:$B$11),2)</x:f>
        <x:v>3.64</x:v>
      </x:c>
      <x:c r="AF6" s="32" t="n">
        <x:f>ROUND((W6*'Criteria &amp; Scoring'!$B$5+X6*'Criteria &amp; Scoring'!$B$6+Y6*'Criteria &amp; Scoring'!$B$7+Z6*'Criteria &amp; Scoring'!$B$8+AA6*'Criteria &amp; Scoring'!$B$9+AB6*'Criteria &amp; Scoring'!$B$10+AC6*'Criteria &amp; Scoring'!$B$11)/SUM('Criteria &amp; Scoring'!$B$5:$B$11),2)</x:f>
        <x:v>3.61</x:v>
      </x:c>
      <x:c r="AG6" s="32" t="str">
        <x:f>IF(LARGE(AD6:AF6,1)-LARGE(AD6:AF6,2)&lt;0.15,"Context-dependent tie",SUBSTITUTE(INDEX($AD$4:$AF$4,1,MATCH(MAX(AD6:AF6),AD6:AF6,0))," Overall",""))</x:f>
        <x:v>Context-dependent tie</x:v>
      </x:c>
      <x:c r="AH6" s="32" t="str">
        <x:f>IF(AG6="AWS","Start with AWS when infrastructure breadth, native integration and operational maturity are the main differentiators.",IF(AG6="Azure","Start with Azure when Microsoft identity, security, data, productivity or hybrid integration reduces delivery effort.",IF(AG6="GCP","Start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6" s="32" t="str">
        <x:v>Medium</x:v>
      </x:c>
      <x:c r="AJ6" s="32" t="str">
        <x:v>2026-07-12</x:v>
      </x:c>
    </x:row>
    <x:row r="7">
      <x:c r="A7" s="32" t="str">
        <x:v>Organisation policy enforcement</x:v>
      </x:c>
      <x:c r="B7" s="32" t="str">
        <x:v>01 Strategy, Governance &amp; FinOps</x:v>
      </x:c>
      <x:c r="C7" s="32" t="str">
        <x:v>Cloud Foundation &amp; Governance</x:v>
      </x:c>
      <x:c r="D7" s="32" t="str">
        <x:v>Foundation</x:v>
      </x:c>
      <x:c r="E7" s="32" t="str">
        <x:v>What business outcome, scale, control, integration and operating model justify choosing organisation policy enforcement?</x:v>
      </x:c>
      <x:c r="F7" s="32" t="str">
        <x:v>AWS Organizations Service Control Policies
AWS Config</x:v>
      </x:c>
      <x:c r="G7" s="32" t="str">
        <x:v>Azure Policy</x:v>
      </x:c>
      <x:c r="H7" s="32" t="str">
        <x:v>Organization Policy Service
Policy Controller</x:v>
      </x:c>
      <x:c r="I7" s="32" t="n">
        <x:v>4.2</x:v>
      </x:c>
      <x:c r="J7" s="32" t="n">
        <x:v>2.8</x:v>
      </x:c>
      <x:c r="K7" s="32" t="n">
        <x:v>4.4</x:v>
      </x:c>
      <x:c r="L7" s="32" t="n">
        <x:v>3.8</x:v>
      </x:c>
      <x:c r="M7" s="32" t="n">
        <x:v>3.5</x:v>
      </x:c>
      <x:c r="N7" s="32" t="n">
        <x:v>4.4</x:v>
      </x:c>
      <x:c r="O7" s="32" t="n">
        <x:v>3.6</x:v>
      </x:c>
      <x:c r="P7" s="32" t="n">
        <x:v>4</x:v>
      </x:c>
      <x:c r="Q7" s="32" t="n">
        <x:v>3</x:v>
      </x:c>
      <x:c r="R7" s="32" t="n">
        <x:v>4.5</x:v>
      </x:c>
      <x:c r="S7" s="32" t="n">
        <x:v>3.9</x:v>
      </x:c>
      <x:c r="T7" s="32" t="n">
        <x:v>3.5</x:v>
      </x:c>
      <x:c r="U7" s="32" t="n">
        <x:v>4.4</x:v>
      </x:c>
      <x:c r="V7" s="32" t="n">
        <x:v>3.8</x:v>
      </x:c>
      <x:c r="W7" s="32" t="n">
        <x:v>3.9</x:v>
      </x:c>
      <x:c r="X7" s="32" t="n">
        <x:v>2.9</x:v>
      </x:c>
      <x:c r="Y7" s="32" t="n">
        <x:v>4.1</x:v>
      </x:c>
      <x:c r="Z7" s="32" t="n">
        <x:v>3.9</x:v>
      </x:c>
      <x:c r="AA7" s="32" t="n">
        <x:v>3.5</x:v>
      </x:c>
      <x:c r="AB7" s="32" t="n">
        <x:v>4.2</x:v>
      </x:c>
      <x:c r="AC7" s="32" t="n">
        <x:v>3.8</x:v>
      </x:c>
      <x:c r="AD7" s="32" t="n">
        <x:f>ROUND((I7*'Criteria &amp; Scoring'!$B$5+J7*'Criteria &amp; Scoring'!$B$6+K7*'Criteria &amp; Scoring'!$B$7+L7*'Criteria &amp; Scoring'!$B$8+M7*'Criteria &amp; Scoring'!$B$9+N7*'Criteria &amp; Scoring'!$B$10+O7*'Criteria &amp; Scoring'!$B$11)/SUM('Criteria &amp; Scoring'!$B$5:$B$11),2)</x:f>
        <x:v>3.81</x:v>
      </x:c>
      <x:c r="AE7" s="32" t="n">
        <x:f>ROUND((P7*'Criteria &amp; Scoring'!$B$5+Q7*'Criteria &amp; Scoring'!$B$6+R7*'Criteria &amp; Scoring'!$B$7+S7*'Criteria &amp; Scoring'!$B$8+T7*'Criteria &amp; Scoring'!$B$9+U7*'Criteria &amp; Scoring'!$B$10+V7*'Criteria &amp; Scoring'!$B$11)/SUM('Criteria &amp; Scoring'!$B$5:$B$11),2)</x:f>
        <x:v>3.84</x:v>
      </x:c>
      <x:c r="AF7" s="32" t="n">
        <x:f>ROUND((W7*'Criteria &amp; Scoring'!$B$5+X7*'Criteria &amp; Scoring'!$B$6+Y7*'Criteria &amp; Scoring'!$B$7+Z7*'Criteria &amp; Scoring'!$B$8+AA7*'Criteria &amp; Scoring'!$B$9+AB7*'Criteria &amp; Scoring'!$B$10+AC7*'Criteria &amp; Scoring'!$B$11)/SUM('Criteria &amp; Scoring'!$B$5:$B$11),2)</x:f>
        <x:v>3.72</x:v>
      </x:c>
      <x:c r="AG7" s="32" t="str">
        <x:f>IF(LARGE(AD7:AF7,1)-LARGE(AD7:AF7,2)&lt;0.15,"Context-dependent tie",SUBSTITUTE(INDEX($AD$4:$AF$4,1,MATCH(MAX(AD7:AF7),AD7:AF7,0))," Overall",""))</x:f>
        <x:v>Context-dependent tie</x:v>
      </x:c>
      <x:c r="AH7" s="32" t="str">
        <x:f>IF(AG7="AWS","Start with AWS when infrastructure breadth, native integration and operational maturity are the main differentiators.",IF(AG7="Azure","Start with Azure when Microsoft identity, security, data, productivity or hybrid integration reduces delivery effort.",IF(AG7="GCP","Start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7" s="32" t="str">
        <x:v>Medium</x:v>
      </x:c>
      <x:c r="AJ7" s="32" t="str">
        <x:v>2026-07-12</x:v>
      </x:c>
    </x:row>
    <x:row r="8">
      <x:c r="A8" s="32" t="str">
        <x:v>Cloud asset inventory</x:v>
      </x:c>
      <x:c r="B8" s="32" t="str">
        <x:v>01 Strategy, Governance &amp; FinOps</x:v>
      </x:c>
      <x:c r="C8" s="32" t="str">
        <x:v>Cloud Operations &amp; Management</x:v>
      </x:c>
      <x:c r="D8" s="32" t="str">
        <x:v>Workload</x:v>
      </x:c>
      <x:c r="E8" s="32" t="str">
        <x:v>What business outcome, scale, control, integration and operating model justify choosing cloud asset inventory?</x:v>
      </x:c>
      <x:c r="F8" s="32" t="str">
        <x:v>AWS Config</x:v>
      </x:c>
      <x:c r="G8" s="32" t="str">
        <x:v>Azure Resource Graph</x:v>
      </x:c>
      <x:c r="H8" s="32" t="str">
        <x:v>Cloud Asset Inventory</x:v>
      </x:c>
      <x:c r="I8" s="32" t="n">
        <x:v>4</x:v>
      </x:c>
      <x:c r="J8" s="32" t="n">
        <x:v>3</x:v>
      </x:c>
      <x:c r="K8" s="32" t="n">
        <x:v>4.3</x:v>
      </x:c>
      <x:c r="L8" s="32" t="n">
        <x:v>3.9</x:v>
      </x:c>
      <x:c r="M8" s="32" t="n">
        <x:v>3.5</x:v>
      </x:c>
      <x:c r="N8" s="32" t="n">
        <x:v>4.5</x:v>
      </x:c>
      <x:c r="O8" s="32" t="n">
        <x:v>3.7</x:v>
      </x:c>
      <x:c r="P8" s="32" t="n">
        <x:v>4</x:v>
      </x:c>
      <x:c r="Q8" s="32" t="n">
        <x:v>3</x:v>
      </x:c>
      <x:c r="R8" s="32" t="n">
        <x:v>4.5</x:v>
      </x:c>
      <x:c r="S8" s="32" t="n">
        <x:v>3.9</x:v>
      </x:c>
      <x:c r="T8" s="32" t="n">
        <x:v>3.5</x:v>
      </x:c>
      <x:c r="U8" s="32" t="n">
        <x:v>4.4</x:v>
      </x:c>
      <x:c r="V8" s="32" t="n">
        <x:v>3.8</x:v>
      </x:c>
      <x:c r="W8" s="32" t="n">
        <x:v>4</x:v>
      </x:c>
      <x:c r="X8" s="32" t="n">
        <x:v>3</x:v>
      </x:c>
      <x:c r="Y8" s="32" t="n">
        <x:v>4.2</x:v>
      </x:c>
      <x:c r="Z8" s="32" t="n">
        <x:v>4</x:v>
      </x:c>
      <x:c r="AA8" s="32" t="n">
        <x:v>3.5</x:v>
      </x:c>
      <x:c r="AB8" s="32" t="n">
        <x:v>4.3</x:v>
      </x:c>
      <x:c r="AC8" s="32" t="n">
        <x:v>3.9</x:v>
      </x:c>
      <x:c r="AD8" s="32" t="n">
        <x:f>ROUND((I8*'Criteria &amp; Scoring'!$B$5+J8*'Criteria &amp; Scoring'!$B$6+K8*'Criteria &amp; Scoring'!$B$7+L8*'Criteria &amp; Scoring'!$B$8+M8*'Criteria &amp; Scoring'!$B$9+N8*'Criteria &amp; Scoring'!$B$10+O8*'Criteria &amp; Scoring'!$B$11)/SUM('Criteria &amp; Scoring'!$B$5:$B$11),2)</x:f>
        <x:v>3.82</x:v>
      </x:c>
      <x:c r="AE8" s="32" t="n">
        <x:f>ROUND((P8*'Criteria &amp; Scoring'!$B$5+Q8*'Criteria &amp; Scoring'!$B$6+R8*'Criteria &amp; Scoring'!$B$7+S8*'Criteria &amp; Scoring'!$B$8+T8*'Criteria &amp; Scoring'!$B$9+U8*'Criteria &amp; Scoring'!$B$10+V8*'Criteria &amp; Scoring'!$B$11)/SUM('Criteria &amp; Scoring'!$B$5:$B$11),2)</x:f>
        <x:v>3.84</x:v>
      </x:c>
      <x:c r="AF8" s="32" t="n">
        <x:f>ROUND((W8*'Criteria &amp; Scoring'!$B$5+X8*'Criteria &amp; Scoring'!$B$6+Y8*'Criteria &amp; Scoring'!$B$7+Z8*'Criteria &amp; Scoring'!$B$8+AA8*'Criteria &amp; Scoring'!$B$9+AB8*'Criteria &amp; Scoring'!$B$10+AC8*'Criteria &amp; Scoring'!$B$11)/SUM('Criteria &amp; Scoring'!$B$5:$B$11),2)</x:f>
        <x:v>3.81</x:v>
      </x:c>
      <x:c r="AG8" s="32" t="str">
        <x:f>IF(LARGE(AD8:AF8,1)-LARGE(AD8:AF8,2)&lt;0.15,"Context-dependent tie",SUBSTITUTE(INDEX($AD$4:$AF$4,1,MATCH(MAX(AD8:AF8),AD8:AF8,0))," Overall",""))</x:f>
        <x:v>Context-dependent tie</x:v>
      </x:c>
      <x:c r="AH8" s="32" t="str">
        <x:f>IF(AG8="AWS","Start with AWS when infrastructure breadth, native integration and operational maturity are the main differentiators.",IF(AG8="Azure","Start with Azure when Microsoft identity, security, data, productivity or hybrid integration reduces delivery effort.",IF(AG8="GCP","Start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8" s="32" t="str">
        <x:v>Medium</x:v>
      </x:c>
      <x:c r="AJ8" s="32" t="str">
        <x:v>2026-07-12</x:v>
      </x:c>
    </x:row>
    <x:row r="9">
      <x:c r="A9" s="32" t="str">
        <x:v>Configuration compliance</x:v>
      </x:c>
      <x:c r="B9" s="32" t="str">
        <x:v>01 Strategy, Governance &amp; FinOps</x:v>
      </x:c>
      <x:c r="C9" s="32" t="str">
        <x:v>Cloud Operations &amp; Management</x:v>
      </x:c>
      <x:c r="D9" s="32" t="str">
        <x:v>Workload</x:v>
      </x:c>
      <x:c r="E9" s="32" t="str">
        <x:v>What business outcome, scale, control, integration and operating model justify choosing configuration compliance?</x:v>
      </x:c>
      <x:c r="F9" s="32" t="str">
        <x:v>AWS Config</x:v>
      </x:c>
      <x:c r="G9" s="32" t="str">
        <x:v>Azure Policy
Microsoft Defender for Cloud</x:v>
      </x:c>
      <x:c r="H9" s="32" t="str">
        <x:v>Security Command Center
Config Controller</x:v>
      </x:c>
      <x:c r="I9" s="32" t="n">
        <x:v>4</x:v>
      </x:c>
      <x:c r="J9" s="32" t="n">
        <x:v>3</x:v>
      </x:c>
      <x:c r="K9" s="32" t="n">
        <x:v>4.3</x:v>
      </x:c>
      <x:c r="L9" s="32" t="n">
        <x:v>3.9</x:v>
      </x:c>
      <x:c r="M9" s="32" t="n">
        <x:v>3.5</x:v>
      </x:c>
      <x:c r="N9" s="32" t="n">
        <x:v>4.5</x:v>
      </x:c>
      <x:c r="O9" s="32" t="n">
        <x:v>3.7</x:v>
      </x:c>
      <x:c r="P9" s="32" t="n">
        <x:v>3.9</x:v>
      </x:c>
      <x:c r="Q9" s="32" t="n">
        <x:v>2.9</x:v>
      </x:c>
      <x:c r="R9" s="32" t="n">
        <x:v>4.4</x:v>
      </x:c>
      <x:c r="S9" s="32" t="n">
        <x:v>3.8</x:v>
      </x:c>
      <x:c r="T9" s="32" t="n">
        <x:v>3.5</x:v>
      </x:c>
      <x:c r="U9" s="32" t="n">
        <x:v>4.3</x:v>
      </x:c>
      <x:c r="V9" s="32" t="n">
        <x:v>3.7</x:v>
      </x:c>
      <x:c r="W9" s="32" t="n">
        <x:v>3.9</x:v>
      </x:c>
      <x:c r="X9" s="32" t="n">
        <x:v>2.9</x:v>
      </x:c>
      <x:c r="Y9" s="32" t="n">
        <x:v>4.1</x:v>
      </x:c>
      <x:c r="Z9" s="32" t="n">
        <x:v>3.9</x:v>
      </x:c>
      <x:c r="AA9" s="32" t="n">
        <x:v>3.5</x:v>
      </x:c>
      <x:c r="AB9" s="32" t="n">
        <x:v>4.2</x:v>
      </x:c>
      <x:c r="AC9" s="32" t="n">
        <x:v>3.8</x:v>
      </x:c>
      <x:c r="AD9" s="32" t="n">
        <x:f>ROUND((I9*'Criteria &amp; Scoring'!$B$5+J9*'Criteria &amp; Scoring'!$B$6+K9*'Criteria &amp; Scoring'!$B$7+L9*'Criteria &amp; Scoring'!$B$8+M9*'Criteria &amp; Scoring'!$B$9+N9*'Criteria &amp; Scoring'!$B$10+O9*'Criteria &amp; Scoring'!$B$11)/SUM('Criteria &amp; Scoring'!$B$5:$B$11),2)</x:f>
        <x:v>3.82</x:v>
      </x:c>
      <x:c r="AE9" s="32" t="n">
        <x:f>ROUND((P9*'Criteria &amp; Scoring'!$B$5+Q9*'Criteria &amp; Scoring'!$B$6+R9*'Criteria &amp; Scoring'!$B$7+S9*'Criteria &amp; Scoring'!$B$8+T9*'Criteria &amp; Scoring'!$B$9+U9*'Criteria &amp; Scoring'!$B$10+V9*'Criteria &amp; Scoring'!$B$11)/SUM('Criteria &amp; Scoring'!$B$5:$B$11),2)</x:f>
        <x:v>3.75</x:v>
      </x:c>
      <x:c r="AF9" s="32" t="n">
        <x:f>ROUND((W9*'Criteria &amp; Scoring'!$B$5+X9*'Criteria &amp; Scoring'!$B$6+Y9*'Criteria &amp; Scoring'!$B$7+Z9*'Criteria &amp; Scoring'!$B$8+AA9*'Criteria &amp; Scoring'!$B$9+AB9*'Criteria &amp; Scoring'!$B$10+AC9*'Criteria &amp; Scoring'!$B$11)/SUM('Criteria &amp; Scoring'!$B$5:$B$11),2)</x:f>
        <x:v>3.72</x:v>
      </x:c>
      <x:c r="AG9" s="32" t="str">
        <x:f>IF(LARGE(AD9:AF9,1)-LARGE(AD9:AF9,2)&lt;0.15,"Context-dependent tie",SUBSTITUTE(INDEX($AD$4:$AF$4,1,MATCH(MAX(AD9:AF9),AD9:AF9,0))," Overall",""))</x:f>
        <x:v>Context-dependent tie</x:v>
      </x:c>
      <x:c r="AH9" s="32" t="str">
        <x:f>IF(AG9="AWS","Start with AWS when infrastructure breadth, native integration and operational maturity are the main differentiators.",IF(AG9="Azure","Start with Azure when Microsoft identity, security, data, productivity or hybrid integration reduces delivery effort.",IF(AG9="GCP","Start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9" s="32" t="str">
        <x:v>Medium</x:v>
      </x:c>
      <x:c r="AJ9" s="32" t="str">
        <x:v>2026-07-12</x:v>
      </x:c>
    </x:row>
    <x:row r="10">
      <x:c r="A10" s="32" t="str">
        <x:v>Approved service catalogue</x:v>
      </x:c>
      <x:c r="B10" s="32" t="str">
        <x:v>01 Strategy, Governance &amp; FinOps</x:v>
      </x:c>
      <x:c r="C10" s="32" t="str">
        <x:v>Cloud Foundation &amp; Governance</x:v>
      </x:c>
      <x:c r="D10" s="32" t="str">
        <x:v>Workload</x:v>
      </x:c>
      <x:c r="E10" s="32" t="str">
        <x:v>What business outcome, scale, control, integration and operating model justify choosing approved service catalogue?</x:v>
      </x:c>
      <x:c r="F10" s="32" t="str">
        <x:v>AWS Service Catalog</x:v>
      </x:c>
      <x:c r="G10" s="32" t="str">
        <x:v>Azure Managed Applications
Azure Deployment Environments</x:v>
      </x:c>
      <x:c r="H10" s="32" t="str">
        <x:v>Service Catalog
Application Design Center</x:v>
      </x:c>
      <x:c r="I10" s="32" t="n">
        <x:v>3.9</x:v>
      </x:c>
      <x:c r="J10" s="32" t="n">
        <x:v>2.9</x:v>
      </x:c>
      <x:c r="K10" s="32" t="n">
        <x:v>4.3</x:v>
      </x:c>
      <x:c r="L10" s="32" t="n">
        <x:v>3.9</x:v>
      </x:c>
      <x:c r="M10" s="32" t="n">
        <x:v>3.5</x:v>
      </x:c>
      <x:c r="N10" s="32" t="n">
        <x:v>4.3</x:v>
      </x:c>
      <x:c r="O10" s="32" t="n">
        <x:v>3.7</x:v>
      </x:c>
      <x:c r="P10" s="32" t="n">
        <x:v>3.4</x:v>
      </x:c>
      <x:c r="Q10" s="32" t="n">
        <x:v>2.9</x:v>
      </x:c>
      <x:c r="R10" s="32" t="n">
        <x:v>4.1</x:v>
      </x:c>
      <x:c r="S10" s="32" t="n">
        <x:v>3.8</x:v>
      </x:c>
      <x:c r="T10" s="32" t="n">
        <x:v>3.5</x:v>
      </x:c>
      <x:c r="U10" s="32" t="n">
        <x:v>4.1</x:v>
      </x:c>
      <x:c r="V10" s="32" t="n">
        <x:v>3.7</x:v>
      </x:c>
      <x:c r="W10" s="32" t="n">
        <x:v>3.4</x:v>
      </x:c>
      <x:c r="X10" s="32" t="n">
        <x:v>2.9</x:v>
      </x:c>
      <x:c r="Y10" s="32" t="n">
        <x:v>3.8</x:v>
      </x:c>
      <x:c r="Z10" s="32" t="n">
        <x:v>3.9</x:v>
      </x:c>
      <x:c r="AA10" s="32" t="n">
        <x:v>3.5</x:v>
      </x:c>
      <x:c r="AB10" s="32" t="n">
        <x:v>4</x:v>
      </x:c>
      <x:c r="AC10" s="32" t="n">
        <x:v>3.8</x:v>
      </x:c>
      <x:c r="AD10" s="32" t="n">
        <x:f>ROUND((I10*'Criteria &amp; Scoring'!$B$5+J10*'Criteria &amp; Scoring'!$B$6+K10*'Criteria &amp; Scoring'!$B$7+L10*'Criteria &amp; Scoring'!$B$8+M10*'Criteria &amp; Scoring'!$B$9+N10*'Criteria &amp; Scoring'!$B$10+O10*'Criteria &amp; Scoring'!$B$11)/SUM('Criteria &amp; Scoring'!$B$5:$B$11),2)</x:f>
        <x:v>3.75</x:v>
      </x:c>
      <x:c r="AE10" s="32" t="n">
        <x:f>ROUND((P10*'Criteria &amp; Scoring'!$B$5+Q10*'Criteria &amp; Scoring'!$B$6+R10*'Criteria &amp; Scoring'!$B$7+S10*'Criteria &amp; Scoring'!$B$8+T10*'Criteria &amp; Scoring'!$B$9+U10*'Criteria &amp; Scoring'!$B$10+V10*'Criteria &amp; Scoring'!$B$11)/SUM('Criteria &amp; Scoring'!$B$5:$B$11),2)</x:f>
        <x:v>3.56</x:v>
      </x:c>
      <x:c r="AF10" s="32" t="n">
        <x:f>ROUND((W10*'Criteria &amp; Scoring'!$B$5+X10*'Criteria &amp; Scoring'!$B$6+Y10*'Criteria &amp; Scoring'!$B$7+Z10*'Criteria &amp; Scoring'!$B$8+AA10*'Criteria &amp; Scoring'!$B$9+AB10*'Criteria &amp; Scoring'!$B$10+AC10*'Criteria &amp; Scoring'!$B$11)/SUM('Criteria &amp; Scoring'!$B$5:$B$11),2)</x:f>
        <x:v>3.53</x:v>
      </x:c>
      <x:c r="AG10" s="32" t="str">
        <x:f>IF(LARGE(AD10:AF10,1)-LARGE(AD10:AF10,2)&lt;0.15,"Context-dependent tie",SUBSTITUTE(INDEX($AD$4:$AF$4,1,MATCH(MAX(AD10:AF10),AD10:AF10,0))," Overall",""))</x:f>
        <x:v>AWS</x:v>
      </x:c>
      <x:c r="AH10" s="32" t="str">
        <x:f>IF(AG10="AWS","Start with AWS when infrastructure breadth, native integration and operational maturity are the main differentiators.",IF(AG10="Azure","Start with Azure when Microsoft identity, security, data, productivity or hybrid integration reduces delivery effort.",IF(AG10="GCP","Start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10" s="32" t="str">
        <x:v>Low</x:v>
      </x:c>
      <x:c r="AJ10" s="32" t="str">
        <x:v>2026-07-12</x:v>
      </x:c>
    </x:row>
    <x:row r="11">
      <x:c r="A11" s="32" t="str">
        <x:v>Native infrastructure as code</x:v>
      </x:c>
      <x:c r="B11" s="32" t="str">
        <x:v>01 Strategy, Governance &amp; FinOps</x:v>
      </x:c>
      <x:c r="C11" s="32" t="str">
        <x:v>Cloud Operations &amp; Management</x:v>
      </x:c>
      <x:c r="D11" s="32" t="str">
        <x:v>Workload</x:v>
      </x:c>
      <x:c r="E11" s="32" t="str">
        <x:v>What business outcome, scale, control, integration and operating model justify choosing native infrastructure as code?</x:v>
      </x:c>
      <x:c r="F11" s="32" t="str">
        <x:v>AWS CloudFormation
AWS Infrastructure Composer</x:v>
      </x:c>
      <x:c r="G11" s="32" t="str">
        <x:v>Azure Resource Manager templates
Bicep</x:v>
      </x:c>
      <x:c r="H11" s="32" t="str">
        <x:v>Infrastructure Manager
Config Connector</x:v>
      </x:c>
      <x:c r="I11" s="32" t="n">
        <x:v>3.9</x:v>
      </x:c>
      <x:c r="J11" s="32" t="n">
        <x:v>2.9</x:v>
      </x:c>
      <x:c r="K11" s="32" t="n">
        <x:v>4.2</x:v>
      </x:c>
      <x:c r="L11" s="32" t="n">
        <x:v>3.8</x:v>
      </x:c>
      <x:c r="M11" s="32" t="n">
        <x:v>3.5</x:v>
      </x:c>
      <x:c r="N11" s="32" t="n">
        <x:v>4.4</x:v>
      </x:c>
      <x:c r="O11" s="32" t="n">
        <x:v>3.6</x:v>
      </x:c>
      <x:c r="P11" s="32" t="n">
        <x:v>3.9</x:v>
      </x:c>
      <x:c r="Q11" s="32" t="n">
        <x:v>2.9</x:v>
      </x:c>
      <x:c r="R11" s="32" t="n">
        <x:v>4.4</x:v>
      </x:c>
      <x:c r="S11" s="32" t="n">
        <x:v>3.8</x:v>
      </x:c>
      <x:c r="T11" s="32" t="n">
        <x:v>3.5</x:v>
      </x:c>
      <x:c r="U11" s="32" t="n">
        <x:v>4.3</x:v>
      </x:c>
      <x:c r="V11" s="32" t="n">
        <x:v>3.7</x:v>
      </x:c>
      <x:c r="W11" s="32" t="n">
        <x:v>3.9</x:v>
      </x:c>
      <x:c r="X11" s="32" t="n">
        <x:v>2.9</x:v>
      </x:c>
      <x:c r="Y11" s="32" t="n">
        <x:v>4.1</x:v>
      </x:c>
      <x:c r="Z11" s="32" t="n">
        <x:v>3.9</x:v>
      </x:c>
      <x:c r="AA11" s="32" t="n">
        <x:v>3.5</x:v>
      </x:c>
      <x:c r="AB11" s="32" t="n">
        <x:v>4.2</x:v>
      </x:c>
      <x:c r="AC11" s="32" t="n">
        <x:v>3.8</x:v>
      </x:c>
      <x:c r="AD11" s="32" t="n">
        <x:f>ROUND((I11*'Criteria &amp; Scoring'!$B$5+J11*'Criteria &amp; Scoring'!$B$6+K11*'Criteria &amp; Scoring'!$B$7+L11*'Criteria &amp; Scoring'!$B$8+M11*'Criteria &amp; Scoring'!$B$9+N11*'Criteria &amp; Scoring'!$B$10+O11*'Criteria &amp; Scoring'!$B$11)/SUM('Criteria &amp; Scoring'!$B$5:$B$11),2)</x:f>
        <x:v>3.73</x:v>
      </x:c>
      <x:c r="AE11" s="32" t="n">
        <x:f>ROUND((P11*'Criteria &amp; Scoring'!$B$5+Q11*'Criteria &amp; Scoring'!$B$6+R11*'Criteria &amp; Scoring'!$B$7+S11*'Criteria &amp; Scoring'!$B$8+T11*'Criteria &amp; Scoring'!$B$9+U11*'Criteria &amp; Scoring'!$B$10+V11*'Criteria &amp; Scoring'!$B$11)/SUM('Criteria &amp; Scoring'!$B$5:$B$11),2)</x:f>
        <x:v>3.75</x:v>
      </x:c>
      <x:c r="AF11" s="32" t="n">
        <x:f>ROUND((W11*'Criteria &amp; Scoring'!$B$5+X11*'Criteria &amp; Scoring'!$B$6+Y11*'Criteria &amp; Scoring'!$B$7+Z11*'Criteria &amp; Scoring'!$B$8+AA11*'Criteria &amp; Scoring'!$B$9+AB11*'Criteria &amp; Scoring'!$B$10+AC11*'Criteria &amp; Scoring'!$B$11)/SUM('Criteria &amp; Scoring'!$B$5:$B$11),2)</x:f>
        <x:v>3.72</x:v>
      </x:c>
      <x:c r="AG11" s="32" t="str">
        <x:f>IF(LARGE(AD11:AF11,1)-LARGE(AD11:AF11,2)&lt;0.15,"Context-dependent tie",SUBSTITUTE(INDEX($AD$4:$AF$4,1,MATCH(MAX(AD11:AF11),AD11:AF11,0))," Overall",""))</x:f>
        <x:v>Context-dependent tie</x:v>
      </x:c>
      <x:c r="AH11" s="32" t="str">
        <x:f>IF(AG11="AWS","Start with AWS when infrastructure breadth, native integration and operational maturity are the main differentiators.",IF(AG11="Azure","Start with Azure when Microsoft identity, security, data, productivity or hybrid integration reduces delivery effort.",IF(AG11="GCP","Start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1" s="32" t="str">
        <x:v>Medium</x:v>
      </x:c>
      <x:c r="AJ11" s="32" t="str">
        <x:v>2026-07-12</x:v>
      </x:c>
    </x:row>
    <x:row r="12">
      <x:c r="A12" s="32" t="str">
        <x:v>Cloud operations automation</x:v>
      </x:c>
      <x:c r="B12" s="32" t="str">
        <x:v>01 Strategy, Governance &amp; FinOps</x:v>
      </x:c>
      <x:c r="C12" s="32" t="str">
        <x:v>Cloud Operations &amp; Management</x:v>
      </x:c>
      <x:c r="D12" s="32" t="str">
        <x:v>Workload</x:v>
      </x:c>
      <x:c r="E12" s="32" t="str">
        <x:v>What business outcome, scale, control, integration and operating model justify choosing cloud operations automation?</x:v>
      </x:c>
      <x:c r="F12" s="32" t="str">
        <x:v>AWS Systems Manager</x:v>
      </x:c>
      <x:c r="G12" s="32" t="str">
        <x:v>Azure Automation
Azure Update Manager</x:v>
      </x:c>
      <x:c r="H12" s="32" t="str">
        <x:v>VM Manager
Workflows</x:v>
      </x:c>
      <x:c r="I12" s="32" t="n">
        <x:v>4</x:v>
      </x:c>
      <x:c r="J12" s="32" t="n">
        <x:v>3</x:v>
      </x:c>
      <x:c r="K12" s="32" t="n">
        <x:v>4.3</x:v>
      </x:c>
      <x:c r="L12" s="32" t="n">
        <x:v>3.9</x:v>
      </x:c>
      <x:c r="M12" s="32" t="n">
        <x:v>3.5</x:v>
      </x:c>
      <x:c r="N12" s="32" t="n">
        <x:v>4.5</x:v>
      </x:c>
      <x:c r="O12" s="32" t="n">
        <x:v>3.7</x:v>
      </x:c>
      <x:c r="P12" s="32" t="n">
        <x:v>3.9</x:v>
      </x:c>
      <x:c r="Q12" s="32" t="n">
        <x:v>2.9</x:v>
      </x:c>
      <x:c r="R12" s="32" t="n">
        <x:v>4.4</x:v>
      </x:c>
      <x:c r="S12" s="32" t="n">
        <x:v>3.8</x:v>
      </x:c>
      <x:c r="T12" s="32" t="n">
        <x:v>3.5</x:v>
      </x:c>
      <x:c r="U12" s="32" t="n">
        <x:v>4.3</x:v>
      </x:c>
      <x:c r="V12" s="32" t="n">
        <x:v>3.7</x:v>
      </x:c>
      <x:c r="W12" s="32" t="n">
        <x:v>3.9</x:v>
      </x:c>
      <x:c r="X12" s="32" t="n">
        <x:v>2.9</x:v>
      </x:c>
      <x:c r="Y12" s="32" t="n">
        <x:v>4.1</x:v>
      </x:c>
      <x:c r="Z12" s="32" t="n">
        <x:v>3.9</x:v>
      </x:c>
      <x:c r="AA12" s="32" t="n">
        <x:v>3.5</x:v>
      </x:c>
      <x:c r="AB12" s="32" t="n">
        <x:v>4.2</x:v>
      </x:c>
      <x:c r="AC12" s="32" t="n">
        <x:v>3.8</x:v>
      </x:c>
      <x:c r="AD12" s="32" t="n">
        <x:f>ROUND((I12*'Criteria &amp; Scoring'!$B$5+J12*'Criteria &amp; Scoring'!$B$6+K12*'Criteria &amp; Scoring'!$B$7+L12*'Criteria &amp; Scoring'!$B$8+M12*'Criteria &amp; Scoring'!$B$9+N12*'Criteria &amp; Scoring'!$B$10+O12*'Criteria &amp; Scoring'!$B$11)/SUM('Criteria &amp; Scoring'!$B$5:$B$11),2)</x:f>
        <x:v>3.82</x:v>
      </x:c>
      <x:c r="AE12" s="32" t="n">
        <x:f>ROUND((P12*'Criteria &amp; Scoring'!$B$5+Q12*'Criteria &amp; Scoring'!$B$6+R12*'Criteria &amp; Scoring'!$B$7+S12*'Criteria &amp; Scoring'!$B$8+T12*'Criteria &amp; Scoring'!$B$9+U12*'Criteria &amp; Scoring'!$B$10+V12*'Criteria &amp; Scoring'!$B$11)/SUM('Criteria &amp; Scoring'!$B$5:$B$11),2)</x:f>
        <x:v>3.75</x:v>
      </x:c>
      <x:c r="AF12" s="32" t="n">
        <x:f>ROUND((W12*'Criteria &amp; Scoring'!$B$5+X12*'Criteria &amp; Scoring'!$B$6+Y12*'Criteria &amp; Scoring'!$B$7+Z12*'Criteria &amp; Scoring'!$B$8+AA12*'Criteria &amp; Scoring'!$B$9+AB12*'Criteria &amp; Scoring'!$B$10+AC12*'Criteria &amp; Scoring'!$B$11)/SUM('Criteria &amp; Scoring'!$B$5:$B$11),2)</x:f>
        <x:v>3.72</x:v>
      </x:c>
      <x:c r="AG12" s="32" t="str">
        <x:f>IF(LARGE(AD12:AF12,1)-LARGE(AD12:AF12,2)&lt;0.15,"Context-dependent tie",SUBSTITUTE(INDEX($AD$4:$AF$4,1,MATCH(MAX(AD12:AF12),AD12:AF12,0))," Overall",""))</x:f>
        <x:v>Context-dependent tie</x:v>
      </x:c>
      <x:c r="AH12" s="32" t="str">
        <x:f>IF(AG12="AWS","Start with AWS when infrastructure breadth, native integration and operational maturity are the main differentiators.",IF(AG12="Azure","Start with Azure when Microsoft identity, security, data, productivity or hybrid integration reduces delivery effort.",IF(AG12="GCP","Start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2" s="32" t="str">
        <x:v>Medium</x:v>
      </x:c>
      <x:c r="AJ12" s="32" t="str">
        <x:v>2026-07-12</x:v>
      </x:c>
    </x:row>
    <x:row r="13">
      <x:c r="A13" s="32" t="str">
        <x:v>Well-architected assessment</x:v>
      </x:c>
      <x:c r="B13" s="32" t="str">
        <x:v>01 Strategy, Governance &amp; FinOps</x:v>
      </x:c>
      <x:c r="C13" s="32" t="str">
        <x:v>Architecture Assurance &amp; Service Health</x:v>
      </x:c>
      <x:c r="D13" s="32" t="str">
        <x:v>Workload</x:v>
      </x:c>
      <x:c r="E13" s="32" t="str">
        <x:v>What business outcome, scale, control, integration and operating model justify choosing well-architected assessment?</x:v>
      </x:c>
      <x:c r="F13" s="32" t="str">
        <x:v>AWS Well-Architected Tool
AWS Trusted Advisor</x:v>
      </x:c>
      <x:c r="G13" s="32" t="str">
        <x:v>Azure Advisor
Azure Well-Architected Review</x:v>
      </x:c>
      <x:c r="H13" s="32" t="str">
        <x:v>Recommender
Architecture Framework</x:v>
      </x:c>
      <x:c r="I13" s="32" t="n">
        <x:v>3.9</x:v>
      </x:c>
      <x:c r="J13" s="32" t="n">
        <x:v>2.9</x:v>
      </x:c>
      <x:c r="K13" s="32" t="n">
        <x:v>4.2</x:v>
      </x:c>
      <x:c r="L13" s="32" t="n">
        <x:v>3.8</x:v>
      </x:c>
      <x:c r="M13" s="32" t="n">
        <x:v>3.5</x:v>
      </x:c>
      <x:c r="N13" s="32" t="n">
        <x:v>4.4</x:v>
      </x:c>
      <x:c r="O13" s="32" t="n">
        <x:v>3.6</x:v>
      </x:c>
      <x:c r="P13" s="32" t="n">
        <x:v>3.9</x:v>
      </x:c>
      <x:c r="Q13" s="32" t="n">
        <x:v>2.9</x:v>
      </x:c>
      <x:c r="R13" s="32" t="n">
        <x:v>4.4</x:v>
      </x:c>
      <x:c r="S13" s="32" t="n">
        <x:v>3.8</x:v>
      </x:c>
      <x:c r="T13" s="32" t="n">
        <x:v>3.5</x:v>
      </x:c>
      <x:c r="U13" s="32" t="n">
        <x:v>4.3</x:v>
      </x:c>
      <x:c r="V13" s="32" t="n">
        <x:v>3.7</x:v>
      </x:c>
      <x:c r="W13" s="32" t="n">
        <x:v>3.9</x:v>
      </x:c>
      <x:c r="X13" s="32" t="n">
        <x:v>2.9</x:v>
      </x:c>
      <x:c r="Y13" s="32" t="n">
        <x:v>4.1</x:v>
      </x:c>
      <x:c r="Z13" s="32" t="n">
        <x:v>3.9</x:v>
      </x:c>
      <x:c r="AA13" s="32" t="n">
        <x:v>3.5</x:v>
      </x:c>
      <x:c r="AB13" s="32" t="n">
        <x:v>4.2</x:v>
      </x:c>
      <x:c r="AC13" s="32" t="n">
        <x:v>3.8</x:v>
      </x:c>
      <x:c r="AD13" s="32" t="n">
        <x:f>ROUND((I13*'Criteria &amp; Scoring'!$B$5+J13*'Criteria &amp; Scoring'!$B$6+K13*'Criteria &amp; Scoring'!$B$7+L13*'Criteria &amp; Scoring'!$B$8+M13*'Criteria &amp; Scoring'!$B$9+N13*'Criteria &amp; Scoring'!$B$10+O13*'Criteria &amp; Scoring'!$B$11)/SUM('Criteria &amp; Scoring'!$B$5:$B$11),2)</x:f>
        <x:v>3.73</x:v>
      </x:c>
      <x:c r="AE13" s="32" t="n">
        <x:f>ROUND((P13*'Criteria &amp; Scoring'!$B$5+Q13*'Criteria &amp; Scoring'!$B$6+R13*'Criteria &amp; Scoring'!$B$7+S13*'Criteria &amp; Scoring'!$B$8+T13*'Criteria &amp; Scoring'!$B$9+U13*'Criteria &amp; Scoring'!$B$10+V13*'Criteria &amp; Scoring'!$B$11)/SUM('Criteria &amp; Scoring'!$B$5:$B$11),2)</x:f>
        <x:v>3.75</x:v>
      </x:c>
      <x:c r="AF13" s="32" t="n">
        <x:f>ROUND((W13*'Criteria &amp; Scoring'!$B$5+X13*'Criteria &amp; Scoring'!$B$6+Y13*'Criteria &amp; Scoring'!$B$7+Z13*'Criteria &amp; Scoring'!$B$8+AA13*'Criteria &amp; Scoring'!$B$9+AB13*'Criteria &amp; Scoring'!$B$10+AC13*'Criteria &amp; Scoring'!$B$11)/SUM('Criteria &amp; Scoring'!$B$5:$B$11),2)</x:f>
        <x:v>3.72</x:v>
      </x:c>
      <x:c r="AG13" s="32" t="str">
        <x:f>IF(LARGE(AD13:AF13,1)-LARGE(AD13:AF13,2)&lt;0.15,"Context-dependent tie",SUBSTITUTE(INDEX($AD$4:$AF$4,1,MATCH(MAX(AD13:AF13),AD13:AF13,0))," Overall",""))</x:f>
        <x:v>Context-dependent tie</x:v>
      </x:c>
      <x:c r="AH13" s="32" t="str">
        <x:f>IF(AG13="AWS","Start with AWS when infrastructure breadth, native integration and operational maturity are the main differentiators.",IF(AG13="Azure","Start with Azure when Microsoft identity, security, data, productivity or hybrid integration reduces delivery effort.",IF(AG13="GCP","Start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3" s="32" t="str">
        <x:v>Medium</x:v>
      </x:c>
      <x:c r="AJ13" s="32" t="str">
        <x:v>2026-07-12</x:v>
      </x:c>
    </x:row>
    <x:row r="14">
      <x:c r="A14" s="32" t="str">
        <x:v>Personalised cloud service health</x:v>
      </x:c>
      <x:c r="B14" s="32" t="str">
        <x:v>01 Strategy, Governance &amp; FinOps</x:v>
      </x:c>
      <x:c r="C14" s="32" t="str">
        <x:v>Architecture Assurance &amp; Service Health</x:v>
      </x:c>
      <x:c r="D14" s="32" t="str">
        <x:v>Workload</x:v>
      </x:c>
      <x:c r="E14" s="32" t="str">
        <x:v>What business outcome, scale, control, integration and operating model justify choosing personalised cloud service health?</x:v>
      </x:c>
      <x:c r="F14" s="32" t="str">
        <x:v>AWS Health</x:v>
      </x:c>
      <x:c r="G14" s="32" t="str">
        <x:v>Azure Service Health</x:v>
      </x:c>
      <x:c r="H14" s="32" t="str">
        <x:v>Personalized Service Health</x:v>
      </x:c>
      <x:c r="I14" s="32" t="n">
        <x:v>4.2</x:v>
      </x:c>
      <x:c r="J14" s="32" t="n">
        <x:v>3</x:v>
      </x:c>
      <x:c r="K14" s="32" t="n">
        <x:v>4.4</x:v>
      </x:c>
      <x:c r="L14" s="32" t="n">
        <x:v>3.9</x:v>
      </x:c>
      <x:c r="M14" s="32" t="n">
        <x:v>3.5</x:v>
      </x:c>
      <x:c r="N14" s="32" t="n">
        <x:v>4.6</x:v>
      </x:c>
      <x:c r="O14" s="32" t="n">
        <x:v>3.7</x:v>
      </x:c>
      <x:c r="P14" s="32" t="n">
        <x:v>4.2</x:v>
      </x:c>
      <x:c r="Q14" s="32" t="n">
        <x:v>3</x:v>
      </x:c>
      <x:c r="R14" s="32" t="n">
        <x:v>4.5</x:v>
      </x:c>
      <x:c r="S14" s="32" t="n">
        <x:v>3.9</x:v>
      </x:c>
      <x:c r="T14" s="32" t="n">
        <x:v>3.5</x:v>
      </x:c>
      <x:c r="U14" s="32" t="n">
        <x:v>4.5</x:v>
      </x:c>
      <x:c r="V14" s="32" t="n">
        <x:v>3.8</x:v>
      </x:c>
      <x:c r="W14" s="32" t="n">
        <x:v>4.2</x:v>
      </x:c>
      <x:c r="X14" s="32" t="n">
        <x:v>3</x:v>
      </x:c>
      <x:c r="Y14" s="32" t="n">
        <x:v>4.2</x:v>
      </x:c>
      <x:c r="Z14" s="32" t="n">
        <x:v>4</x:v>
      </x:c>
      <x:c r="AA14" s="32" t="n">
        <x:v>3.5</x:v>
      </x:c>
      <x:c r="AB14" s="32" t="n">
        <x:v>4.4</x:v>
      </x:c>
      <x:c r="AC14" s="32" t="n">
        <x:v>3.9</x:v>
      </x:c>
      <x:c r="AD14" s="32" t="n">
        <x:f>ROUND((I14*'Criteria &amp; Scoring'!$B$5+J14*'Criteria &amp; Scoring'!$B$6+K14*'Criteria &amp; Scoring'!$B$7+L14*'Criteria &amp; Scoring'!$B$8+M14*'Criteria &amp; Scoring'!$B$9+N14*'Criteria &amp; Scoring'!$B$10+O14*'Criteria &amp; Scoring'!$B$11)/SUM('Criteria &amp; Scoring'!$B$5:$B$11),2)</x:f>
        <x:v>3.89</x:v>
      </x:c>
      <x:c r="AE14" s="32" t="n">
        <x:f>ROUND((P14*'Criteria &amp; Scoring'!$B$5+Q14*'Criteria &amp; Scoring'!$B$6+R14*'Criteria &amp; Scoring'!$B$7+S14*'Criteria &amp; Scoring'!$B$8+T14*'Criteria &amp; Scoring'!$B$9+U14*'Criteria &amp; Scoring'!$B$10+V14*'Criteria &amp; Scoring'!$B$11)/SUM('Criteria &amp; Scoring'!$B$5:$B$11),2)</x:f>
        <x:v>3.9</x:v>
      </x:c>
      <x:c r="AF14" s="32" t="n">
        <x:f>ROUND((W14*'Criteria &amp; Scoring'!$B$5+X14*'Criteria &amp; Scoring'!$B$6+Y14*'Criteria &amp; Scoring'!$B$7+Z14*'Criteria &amp; Scoring'!$B$8+AA14*'Criteria &amp; Scoring'!$B$9+AB14*'Criteria &amp; Scoring'!$B$10+AC14*'Criteria &amp; Scoring'!$B$11)/SUM('Criteria &amp; Scoring'!$B$5:$B$11),2)</x:f>
        <x:v>3.87</x:v>
      </x:c>
      <x:c r="AG14" s="32" t="str">
        <x:f>IF(LARGE(AD14:AF14,1)-LARGE(AD14:AF14,2)&lt;0.15,"Context-dependent tie",SUBSTITUTE(INDEX($AD$4:$AF$4,1,MATCH(MAX(AD14:AF14),AD14:AF14,0))," Overall",""))</x:f>
        <x:v>Context-dependent tie</x:v>
      </x:c>
      <x:c r="AH14" s="32" t="str">
        <x:f>IF(AG14="AWS","Start with AWS when infrastructure breadth, native integration and operational maturity are the main differentiators.",IF(AG14="Azure","Start with Azure when Microsoft identity, security, data, productivity or hybrid integration reduces delivery effort.",IF(AG14="GCP","Start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4" s="32" t="str">
        <x:v>High</x:v>
      </x:c>
      <x:c r="AJ14" s="32" t="str">
        <x:v>2026-07-12</x:v>
      </x:c>
    </x:row>
    <x:row r="15">
      <x:c r="A15" s="32" t="str">
        <x:v>Central cloud notifications</x:v>
      </x:c>
      <x:c r="B15" s="32" t="str">
        <x:v>01 Strategy, Governance &amp; FinOps</x:v>
      </x:c>
      <x:c r="C15" s="32" t="str">
        <x:v>Architecture Assurance &amp; Service Health</x:v>
      </x:c>
      <x:c r="D15" s="32" t="str">
        <x:v>Component</x:v>
      </x:c>
      <x:c r="E15" s="32" t="str">
        <x:v>What business outcome, scale, control, integration and operating model justify choosing central cloud notifications?</x:v>
      </x:c>
      <x:c r="F15" s="32" t="str">
        <x:v>AWS User Notifications
Amazon Q Developer in chat applications</x:v>
      </x:c>
      <x:c r="G15" s="32" t="str">
        <x:v>Azure Service Health alerts
Azure Monitor action groups</x:v>
      </x:c>
      <x:c r="H15" s="32" t="str">
        <x:v>Essential Contacts
Advisory Notifications</x:v>
      </x:c>
      <x:c r="I15" s="32" t="n">
        <x:v>3.9</x:v>
      </x:c>
      <x:c r="J15" s="32" t="n">
        <x:v>3.9</x:v>
      </x:c>
      <x:c r="K15" s="32" t="n">
        <x:v>4.2</x:v>
      </x:c>
      <x:c r="L15" s="32" t="n">
        <x:v>3.8</x:v>
      </x:c>
      <x:c r="M15" s="32" t="n">
        <x:v>3.5</x:v>
      </x:c>
      <x:c r="N15" s="32" t="n">
        <x:v>4.4</x:v>
      </x:c>
      <x:c r="O15" s="32" t="n">
        <x:v>3.6</x:v>
      </x:c>
      <x:c r="P15" s="32" t="n">
        <x:v>3.9</x:v>
      </x:c>
      <x:c r="Q15" s="32" t="n">
        <x:v>3.9</x:v>
      </x:c>
      <x:c r="R15" s="32" t="n">
        <x:v>4.4</x:v>
      </x:c>
      <x:c r="S15" s="32" t="n">
        <x:v>3.8</x:v>
      </x:c>
      <x:c r="T15" s="32" t="n">
        <x:v>3.5</x:v>
      </x:c>
      <x:c r="U15" s="32" t="n">
        <x:v>4.3</x:v>
      </x:c>
      <x:c r="V15" s="32" t="n">
        <x:v>3.7</x:v>
      </x:c>
      <x:c r="W15" s="32" t="n">
        <x:v>3.9</x:v>
      </x:c>
      <x:c r="X15" s="32" t="n">
        <x:v>3.9</x:v>
      </x:c>
      <x:c r="Y15" s="32" t="n">
        <x:v>4.1</x:v>
      </x:c>
      <x:c r="Z15" s="32" t="n">
        <x:v>3.9</x:v>
      </x:c>
      <x:c r="AA15" s="32" t="n">
        <x:v>3.5</x:v>
      </x:c>
      <x:c r="AB15" s="32" t="n">
        <x:v>4.2</x:v>
      </x:c>
      <x:c r="AC15" s="32" t="n">
        <x:v>3.8</x:v>
      </x:c>
      <x:c r="AD15" s="32" t="n">
        <x:f>ROUND((I15*'Criteria &amp; Scoring'!$B$5+J15*'Criteria &amp; Scoring'!$B$6+K15*'Criteria &amp; Scoring'!$B$7+L15*'Criteria &amp; Scoring'!$B$8+M15*'Criteria &amp; Scoring'!$B$9+N15*'Criteria &amp; Scoring'!$B$10+O15*'Criteria &amp; Scoring'!$B$11)/SUM('Criteria &amp; Scoring'!$B$5:$B$11),2)</x:f>
        <x:v>3.93</x:v>
      </x:c>
      <x:c r="AE15" s="32" t="n">
        <x:f>ROUND((P15*'Criteria &amp; Scoring'!$B$5+Q15*'Criteria &amp; Scoring'!$B$6+R15*'Criteria &amp; Scoring'!$B$7+S15*'Criteria &amp; Scoring'!$B$8+T15*'Criteria &amp; Scoring'!$B$9+U15*'Criteria &amp; Scoring'!$B$10+V15*'Criteria &amp; Scoring'!$B$11)/SUM('Criteria &amp; Scoring'!$B$5:$B$11),2)</x:f>
        <x:v>3.95</x:v>
      </x:c>
      <x:c r="AF15" s="32" t="n">
        <x:f>ROUND((W15*'Criteria &amp; Scoring'!$B$5+X15*'Criteria &amp; Scoring'!$B$6+Y15*'Criteria &amp; Scoring'!$B$7+Z15*'Criteria &amp; Scoring'!$B$8+AA15*'Criteria &amp; Scoring'!$B$9+AB15*'Criteria &amp; Scoring'!$B$10+AC15*'Criteria &amp; Scoring'!$B$11)/SUM('Criteria &amp; Scoring'!$B$5:$B$11),2)</x:f>
        <x:v>3.91</x:v>
      </x:c>
      <x:c r="AG15" s="32" t="str">
        <x:f>IF(LARGE(AD15:AF15,1)-LARGE(AD15:AF15,2)&lt;0.15,"Context-dependent tie",SUBSTITUTE(INDEX($AD$4:$AF$4,1,MATCH(MAX(AD15:AF15),AD15:AF15,0))," Overall",""))</x:f>
        <x:v>Context-dependent tie</x:v>
      </x:c>
      <x:c r="AH15" s="32" t="str">
        <x:f>IF(AG15="AWS","Start with AWS when infrastructure breadth, native integration and operational maturity are the main differentiators.",IF(AG15="Azure","Start with Azure when Microsoft identity, security, data, productivity or hybrid integration reduces delivery effort.",IF(AG15="GCP","Start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5" s="32" t="str">
        <x:v>Medium</x:v>
      </x:c>
      <x:c r="AJ15" s="32" t="str">
        <x:v>2026-07-12</x:v>
      </x:c>
    </x:row>
    <x:row r="16">
      <x:c r="A16" s="32" t="str">
        <x:v>Software licence management</x:v>
      </x:c>
      <x:c r="B16" s="32" t="str">
        <x:v>01 Strategy, Governance &amp; FinOps</x:v>
      </x:c>
      <x:c r="C16" s="32" t="str">
        <x:v>Cloud Operations &amp; Management</x:v>
      </x:c>
      <x:c r="D16" s="32" t="str">
        <x:v>Workload</x:v>
      </x:c>
      <x:c r="E16" s="32" t="str">
        <x:v>What business outcome, scale, control, integration and operating model justify choosing software licence management?</x:v>
      </x:c>
      <x:c r="F16" s="32" t="str">
        <x:v>AWS License Manager</x:v>
      </x:c>
      <x:c r="G16" s="32" t="str">
        <x:v>Azure Hybrid Benefit
Azure Arc-enabled licensing</x:v>
      </x:c>
      <x:c r="H16" s="32" t="str">
        <x:v>License Manager</x:v>
      </x:c>
      <x:c r="I16" s="32" t="n">
        <x:v>3.5</x:v>
      </x:c>
      <x:c r="J16" s="32" t="n">
        <x:v>3</x:v>
      </x:c>
      <x:c r="K16" s="32" t="n">
        <x:v>4.1</x:v>
      </x:c>
      <x:c r="L16" s="32" t="n">
        <x:v>3.9</x:v>
      </x:c>
      <x:c r="M16" s="32" t="n">
        <x:v>3.5</x:v>
      </x:c>
      <x:c r="N16" s="32" t="n">
        <x:v>4.3</x:v>
      </x:c>
      <x:c r="O16" s="32" t="n">
        <x:v>3.7</x:v>
      </x:c>
      <x:c r="P16" s="32" t="n">
        <x:v>3.4</x:v>
      </x:c>
      <x:c r="Q16" s="32" t="n">
        <x:v>2.9</x:v>
      </x:c>
      <x:c r="R16" s="32" t="n">
        <x:v>4.1</x:v>
      </x:c>
      <x:c r="S16" s="32" t="n">
        <x:v>3.8</x:v>
      </x:c>
      <x:c r="T16" s="32" t="n">
        <x:v>3.5</x:v>
      </x:c>
      <x:c r="U16" s="32" t="n">
        <x:v>4.1</x:v>
      </x:c>
      <x:c r="V16" s="32" t="n">
        <x:v>3.7</x:v>
      </x:c>
      <x:c r="W16" s="32" t="n">
        <x:v>3.5</x:v>
      </x:c>
      <x:c r="X16" s="32" t="n">
        <x:v>3</x:v>
      </x:c>
      <x:c r="Y16" s="32" t="n">
        <x:v>3.9</x:v>
      </x:c>
      <x:c r="Z16" s="32" t="n">
        <x:v>4</x:v>
      </x:c>
      <x:c r="AA16" s="32" t="n">
        <x:v>3.5</x:v>
      </x:c>
      <x:c r="AB16" s="32" t="n">
        <x:v>4.1</x:v>
      </x:c>
      <x:c r="AC16" s="32" t="n">
        <x:v>3.9</x:v>
      </x:c>
      <x:c r="AD16" s="32" t="n">
        <x:f>ROUND((I16*'Criteria &amp; Scoring'!$B$5+J16*'Criteria &amp; Scoring'!$B$6+K16*'Criteria &amp; Scoring'!$B$7+L16*'Criteria &amp; Scoring'!$B$8+M16*'Criteria &amp; Scoring'!$B$9+N16*'Criteria &amp; Scoring'!$B$10+O16*'Criteria &amp; Scoring'!$B$11)/SUM('Criteria &amp; Scoring'!$B$5:$B$11),2)</x:f>
        <x:v>3.64</x:v>
      </x:c>
      <x:c r="AE16" s="32" t="n">
        <x:f>ROUND((P16*'Criteria &amp; Scoring'!$B$5+Q16*'Criteria &amp; Scoring'!$B$6+R16*'Criteria &amp; Scoring'!$B$7+S16*'Criteria &amp; Scoring'!$B$8+T16*'Criteria &amp; Scoring'!$B$9+U16*'Criteria &amp; Scoring'!$B$10+V16*'Criteria &amp; Scoring'!$B$11)/SUM('Criteria &amp; Scoring'!$B$5:$B$11),2)</x:f>
        <x:v>3.56</x:v>
      </x:c>
      <x:c r="AF16" s="32" t="n">
        <x:f>ROUND((W16*'Criteria &amp; Scoring'!$B$5+X16*'Criteria &amp; Scoring'!$B$6+Y16*'Criteria &amp; Scoring'!$B$7+Z16*'Criteria &amp; Scoring'!$B$8+AA16*'Criteria &amp; Scoring'!$B$9+AB16*'Criteria &amp; Scoring'!$B$10+AC16*'Criteria &amp; Scoring'!$B$11)/SUM('Criteria &amp; Scoring'!$B$5:$B$11),2)</x:f>
        <x:v>3.62</x:v>
      </x:c>
      <x:c r="AG16" s="32" t="str">
        <x:f>IF(LARGE(AD16:AF16,1)-LARGE(AD16:AF16,2)&lt;0.15,"Context-dependent tie",SUBSTITUTE(INDEX($AD$4:$AF$4,1,MATCH(MAX(AD16:AF16),AD16:AF16,0))," Overall",""))</x:f>
        <x:v>Context-dependent tie</x:v>
      </x:c>
      <x:c r="AH16" s="32" t="str">
        <x:f>IF(AG16="AWS","Start with AWS when infrastructure breadth, native integration and operational maturity are the main differentiators.",IF(AG16="Azure","Start with Azure when Microsoft identity, security, data, productivity or hybrid integration reduces delivery effort.",IF(AG16="GCP","Start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6" s="32" t="str">
        <x:v>Low</x:v>
      </x:c>
      <x:c r="AJ16" s="32" t="str">
        <x:v>2026-07-12</x:v>
      </x:c>
    </x:row>
    <x:row r="17">
      <x:c r="A17" s="32" t="str">
        <x:v>Service quota management</x:v>
      </x:c>
      <x:c r="B17" s="32" t="str">
        <x:v>01 Strategy, Governance &amp; FinOps</x:v>
      </x:c>
      <x:c r="C17" s="32" t="str">
        <x:v>Cloud Foundation &amp; Governance</x:v>
      </x:c>
      <x:c r="D17" s="32" t="str">
        <x:v>Workload</x:v>
      </x:c>
      <x:c r="E17" s="32" t="str">
        <x:v>What business outcome, scale, control, integration and operating model justify choosing service quota management?</x:v>
      </x:c>
      <x:c r="F17" s="32" t="str">
        <x:v>AWS Service Quotas</x:v>
      </x:c>
      <x:c r="G17" s="32" t="str">
        <x:v>Azure Quotas</x:v>
      </x:c>
      <x:c r="H17" s="32" t="str">
        <x:v>Cloud Quotas</x:v>
      </x:c>
      <x:c r="I17" s="32" t="n">
        <x:v>4.5</x:v>
      </x:c>
      <x:c r="J17" s="32" t="n">
        <x:v>2.9</x:v>
      </x:c>
      <x:c r="K17" s="32" t="n">
        <x:v>4.6</x:v>
      </x:c>
      <x:c r="L17" s="32" t="n">
        <x:v>3.9</x:v>
      </x:c>
      <x:c r="M17" s="32" t="n">
        <x:v>3.5</x:v>
      </x:c>
      <x:c r="N17" s="32" t="n">
        <x:v>4.6</x:v>
      </x:c>
      <x:c r="O17" s="32" t="n">
        <x:v>3.7</x:v>
      </x:c>
      <x:c r="P17" s="32" t="n">
        <x:v>4.2</x:v>
      </x:c>
      <x:c r="Q17" s="32" t="n">
        <x:v>3</x:v>
      </x:c>
      <x:c r="R17" s="32" t="n">
        <x:v>4.5</x:v>
      </x:c>
      <x:c r="S17" s="32" t="n">
        <x:v>3.9</x:v>
      </x:c>
      <x:c r="T17" s="32" t="n">
        <x:v>3.5</x:v>
      </x:c>
      <x:c r="U17" s="32" t="n">
        <x:v>4.5</x:v>
      </x:c>
      <x:c r="V17" s="32" t="n">
        <x:v>3.8</x:v>
      </x:c>
      <x:c r="W17" s="32" t="n">
        <x:v>4.2</x:v>
      </x:c>
      <x:c r="X17" s="32" t="n">
        <x:v>3</x:v>
      </x:c>
      <x:c r="Y17" s="32" t="n">
        <x:v>4.2</x:v>
      </x:c>
      <x:c r="Z17" s="32" t="n">
        <x:v>4</x:v>
      </x:c>
      <x:c r="AA17" s="32" t="n">
        <x:v>3.5</x:v>
      </x:c>
      <x:c r="AB17" s="32" t="n">
        <x:v>4.4</x:v>
      </x:c>
      <x:c r="AC17" s="32" t="n">
        <x:v>3.9</x:v>
      </x:c>
      <x:c r="AD17" s="32" t="n">
        <x:f>ROUND((I17*'Criteria &amp; Scoring'!$B$5+J17*'Criteria &amp; Scoring'!$B$6+K17*'Criteria &amp; Scoring'!$B$7+L17*'Criteria &amp; Scoring'!$B$8+M17*'Criteria &amp; Scoring'!$B$9+N17*'Criteria &amp; Scoring'!$B$10+O17*'Criteria &amp; Scoring'!$B$11)/SUM('Criteria &amp; Scoring'!$B$5:$B$11),2)</x:f>
        <x:v>3.98</x:v>
      </x:c>
      <x:c r="AE17" s="32" t="n">
        <x:f>ROUND((P17*'Criteria &amp; Scoring'!$B$5+Q17*'Criteria &amp; Scoring'!$B$6+R17*'Criteria &amp; Scoring'!$B$7+S17*'Criteria &amp; Scoring'!$B$8+T17*'Criteria &amp; Scoring'!$B$9+U17*'Criteria &amp; Scoring'!$B$10+V17*'Criteria &amp; Scoring'!$B$11)/SUM('Criteria &amp; Scoring'!$B$5:$B$11),2)</x:f>
        <x:v>3.9</x:v>
      </x:c>
      <x:c r="AF17" s="32" t="n">
        <x:f>ROUND((W17*'Criteria &amp; Scoring'!$B$5+X17*'Criteria &amp; Scoring'!$B$6+Y17*'Criteria &amp; Scoring'!$B$7+Z17*'Criteria &amp; Scoring'!$B$8+AA17*'Criteria &amp; Scoring'!$B$9+AB17*'Criteria &amp; Scoring'!$B$10+AC17*'Criteria &amp; Scoring'!$B$11)/SUM('Criteria &amp; Scoring'!$B$5:$B$11),2)</x:f>
        <x:v>3.87</x:v>
      </x:c>
      <x:c r="AG17" s="32" t="str">
        <x:f>IF(LARGE(AD17:AF17,1)-LARGE(AD17:AF17,2)&lt;0.15,"Context-dependent tie",SUBSTITUTE(INDEX($AD$4:$AF$4,1,MATCH(MAX(AD17:AF17),AD17:AF17,0))," Overall",""))</x:f>
        <x:v>Context-dependent tie</x:v>
      </x:c>
      <x:c r="AH17" s="32" t="str">
        <x:f>IF(AG17="AWS","Start with AWS when infrastructure breadth, native integration and operational maturity are the main differentiators.",IF(AG17="Azure","Start with Azure when Microsoft identity, security, data, productivity or hybrid integration reduces delivery effort.",IF(AG17="GCP","Start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7" s="32" t="str">
        <x:v>High</x:v>
      </x:c>
      <x:c r="AJ17" s="32" t="str">
        <x:v>2026-07-12</x:v>
      </x:c>
    </x:row>
    <x:row r="18">
      <x:c r="A18" s="32" t="str">
        <x:v>Managed cloud operations</x:v>
      </x:c>
      <x:c r="B18" s="32" t="str">
        <x:v>01 Strategy, Governance &amp; FinOps</x:v>
      </x:c>
      <x:c r="C18" s="32" t="str">
        <x:v>Cloud Operations &amp; Management</x:v>
      </x:c>
      <x:c r="D18" s="32" t="str">
        <x:v>Workload</x:v>
      </x:c>
      <x:c r="E18" s="32" t="str">
        <x:v>What business outcome, scale, control, integration and operating model justify choosing managed cloud operations?</x:v>
      </x:c>
      <x:c r="F18" s="32" t="str">
        <x:v>AWS Managed Services</x:v>
      </x:c>
      <x:c r="G18" s="32" t="str">
        <x:v>Azure Expert Managed Services ecosystem</x:v>
      </x:c>
      <x:c r="H18" s="32" t="str">
        <x:v>Google Cloud Consulting / managed services ecosystem</x:v>
      </x:c>
      <x:c r="I18" s="32" t="n">
        <x:v>3.5</x:v>
      </x:c>
      <x:c r="J18" s="32" t="n">
        <x:v>3</x:v>
      </x:c>
      <x:c r="K18" s="32" t="n">
        <x:v>4.1</x:v>
      </x:c>
      <x:c r="L18" s="32" t="n">
        <x:v>3.9</x:v>
      </x:c>
      <x:c r="M18" s="32" t="n">
        <x:v>3.5</x:v>
      </x:c>
      <x:c r="N18" s="32" t="n">
        <x:v>4.3</x:v>
      </x:c>
      <x:c r="O18" s="32" t="n">
        <x:v>3.7</x:v>
      </x:c>
      <x:c r="P18" s="32" t="n">
        <x:v>2.8</x:v>
      </x:c>
      <x:c r="Q18" s="32" t="n">
        <x:v>2.6</x:v>
      </x:c>
      <x:c r="R18" s="32" t="n">
        <x:v>3.8</x:v>
      </x:c>
      <x:c r="S18" s="32" t="n">
        <x:v>3.5</x:v>
      </x:c>
      <x:c r="T18" s="32" t="n">
        <x:v>3.3</x:v>
      </x:c>
      <x:c r="U18" s="32" t="n">
        <x:v>3.7</x:v>
      </x:c>
      <x:c r="V18" s="32" t="n">
        <x:v>3.6</x:v>
      </x:c>
      <x:c r="W18" s="32" t="n">
        <x:v>2.8</x:v>
      </x:c>
      <x:c r="X18" s="32" t="n">
        <x:v>2.6</x:v>
      </x:c>
      <x:c r="Y18" s="32" t="n">
        <x:v>3.5</x:v>
      </x:c>
      <x:c r="Z18" s="32" t="n">
        <x:v>3.6</x:v>
      </x:c>
      <x:c r="AA18" s="32" t="n">
        <x:v>3.3</x:v>
      </x:c>
      <x:c r="AB18" s="32" t="n">
        <x:v>3.6</x:v>
      </x:c>
      <x:c r="AC18" s="32" t="n">
        <x:v>3.6</x:v>
      </x:c>
      <x:c r="AD18" s="32" t="n">
        <x:f>ROUND((I18*'Criteria &amp; Scoring'!$B$5+J18*'Criteria &amp; Scoring'!$B$6+K18*'Criteria &amp; Scoring'!$B$7+L18*'Criteria &amp; Scoring'!$B$8+M18*'Criteria &amp; Scoring'!$B$9+N18*'Criteria &amp; Scoring'!$B$10+O18*'Criteria &amp; Scoring'!$B$11)/SUM('Criteria &amp; Scoring'!$B$5:$B$11),2)</x:f>
        <x:v>3.64</x:v>
      </x:c>
      <x:c r="AE18" s="32" t="n">
        <x:f>ROUND((P18*'Criteria &amp; Scoring'!$B$5+Q18*'Criteria &amp; Scoring'!$B$6+R18*'Criteria &amp; Scoring'!$B$7+S18*'Criteria &amp; Scoring'!$B$8+T18*'Criteria &amp; Scoring'!$B$9+U18*'Criteria &amp; Scoring'!$B$10+V18*'Criteria &amp; Scoring'!$B$11)/SUM('Criteria &amp; Scoring'!$B$5:$B$11),2)</x:f>
        <x:v>3.2</x:v>
      </x:c>
      <x:c r="AF18" s="32" t="n">
        <x:f>ROUND((W18*'Criteria &amp; Scoring'!$B$5+X18*'Criteria &amp; Scoring'!$B$6+Y18*'Criteria &amp; Scoring'!$B$7+Z18*'Criteria &amp; Scoring'!$B$8+AA18*'Criteria &amp; Scoring'!$B$9+AB18*'Criteria &amp; Scoring'!$B$10+AC18*'Criteria &amp; Scoring'!$B$11)/SUM('Criteria &amp; Scoring'!$B$5:$B$11),2)</x:f>
        <x:v>3.16</x:v>
      </x:c>
      <x:c r="AG18" s="32" t="str">
        <x:f>IF(LARGE(AD18:AF18,1)-LARGE(AD18:AF18,2)&lt;0.15,"Context-dependent tie",SUBSTITUTE(INDEX($AD$4:$AF$4,1,MATCH(MAX(AD18:AF18),AD18:AF18,0))," Overall",""))</x:f>
        <x:v>AWS</x:v>
      </x:c>
      <x:c r="AH18" s="32" t="str">
        <x:f>IF(AG18="AWS","Start with AWS when infrastructure breadth, native integration and operational maturity are the main differentiators.",IF(AG18="Azure","Start with Azure when Microsoft identity, security, data, productivity or hybrid integration reduces delivery effort.",IF(AG18="GCP","Start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18" s="32" t="str">
        <x:v>Low</x:v>
      </x:c>
      <x:c r="AJ18" s="32" t="str">
        <x:v>2026-07-12</x:v>
      </x:c>
    </x:row>
    <x:row r="19">
      <x:c r="A19" s="32" t="str">
        <x:v>Cost analysis and optimisation</x:v>
      </x:c>
      <x:c r="B19" s="32" t="str">
        <x:v>01 Strategy, Governance &amp; FinOps</x:v>
      </x:c>
      <x:c r="C19" s="32" t="str">
        <x:v>FinOps, Cost &amp; Sustainability</x:v>
      </x:c>
      <x:c r="D19" s="32" t="str">
        <x:v>Foundation</x:v>
      </x:c>
      <x:c r="E19" s="32" t="str">
        <x:v>What business outcome, scale, control, integration and operating model justify choosing cost analysis and optimisation?</x:v>
      </x:c>
      <x:c r="F19" s="32" t="str">
        <x:v>AWS Cost Explorer
AWS Compute Optimizer</x:v>
      </x:c>
      <x:c r="G19" s="32" t="str">
        <x:v>Microsoft Cost Management
Azure Advisor</x:v>
      </x:c>
      <x:c r="H19" s="32" t="str">
        <x:v>Cloud Billing
FinOps hub
Recommender</x:v>
      </x:c>
      <x:c r="I19" s="32" t="n">
        <x:v>3.9</x:v>
      </x:c>
      <x:c r="J19" s="32" t="n">
        <x:v>2.9</x:v>
      </x:c>
      <x:c r="K19" s="32" t="n">
        <x:v>4.2</x:v>
      </x:c>
      <x:c r="L19" s="32" t="n">
        <x:v>3.8</x:v>
      </x:c>
      <x:c r="M19" s="32" t="n">
        <x:v>3.5</x:v>
      </x:c>
      <x:c r="N19" s="32" t="n">
        <x:v>4.4</x:v>
      </x:c>
      <x:c r="O19" s="32" t="n">
        <x:v>3.6</x:v>
      </x:c>
      <x:c r="P19" s="32" t="n">
        <x:v>3.9</x:v>
      </x:c>
      <x:c r="Q19" s="32" t="n">
        <x:v>2.9</x:v>
      </x:c>
      <x:c r="R19" s="32" t="n">
        <x:v>4.7</x:v>
      </x:c>
      <x:c r="S19" s="32" t="n">
        <x:v>3.8</x:v>
      </x:c>
      <x:c r="T19" s="32" t="n">
        <x:v>3.5</x:v>
      </x:c>
      <x:c r="U19" s="32" t="n">
        <x:v>4.3</x:v>
      </x:c>
      <x:c r="V19" s="32" t="n">
        <x:v>3.7</x:v>
      </x:c>
      <x:c r="W19" s="32" t="n">
        <x:v>3.9</x:v>
      </x:c>
      <x:c r="X19" s="32" t="n">
        <x:v>2.9</x:v>
      </x:c>
      <x:c r="Y19" s="32" t="n">
        <x:v>4.3</x:v>
      </x:c>
      <x:c r="Z19" s="32" t="n">
        <x:v>3.9</x:v>
      </x:c>
      <x:c r="AA19" s="32" t="n">
        <x:v>3.5</x:v>
      </x:c>
      <x:c r="AB19" s="32" t="n">
        <x:v>4.2</x:v>
      </x:c>
      <x:c r="AC19" s="32" t="n">
        <x:v>3.8</x:v>
      </x:c>
      <x:c r="AD19" s="32" t="n">
        <x:f>ROUND((I19*'Criteria &amp; Scoring'!$B$5+J19*'Criteria &amp; Scoring'!$B$6+K19*'Criteria &amp; Scoring'!$B$7+L19*'Criteria &amp; Scoring'!$B$8+M19*'Criteria &amp; Scoring'!$B$9+N19*'Criteria &amp; Scoring'!$B$10+O19*'Criteria &amp; Scoring'!$B$11)/SUM('Criteria &amp; Scoring'!$B$5:$B$11),2)</x:f>
        <x:v>3.73</x:v>
      </x:c>
      <x:c r="AE19" s="32" t="n">
        <x:f>ROUND((P19*'Criteria &amp; Scoring'!$B$5+Q19*'Criteria &amp; Scoring'!$B$6+R19*'Criteria &amp; Scoring'!$B$7+S19*'Criteria &amp; Scoring'!$B$8+T19*'Criteria &amp; Scoring'!$B$9+U19*'Criteria &amp; Scoring'!$B$10+V19*'Criteria &amp; Scoring'!$B$11)/SUM('Criteria &amp; Scoring'!$B$5:$B$11),2)</x:f>
        <x:v>3.8</x:v>
      </x:c>
      <x:c r="AF19" s="32" t="n">
        <x:f>ROUND((W19*'Criteria &amp; Scoring'!$B$5+X19*'Criteria &amp; Scoring'!$B$6+Y19*'Criteria &amp; Scoring'!$B$7+Z19*'Criteria &amp; Scoring'!$B$8+AA19*'Criteria &amp; Scoring'!$B$9+AB19*'Criteria &amp; Scoring'!$B$10+AC19*'Criteria &amp; Scoring'!$B$11)/SUM('Criteria &amp; Scoring'!$B$5:$B$11),2)</x:f>
        <x:v>3.74</x:v>
      </x:c>
      <x:c r="AG19" s="32" t="str">
        <x:f>IF(LARGE(AD19:AF19,1)-LARGE(AD19:AF19,2)&lt;0.15,"Context-dependent tie",SUBSTITUTE(INDEX($AD$4:$AF$4,1,MATCH(MAX(AD19:AF19),AD19:AF19,0))," Overall",""))</x:f>
        <x:v>Context-dependent tie</x:v>
      </x:c>
      <x:c r="AH19" s="32" t="str">
        <x:f>IF(AG19="AWS","Start with AWS when infrastructure breadth, native integration and operational maturity are the main differentiators.",IF(AG19="Azure","Start with Azure when Microsoft identity, security, data, productivity or hybrid integration reduces delivery effort.",IF(AG19="GCP","Start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9" s="32" t="str">
        <x:v>Medium</x:v>
      </x:c>
      <x:c r="AJ19" s="32" t="str">
        <x:v>2026-07-12</x:v>
      </x:c>
    </x:row>
    <x:row r="20">
      <x:c r="A20" s="32" t="str">
        <x:v>Cloud budgets and alerts</x:v>
      </x:c>
      <x:c r="B20" s="32" t="str">
        <x:v>01 Strategy, Governance &amp; FinOps</x:v>
      </x:c>
      <x:c r="C20" s="32" t="str">
        <x:v>FinOps, Cost &amp; Sustainability</x:v>
      </x:c>
      <x:c r="D20" s="32" t="str">
        <x:v>Workload</x:v>
      </x:c>
      <x:c r="E20" s="32" t="str">
        <x:v>What business outcome, scale, control, integration and operating model justify choosing cloud budgets and alerts?</x:v>
      </x:c>
      <x:c r="F20" s="32" t="str">
        <x:v>AWS Budgets</x:v>
      </x:c>
      <x:c r="G20" s="32" t="str">
        <x:v>Microsoft Cost Management budgets</x:v>
      </x:c>
      <x:c r="H20" s="32" t="str">
        <x:v>Cloud Billing budgets and alerts</x:v>
      </x:c>
      <x:c r="I20" s="32" t="n">
        <x:v>4.2</x:v>
      </x:c>
      <x:c r="J20" s="32" t="n">
        <x:v>4</x:v>
      </x:c>
      <x:c r="K20" s="32" t="n">
        <x:v>4.4</x:v>
      </x:c>
      <x:c r="L20" s="32" t="n">
        <x:v>3.9</x:v>
      </x:c>
      <x:c r="M20" s="32" t="n">
        <x:v>3.5</x:v>
      </x:c>
      <x:c r="N20" s="32" t="n">
        <x:v>4.6</x:v>
      </x:c>
      <x:c r="O20" s="32" t="n">
        <x:v>3.7</x:v>
      </x:c>
      <x:c r="P20" s="32" t="n">
        <x:v>4.2</x:v>
      </x:c>
      <x:c r="Q20" s="32" t="n">
        <x:v>4</x:v>
      </x:c>
      <x:c r="R20" s="32" t="n">
        <x:v>4.8</x:v>
      </x:c>
      <x:c r="S20" s="32" t="n">
        <x:v>3.9</x:v>
      </x:c>
      <x:c r="T20" s="32" t="n">
        <x:v>3.5</x:v>
      </x:c>
      <x:c r="U20" s="32" t="n">
        <x:v>4.5</x:v>
      </x:c>
      <x:c r="V20" s="32" t="n">
        <x:v>3.8</x:v>
      </x:c>
      <x:c r="W20" s="32" t="n">
        <x:v>4.2</x:v>
      </x:c>
      <x:c r="X20" s="32" t="n">
        <x:v>4</x:v>
      </x:c>
      <x:c r="Y20" s="32" t="n">
        <x:v>4.5</x:v>
      </x:c>
      <x:c r="Z20" s="32" t="n">
        <x:v>4</x:v>
      </x:c>
      <x:c r="AA20" s="32" t="n">
        <x:v>3.5</x:v>
      </x:c>
      <x:c r="AB20" s="32" t="n">
        <x:v>4.4</x:v>
      </x:c>
      <x:c r="AC20" s="32" t="n">
        <x:v>3.9</x:v>
      </x:c>
      <x:c r="AD20" s="32" t="n">
        <x:f>ROUND((I20*'Criteria &amp; Scoring'!$B$5+J20*'Criteria &amp; Scoring'!$B$6+K20*'Criteria &amp; Scoring'!$B$7+L20*'Criteria &amp; Scoring'!$B$8+M20*'Criteria &amp; Scoring'!$B$9+N20*'Criteria &amp; Scoring'!$B$10+O20*'Criteria &amp; Scoring'!$B$11)/SUM('Criteria &amp; Scoring'!$B$5:$B$11),2)</x:f>
        <x:v>4.09</x:v>
      </x:c>
      <x:c r="AE20" s="32" t="n">
        <x:f>ROUND((P20*'Criteria &amp; Scoring'!$B$5+Q20*'Criteria &amp; Scoring'!$B$6+R20*'Criteria &amp; Scoring'!$B$7+S20*'Criteria &amp; Scoring'!$B$8+T20*'Criteria &amp; Scoring'!$B$9+U20*'Criteria &amp; Scoring'!$B$10+V20*'Criteria &amp; Scoring'!$B$11)/SUM('Criteria &amp; Scoring'!$B$5:$B$11),2)</x:f>
        <x:v>4.15</x:v>
      </x:c>
      <x:c r="AF20" s="32" t="n">
        <x:f>ROUND((W20*'Criteria &amp; Scoring'!$B$5+X20*'Criteria &amp; Scoring'!$B$6+Y20*'Criteria &amp; Scoring'!$B$7+Z20*'Criteria &amp; Scoring'!$B$8+AA20*'Criteria &amp; Scoring'!$B$9+AB20*'Criteria &amp; Scoring'!$B$10+AC20*'Criteria &amp; Scoring'!$B$11)/SUM('Criteria &amp; Scoring'!$B$5:$B$11),2)</x:f>
        <x:v>4.11</x:v>
      </x:c>
      <x:c r="AG20" s="32" t="str">
        <x:f>IF(LARGE(AD20:AF20,1)-LARGE(AD20:AF20,2)&lt;0.15,"Context-dependent tie",SUBSTITUTE(INDEX($AD$4:$AF$4,1,MATCH(MAX(AD20:AF20),AD20:AF20,0))," Overall",""))</x:f>
        <x:v>Context-dependent tie</x:v>
      </x:c>
      <x:c r="AH20" s="32" t="str">
        <x:f>IF(AG20="AWS","Start with AWS when infrastructure breadth, native integration and operational maturity are the main differentiators.",IF(AG20="Azure","Start with Azure when Microsoft identity, security, data, productivity or hybrid integration reduces delivery effort.",IF(AG20="GCP","Start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0" s="32" t="str">
        <x:v>High</x:v>
      </x:c>
      <x:c r="AJ20" s="32" t="str">
        <x:v>2026-07-12</x:v>
      </x:c>
    </x:row>
    <x:row r="21">
      <x:c r="A21" s="32" t="str">
        <x:v>Custom billing and chargeback</x:v>
      </x:c>
      <x:c r="B21" s="32" t="str">
        <x:v>01 Strategy, Governance &amp; FinOps</x:v>
      </x:c>
      <x:c r="C21" s="32" t="str">
        <x:v>FinOps, Cost &amp; Sustainability</x:v>
      </x:c>
      <x:c r="D21" s="32" t="str">
        <x:v>Workload</x:v>
      </x:c>
      <x:c r="E21" s="32" t="str">
        <x:v>What business outcome, scale, control, integration and operating model justify choosing custom billing and chargeback?</x:v>
      </x:c>
      <x:c r="F21" s="32" t="str">
        <x:v>AWS Billing Conductor
AWS Cost and Usage Report</x:v>
      </x:c>
      <x:c r="G21" s="32" t="str">
        <x:v>Microsoft Cost Management exports
Cost allocation rules</x:v>
      </x:c>
      <x:c r="H21" s="32" t="str">
        <x:v>Cloud Billing export
Billing account structure</x:v>
      </x:c>
      <x:c r="I21" s="32" t="n">
        <x:v>3.9</x:v>
      </x:c>
      <x:c r="J21" s="32" t="n">
        <x:v>2.9</x:v>
      </x:c>
      <x:c r="K21" s="32" t="n">
        <x:v>4.2</x:v>
      </x:c>
      <x:c r="L21" s="32" t="n">
        <x:v>3.8</x:v>
      </x:c>
      <x:c r="M21" s="32" t="n">
        <x:v>3.5</x:v>
      </x:c>
      <x:c r="N21" s="32" t="n">
        <x:v>4.4</x:v>
      </x:c>
      <x:c r="O21" s="32" t="n">
        <x:v>3.6</x:v>
      </x:c>
      <x:c r="P21" s="32" t="n">
        <x:v>3.9</x:v>
      </x:c>
      <x:c r="Q21" s="32" t="n">
        <x:v>2.9</x:v>
      </x:c>
      <x:c r="R21" s="32" t="n">
        <x:v>4.7</x:v>
      </x:c>
      <x:c r="S21" s="32" t="n">
        <x:v>3.8</x:v>
      </x:c>
      <x:c r="T21" s="32" t="n">
        <x:v>3.5</x:v>
      </x:c>
      <x:c r="U21" s="32" t="n">
        <x:v>4.3</x:v>
      </x:c>
      <x:c r="V21" s="32" t="n">
        <x:v>3.7</x:v>
      </x:c>
      <x:c r="W21" s="32" t="n">
        <x:v>3.9</x:v>
      </x:c>
      <x:c r="X21" s="32" t="n">
        <x:v>2.9</x:v>
      </x:c>
      <x:c r="Y21" s="32" t="n">
        <x:v>4.3</x:v>
      </x:c>
      <x:c r="Z21" s="32" t="n">
        <x:v>3.9</x:v>
      </x:c>
      <x:c r="AA21" s="32" t="n">
        <x:v>3.5</x:v>
      </x:c>
      <x:c r="AB21" s="32" t="n">
        <x:v>4.2</x:v>
      </x:c>
      <x:c r="AC21" s="32" t="n">
        <x:v>3.8</x:v>
      </x:c>
      <x:c r="AD21" s="32" t="n">
        <x:f>ROUND((I21*'Criteria &amp; Scoring'!$B$5+J21*'Criteria &amp; Scoring'!$B$6+K21*'Criteria &amp; Scoring'!$B$7+L21*'Criteria &amp; Scoring'!$B$8+M21*'Criteria &amp; Scoring'!$B$9+N21*'Criteria &amp; Scoring'!$B$10+O21*'Criteria &amp; Scoring'!$B$11)/SUM('Criteria &amp; Scoring'!$B$5:$B$11),2)</x:f>
        <x:v>3.73</x:v>
      </x:c>
      <x:c r="AE21" s="32" t="n">
        <x:f>ROUND((P21*'Criteria &amp; Scoring'!$B$5+Q21*'Criteria &amp; Scoring'!$B$6+R21*'Criteria &amp; Scoring'!$B$7+S21*'Criteria &amp; Scoring'!$B$8+T21*'Criteria &amp; Scoring'!$B$9+U21*'Criteria &amp; Scoring'!$B$10+V21*'Criteria &amp; Scoring'!$B$11)/SUM('Criteria &amp; Scoring'!$B$5:$B$11),2)</x:f>
        <x:v>3.8</x:v>
      </x:c>
      <x:c r="AF21" s="32" t="n">
        <x:f>ROUND((W21*'Criteria &amp; Scoring'!$B$5+X21*'Criteria &amp; Scoring'!$B$6+Y21*'Criteria &amp; Scoring'!$B$7+Z21*'Criteria &amp; Scoring'!$B$8+AA21*'Criteria &amp; Scoring'!$B$9+AB21*'Criteria &amp; Scoring'!$B$10+AC21*'Criteria &amp; Scoring'!$B$11)/SUM('Criteria &amp; Scoring'!$B$5:$B$11),2)</x:f>
        <x:v>3.74</x:v>
      </x:c>
      <x:c r="AG21" s="32" t="str">
        <x:f>IF(LARGE(AD21:AF21,1)-LARGE(AD21:AF21,2)&lt;0.15,"Context-dependent tie",SUBSTITUTE(INDEX($AD$4:$AF$4,1,MATCH(MAX(AD21:AF21),AD21:AF21,0))," Overall",""))</x:f>
        <x:v>Context-dependent tie</x:v>
      </x:c>
      <x:c r="AH21" s="32" t="str">
        <x:f>IF(AG21="AWS","Start with AWS when infrastructure breadth, native integration and operational maturity are the main differentiators.",IF(AG21="Azure","Start with Azure when Microsoft identity, security, data, productivity or hybrid integration reduces delivery effort.",IF(AG21="GCP","Start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1" s="32" t="str">
        <x:v>Medium</x:v>
      </x:c>
      <x:c r="AJ21" s="32" t="str">
        <x:v>2026-07-12</x:v>
      </x:c>
    </x:row>
    <x:row r="22">
      <x:c r="A22" s="32" t="str">
        <x:v>Committed-use savings</x:v>
      </x:c>
      <x:c r="B22" s="32" t="str">
        <x:v>01 Strategy, Governance &amp; FinOps</x:v>
      </x:c>
      <x:c r="C22" s="32" t="str">
        <x:v>FinOps, Cost &amp; Sustainability</x:v>
      </x:c>
      <x:c r="D22" s="32" t="str">
        <x:v>Workload</x:v>
      </x:c>
      <x:c r="E22" s="32" t="str">
        <x:v>What business outcome, scale, control, integration and operating model justify choosing committed-use savings?</x:v>
      </x:c>
      <x:c r="F22" s="32" t="str">
        <x:v>AWS Savings Plans
Reserved Instances</x:v>
      </x:c>
      <x:c r="G22" s="32" t="str">
        <x:v>Azure Reservations
Azure savings plan for compute</x:v>
      </x:c>
      <x:c r="H22" s="32" t="str">
        <x:v>Committed Use Discounts</x:v>
      </x:c>
      <x:c r="I22" s="32" t="n">
        <x:v>4</x:v>
      </x:c>
      <x:c r="J22" s="32" t="n">
        <x:v>2.9</x:v>
      </x:c>
      <x:c r="K22" s="32" t="n">
        <x:v>4.3</x:v>
      </x:c>
      <x:c r="L22" s="32" t="n">
        <x:v>3.8</x:v>
      </x:c>
      <x:c r="M22" s="32" t="n">
        <x:v>3.5</x:v>
      </x:c>
      <x:c r="N22" s="32" t="n">
        <x:v>4.5</x:v>
      </x:c>
      <x:c r="O22" s="32" t="n">
        <x:v>3.6</x:v>
      </x:c>
      <x:c r="P22" s="32" t="n">
        <x:v>4</x:v>
      </x:c>
      <x:c r="Q22" s="32" t="n">
        <x:v>2.9</x:v>
      </x:c>
      <x:c r="R22" s="32" t="n">
        <x:v>4.8</x:v>
      </x:c>
      <x:c r="S22" s="32" t="n">
        <x:v>3.8</x:v>
      </x:c>
      <x:c r="T22" s="32" t="n">
        <x:v>3.5</x:v>
      </x:c>
      <x:c r="U22" s="32" t="n">
        <x:v>4.4</x:v>
      </x:c>
      <x:c r="V22" s="32" t="n">
        <x:v>3.7</x:v>
      </x:c>
      <x:c r="W22" s="32" t="n">
        <x:v>4.2</x:v>
      </x:c>
      <x:c r="X22" s="32" t="n">
        <x:v>3</x:v>
      </x:c>
      <x:c r="Y22" s="32" t="n">
        <x:v>4.5</x:v>
      </x:c>
      <x:c r="Z22" s="32" t="n">
        <x:v>4</x:v>
      </x:c>
      <x:c r="AA22" s="32" t="n">
        <x:v>3.5</x:v>
      </x:c>
      <x:c r="AB22" s="32" t="n">
        <x:v>4.4</x:v>
      </x:c>
      <x:c r="AC22" s="32" t="n">
        <x:v>3.9</x:v>
      </x:c>
      <x:c r="AD22" s="32" t="n">
        <x:f>ROUND((I22*'Criteria &amp; Scoring'!$B$5+J22*'Criteria &amp; Scoring'!$B$6+K22*'Criteria &amp; Scoring'!$B$7+L22*'Criteria &amp; Scoring'!$B$8+M22*'Criteria &amp; Scoring'!$B$9+N22*'Criteria &amp; Scoring'!$B$10+O22*'Criteria &amp; Scoring'!$B$11)/SUM('Criteria &amp; Scoring'!$B$5:$B$11),2)</x:f>
        <x:v>3.78</x:v>
      </x:c>
      <x:c r="AE22" s="32" t="n">
        <x:f>ROUND((P22*'Criteria &amp; Scoring'!$B$5+Q22*'Criteria &amp; Scoring'!$B$6+R22*'Criteria &amp; Scoring'!$B$7+S22*'Criteria &amp; Scoring'!$B$8+T22*'Criteria &amp; Scoring'!$B$9+U22*'Criteria &amp; Scoring'!$B$10+V22*'Criteria &amp; Scoring'!$B$11)/SUM('Criteria &amp; Scoring'!$B$5:$B$11),2)</x:f>
        <x:v>3.85</x:v>
      </x:c>
      <x:c r="AF22" s="32" t="n">
        <x:f>ROUND((W22*'Criteria &amp; Scoring'!$B$5+X22*'Criteria &amp; Scoring'!$B$6+Y22*'Criteria &amp; Scoring'!$B$7+Z22*'Criteria &amp; Scoring'!$B$8+AA22*'Criteria &amp; Scoring'!$B$9+AB22*'Criteria &amp; Scoring'!$B$10+AC22*'Criteria &amp; Scoring'!$B$11)/SUM('Criteria &amp; Scoring'!$B$5:$B$11),2)</x:f>
        <x:v>3.91</x:v>
      </x:c>
      <x:c r="AG22" s="32" t="str">
        <x:f>IF(LARGE(AD22:AF22,1)-LARGE(AD22:AF22,2)&lt;0.15,"Context-dependent tie",SUBSTITUTE(INDEX($AD$4:$AF$4,1,MATCH(MAX(AD22:AF22),AD22:AF22,0))," Overall",""))</x:f>
        <x:v>Context-dependent tie</x:v>
      </x:c>
      <x:c r="AH22" s="32" t="str">
        <x:f>IF(AG22="AWS","Start with AWS when infrastructure breadth, native integration and operational maturity are the main differentiators.",IF(AG22="Azure","Start with Azure when Microsoft identity, security, data, productivity or hybrid integration reduces delivery effort.",IF(AG22="GCP","Start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2" s="32" t="str">
        <x:v>High</x:v>
      </x:c>
      <x:c r="AJ22" s="32" t="str">
        <x:v>2026-07-12</x:v>
      </x:c>
    </x:row>
    <x:row r="23">
      <x:c r="A23" s="32" t="str">
        <x:v>Cloud carbon reporting</x:v>
      </x:c>
      <x:c r="B23" s="32" t="str">
        <x:v>01 Strategy, Governance &amp; FinOps</x:v>
      </x:c>
      <x:c r="C23" s="32" t="str">
        <x:v>FinOps, Cost &amp; Sustainability</x:v>
      </x:c>
      <x:c r="D23" s="32" t="str">
        <x:v>Workload</x:v>
      </x:c>
      <x:c r="E23" s="32" t="str">
        <x:v>What business outcome, scale, control, integration and operating model justify choosing cloud carbon reporting?</x:v>
      </x:c>
      <x:c r="F23" s="32" t="str">
        <x:v>AWS Customer Carbon Footprint Tool</x:v>
      </x:c>
      <x:c r="G23" s="32" t="str">
        <x:v>Microsoft Emissions Impact Dashboard</x:v>
      </x:c>
      <x:c r="H23" s="32" t="str">
        <x:v>Carbon Footprint</x:v>
      </x:c>
      <x:c r="I23" s="32" t="n">
        <x:v>4</x:v>
      </x:c>
      <x:c r="J23" s="32" t="n">
        <x:v>3</x:v>
      </x:c>
      <x:c r="K23" s="32" t="n">
        <x:v>4.3</x:v>
      </x:c>
      <x:c r="L23" s="32" t="n">
        <x:v>3.9</x:v>
      </x:c>
      <x:c r="M23" s="32" t="n">
        <x:v>3.5</x:v>
      </x:c>
      <x:c r="N23" s="32" t="n">
        <x:v>4.5</x:v>
      </x:c>
      <x:c r="O23" s="32" t="n">
        <x:v>3.7</x:v>
      </x:c>
      <x:c r="P23" s="32" t="n">
        <x:v>4</x:v>
      </x:c>
      <x:c r="Q23" s="32" t="n">
        <x:v>3</x:v>
      </x:c>
      <x:c r="R23" s="32" t="n">
        <x:v>4.8</x:v>
      </x:c>
      <x:c r="S23" s="32" t="n">
        <x:v>3.9</x:v>
      </x:c>
      <x:c r="T23" s="32" t="n">
        <x:v>3.5</x:v>
      </x:c>
      <x:c r="U23" s="32" t="n">
        <x:v>4.4</x:v>
      </x:c>
      <x:c r="V23" s="32" t="n">
        <x:v>3.8</x:v>
      </x:c>
      <x:c r="W23" s="32" t="n">
        <x:v>4</x:v>
      </x:c>
      <x:c r="X23" s="32" t="n">
        <x:v>3</x:v>
      </x:c>
      <x:c r="Y23" s="32" t="n">
        <x:v>4.4</x:v>
      </x:c>
      <x:c r="Z23" s="32" t="n">
        <x:v>4</x:v>
      </x:c>
      <x:c r="AA23" s="32" t="n">
        <x:v>3.5</x:v>
      </x:c>
      <x:c r="AB23" s="32" t="n">
        <x:v>4.3</x:v>
      </x:c>
      <x:c r="AC23" s="32" t="n">
        <x:v>3.9</x:v>
      </x:c>
      <x:c r="AD23" s="32" t="n">
        <x:f>ROUND((I23*'Criteria &amp; Scoring'!$B$5+J23*'Criteria &amp; Scoring'!$B$6+K23*'Criteria &amp; Scoring'!$B$7+L23*'Criteria &amp; Scoring'!$B$8+M23*'Criteria &amp; Scoring'!$B$9+N23*'Criteria &amp; Scoring'!$B$10+O23*'Criteria &amp; Scoring'!$B$11)/SUM('Criteria &amp; Scoring'!$B$5:$B$11),2)</x:f>
        <x:v>3.82</x:v>
      </x:c>
      <x:c r="AE23" s="32" t="n">
        <x:f>ROUND((P23*'Criteria &amp; Scoring'!$B$5+Q23*'Criteria &amp; Scoring'!$B$6+R23*'Criteria &amp; Scoring'!$B$7+S23*'Criteria &amp; Scoring'!$B$8+T23*'Criteria &amp; Scoring'!$B$9+U23*'Criteria &amp; Scoring'!$B$10+V23*'Criteria &amp; Scoring'!$B$11)/SUM('Criteria &amp; Scoring'!$B$5:$B$11),2)</x:f>
        <x:v>3.89</x:v>
      </x:c>
      <x:c r="AF23" s="32" t="n">
        <x:f>ROUND((W23*'Criteria &amp; Scoring'!$B$5+X23*'Criteria &amp; Scoring'!$B$6+Y23*'Criteria &amp; Scoring'!$B$7+Z23*'Criteria &amp; Scoring'!$B$8+AA23*'Criteria &amp; Scoring'!$B$9+AB23*'Criteria &amp; Scoring'!$B$10+AC23*'Criteria &amp; Scoring'!$B$11)/SUM('Criteria &amp; Scoring'!$B$5:$B$11),2)</x:f>
        <x:v>3.84</x:v>
      </x:c>
      <x:c r="AG23" s="32" t="str">
        <x:f>IF(LARGE(AD23:AF23,1)-LARGE(AD23:AF23,2)&lt;0.15,"Context-dependent tie",SUBSTITUTE(INDEX($AD$4:$AF$4,1,MATCH(MAX(AD23:AF23),AD23:AF23,0))," Overall",""))</x:f>
        <x:v>Context-dependent tie</x:v>
      </x:c>
      <x:c r="AH23" s="32" t="str">
        <x:f>IF(AG23="AWS","Start with AWS when infrastructure breadth, native integration and operational maturity are the main differentiators.",IF(AG23="Azure","Start with Azure when Microsoft identity, security, data, productivity or hybrid integration reduces delivery effort.",IF(AG23="GCP","Start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3" s="32" t="str">
        <x:v>Medium</x:v>
      </x:c>
      <x:c r="AJ23" s="32" t="str">
        <x:v>2026-07-12</x:v>
      </x:c>
    </x:row>
    <x:row r="24">
      <x:c r="A24" s="32" t="str">
        <x:v>Unified AI/ML platform</x:v>
      </x:c>
      <x:c r="B24" s="32" t="str">
        <x:v>07 AI &amp; Intelligent Systems</x:v>
      </x:c>
      <x:c r="C24" s="32" t="str">
        <x:v>Industry &amp; Applied AI</x:v>
      </x:c>
      <x:c r="D24" s="32" t="str">
        <x:v>Platform</x:v>
      </x:c>
      <x:c r="E24" s="32" t="str">
        <x:v>What business outcome, scale, control, integration and operating model justify choosing unified ai/ml platform?</x:v>
      </x:c>
      <x:c r="F24" s="32" t="str">
        <x:v>Amazon SageMaker AI</x:v>
      </x:c>
      <x:c r="G24" s="32" t="str">
        <x:v>Azure Machine Learning
Microsoft Foundry</x:v>
      </x:c>
      <x:c r="H24" s="32" t="str">
        <x:v>Vertex AI
Gemini Enterprise Agent Platform</x:v>
      </x:c>
      <x:c r="I24" s="32" t="n">
        <x:v>4</x:v>
      </x:c>
      <x:c r="J24" s="32" t="n">
        <x:v>3</x:v>
      </x:c>
      <x:c r="K24" s="32" t="n">
        <x:v>4.3</x:v>
      </x:c>
      <x:c r="L24" s="32" t="n">
        <x:v>4.3</x:v>
      </x:c>
      <x:c r="M24" s="32" t="n">
        <x:v>3.5</x:v>
      </x:c>
      <x:c r="N24" s="32" t="n">
        <x:v>4.5</x:v>
      </x:c>
      <x:c r="O24" s="32" t="n">
        <x:v>3.7</x:v>
      </x:c>
      <x:c r="P24" s="32" t="n">
        <x:v>3.9</x:v>
      </x:c>
      <x:c r="Q24" s="32" t="n">
        <x:v>2.9</x:v>
      </x:c>
      <x:c r="R24" s="32" t="n">
        <x:v>4.4</x:v>
      </x:c>
      <x:c r="S24" s="32" t="n">
        <x:v>4.4</x:v>
      </x:c>
      <x:c r="T24" s="32" t="n">
        <x:v>3.5</x:v>
      </x:c>
      <x:c r="U24" s="32" t="n">
        <x:v>4.3</x:v>
      </x:c>
      <x:c r="V24" s="32" t="n">
        <x:v>3.7</x:v>
      </x:c>
      <x:c r="W24" s="32" t="n">
        <x:v>4.3</x:v>
      </x:c>
      <x:c r="X24" s="32" t="n">
        <x:v>3.3</x:v>
      </x:c>
      <x:c r="Y24" s="32" t="n">
        <x:v>4.3</x:v>
      </x:c>
      <x:c r="Z24" s="32" t="n">
        <x:v>4.8</x:v>
      </x:c>
      <x:c r="AA24" s="32" t="n">
        <x:v>3.5</x:v>
      </x:c>
      <x:c r="AB24" s="32" t="n">
        <x:v>4.5</x:v>
      </x:c>
      <x:c r="AC24" s="32" t="n">
        <x:v>3.8</x:v>
      </x:c>
      <x:c r="AD24" s="32" t="n">
        <x:f>ROUND((I24*'Criteria &amp; Scoring'!$B$5+J24*'Criteria &amp; Scoring'!$B$6+K24*'Criteria &amp; Scoring'!$B$7+L24*'Criteria &amp; Scoring'!$B$8+M24*'Criteria &amp; Scoring'!$B$9+N24*'Criteria &amp; Scoring'!$B$10+O24*'Criteria &amp; Scoring'!$B$11)/SUM('Criteria &amp; Scoring'!$B$5:$B$11),2)</x:f>
        <x:v>3.88</x:v>
      </x:c>
      <x:c r="AE24" s="32" t="n">
        <x:f>ROUND((P24*'Criteria &amp; Scoring'!$B$5+Q24*'Criteria &amp; Scoring'!$B$6+R24*'Criteria &amp; Scoring'!$B$7+S24*'Criteria &amp; Scoring'!$B$8+T24*'Criteria &amp; Scoring'!$B$9+U24*'Criteria &amp; Scoring'!$B$10+V24*'Criteria &amp; Scoring'!$B$11)/SUM('Criteria &amp; Scoring'!$B$5:$B$11),2)</x:f>
        <x:v>3.84</x:v>
      </x:c>
      <x:c r="AF24" s="32" t="n">
        <x:f>ROUND((W24*'Criteria &amp; Scoring'!$B$5+X24*'Criteria &amp; Scoring'!$B$6+Y24*'Criteria &amp; Scoring'!$B$7+Z24*'Criteria &amp; Scoring'!$B$8+AA24*'Criteria &amp; Scoring'!$B$9+AB24*'Criteria &amp; Scoring'!$B$10+AC24*'Criteria &amp; Scoring'!$B$11)/SUM('Criteria &amp; Scoring'!$B$5:$B$11),2)</x:f>
        <x:v>4.09</x:v>
      </x:c>
      <x:c r="AG24" s="32" t="str">
        <x:f>IF(LARGE(AD24:AF24,1)-LARGE(AD24:AF24,2)&lt;0.15,"Context-dependent tie",SUBSTITUTE(INDEX($AD$4:$AF$4,1,MATCH(MAX(AD24:AF24),AD24:AF24,0))," Overall",""))</x:f>
        <x:v>GCP</x:v>
      </x:c>
      <x:c r="AH24" s="32" t="str">
        <x:f>IF(AG24="AWS","Start with AWS when infrastructure breadth, native integration and operational maturity are the main differentiators.",IF(AG24="Azure","Start with Azure when Microsoft identity, security, data, productivity or hybrid integration reduces delivery effort.",IF(AG24="GCP","Start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24" s="32" t="str">
        <x:v>Medium</x:v>
      </x:c>
      <x:c r="AJ24" s="32" t="str">
        <x:v>2026-07-12</x:v>
      </x:c>
    </x:row>
    <x:row r="25">
      <x:c r="A25" s="32" t="str">
        <x:v>AI governance and control plane</x:v>
      </x:c>
      <x:c r="B25" s="32" t="str">
        <x:v>07 AI &amp; Intelligent Systems</x:v>
      </x:c>
      <x:c r="C25" s="32" t="str">
        <x:v>Responsible AI, Safety &amp; Governance</x:v>
      </x:c>
      <x:c r="D25" s="32" t="str">
        <x:v>Workload</x:v>
      </x:c>
      <x:c r="E25" s="32" t="str">
        <x:v>Which risks, policies, evaluations, audit evidence and human controls must be enforced?</x:v>
      </x:c>
      <x:c r="F25" s="32" t="str">
        <x:v>Amazon SageMaker Model Cards
Amazon SageMaker Model Dashboard
AWS Audit Manager</x:v>
      </x:c>
      <x:c r="G25" s="32" t="str">
        <x:v>Microsoft Foundry Control Plane
Microsoft Purview
Azure Machine Learning responsible AI</x:v>
      </x:c>
      <x:c r="H25" s="32" t="str">
        <x:v>Vertex AI Model Registry
Model Monitoring
Dataplex Universal Catalog</x:v>
      </x:c>
      <x:c r="I25" s="32" t="n">
        <x:v>3.4</x:v>
      </x:c>
      <x:c r="J25" s="32" t="n">
        <x:v>1.9</x:v>
      </x:c>
      <x:c r="K25" s="32" t="n">
        <x:v>4</x:v>
      </x:c>
      <x:c r="L25" s="32" t="n">
        <x:v>4.3</x:v>
      </x:c>
      <x:c r="M25" s="32" t="n">
        <x:v>3.5</x:v>
      </x:c>
      <x:c r="N25" s="32" t="n">
        <x:v>4.2</x:v>
      </x:c>
      <x:c r="O25" s="32" t="n">
        <x:v>3.6</x:v>
      </x:c>
      <x:c r="P25" s="32" t="n">
        <x:v>3.7</x:v>
      </x:c>
      <x:c r="Q25" s="32" t="n">
        <x:v>1.9</x:v>
      </x:c>
      <x:c r="R25" s="32" t="n">
        <x:v>4.1</x:v>
      </x:c>
      <x:c r="S25" s="32" t="n">
        <x:v>4.4</x:v>
      </x:c>
      <x:c r="T25" s="32" t="n">
        <x:v>3.5</x:v>
      </x:c>
      <x:c r="U25" s="32" t="n">
        <x:v>4.1</x:v>
      </x:c>
      <x:c r="V25" s="32" t="n">
        <x:v>3.7</x:v>
      </x:c>
      <x:c r="W25" s="32" t="n">
        <x:v>3.4</x:v>
      </x:c>
      <x:c r="X25" s="32" t="n">
        <x:v>1.9</x:v>
      </x:c>
      <x:c r="Y25" s="32" t="n">
        <x:v>4.1</x:v>
      </x:c>
      <x:c r="Z25" s="32" t="n">
        <x:v>4.6</x:v>
      </x:c>
      <x:c r="AA25" s="32" t="n">
        <x:v>3.5</x:v>
      </x:c>
      <x:c r="AB25" s="32" t="n">
        <x:v>4</x:v>
      </x:c>
      <x:c r="AC25" s="32" t="n">
        <x:v>3.8</x:v>
      </x:c>
      <x:c r="AD25" s="32" t="n">
        <x:f>ROUND((I25*'Criteria &amp; Scoring'!$B$5+J25*'Criteria &amp; Scoring'!$B$6+K25*'Criteria &amp; Scoring'!$B$7+L25*'Criteria &amp; Scoring'!$B$8+M25*'Criteria &amp; Scoring'!$B$9+N25*'Criteria &amp; Scoring'!$B$10+O25*'Criteria &amp; Scoring'!$B$11)/SUM('Criteria &amp; Scoring'!$B$5:$B$11),2)</x:f>
        <x:v>3.43</x:v>
      </x:c>
      <x:c r="AE25" s="32" t="n">
        <x:f>ROUND((P25*'Criteria &amp; Scoring'!$B$5+Q25*'Criteria &amp; Scoring'!$B$6+R25*'Criteria &amp; Scoring'!$B$7+S25*'Criteria &amp; Scoring'!$B$8+T25*'Criteria &amp; Scoring'!$B$9+U25*'Criteria &amp; Scoring'!$B$10+V25*'Criteria &amp; Scoring'!$B$11)/SUM('Criteria &amp; Scoring'!$B$5:$B$11),2)</x:f>
        <x:v>3.53</x:v>
      </x:c>
      <x:c r="AF25" s="32" t="n">
        <x:f>ROUND((W25*'Criteria &amp; Scoring'!$B$5+X25*'Criteria &amp; Scoring'!$B$6+Y25*'Criteria &amp; Scoring'!$B$7+Z25*'Criteria &amp; Scoring'!$B$8+AA25*'Criteria &amp; Scoring'!$B$9+AB25*'Criteria &amp; Scoring'!$B$10+AC25*'Criteria &amp; Scoring'!$B$11)/SUM('Criteria &amp; Scoring'!$B$5:$B$11),2)</x:f>
        <x:v>3.47</x:v>
      </x:c>
      <x:c r="AG25" s="32" t="str">
        <x:f>IF(LARGE(AD25:AF25,1)-LARGE(AD25:AF25,2)&lt;0.15,"Context-dependent tie",SUBSTITUTE(INDEX($AD$4:$AF$4,1,MATCH(MAX(AD25:AF25),AD25:AF25,0))," Overall",""))</x:f>
        <x:v>Context-dependent tie</x:v>
      </x:c>
      <x:c r="AH25" s="32" t="str">
        <x:f>IF(AG25="AWS","Start with AWS when infrastructure breadth, native integration and operational maturity are the main differentiators.",IF(AG25="Azure","Start with Azure when Microsoft identity, security, data, productivity or hybrid integration reduces delivery effort.",IF(AG25="GCP","Start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5" s="32" t="str">
        <x:v>Low</x:v>
      </x:c>
      <x:c r="AJ25" s="32" t="str">
        <x:v>2026-07-12</x:v>
      </x:c>
    </x:row>
    <x:row r="26">
      <x:c r="A26" s="32" t="str">
        <x:v>Responsible-AI assessment</x:v>
      </x:c>
      <x:c r="B26" s="32" t="str">
        <x:v>07 AI &amp; Intelligent Systems</x:v>
      </x:c>
      <x:c r="C26" s="32" t="str">
        <x:v>Responsible AI, Safety &amp; Governance</x:v>
      </x:c>
      <x:c r="D26" s="32" t="str">
        <x:v>Workload</x:v>
      </x:c>
      <x:c r="E26" s="32" t="str">
        <x:v>Which risks, policies, evaluations, audit evidence and human controls must be enforced?</x:v>
      </x:c>
      <x:c r="F26" s="32" t="str">
        <x:v>SageMaker Clarify
SageMaker Model Cards</x:v>
      </x:c>
      <x:c r="G26" s="32" t="str">
        <x:v>Azure Machine Learning Responsible AI dashboard
Foundry evaluations</x:v>
      </x:c>
      <x:c r="H26" s="32" t="str">
        <x:v>Vertex Explainable AI
Vertex AI Evaluation</x:v>
      </x:c>
      <x:c r="I26" s="32" t="n">
        <x:v>3.9</x:v>
      </x:c>
      <x:c r="J26" s="32" t="n">
        <x:v>2.9</x:v>
      </x:c>
      <x:c r="K26" s="32" t="n">
        <x:v>4.2</x:v>
      </x:c>
      <x:c r="L26" s="32" t="n">
        <x:v>4.3</x:v>
      </x:c>
      <x:c r="M26" s="32" t="n">
        <x:v>3.5</x:v>
      </x:c>
      <x:c r="N26" s="32" t="n">
        <x:v>4.4</x:v>
      </x:c>
      <x:c r="O26" s="32" t="n">
        <x:v>3.6</x:v>
      </x:c>
      <x:c r="P26" s="32" t="n">
        <x:v>4.2</x:v>
      </x:c>
      <x:c r="Q26" s="32" t="n">
        <x:v>2.9</x:v>
      </x:c>
      <x:c r="R26" s="32" t="n">
        <x:v>4.4</x:v>
      </x:c>
      <x:c r="S26" s="32" t="n">
        <x:v>4.4</x:v>
      </x:c>
      <x:c r="T26" s="32" t="n">
        <x:v>3.5</x:v>
      </x:c>
      <x:c r="U26" s="32" t="n">
        <x:v>4.3</x:v>
      </x:c>
      <x:c r="V26" s="32" t="n">
        <x:v>3.7</x:v>
      </x:c>
      <x:c r="W26" s="32" t="n">
        <x:v>3.9</x:v>
      </x:c>
      <x:c r="X26" s="32" t="n">
        <x:v>2.9</x:v>
      </x:c>
      <x:c r="Y26" s="32" t="n">
        <x:v>4.3</x:v>
      </x:c>
      <x:c r="Z26" s="32" t="n">
        <x:v>4.6</x:v>
      </x:c>
      <x:c r="AA26" s="32" t="n">
        <x:v>3.5</x:v>
      </x:c>
      <x:c r="AB26" s="32" t="n">
        <x:v>4.2</x:v>
      </x:c>
      <x:c r="AC26" s="32" t="n">
        <x:v>3.8</x:v>
      </x:c>
      <x:c r="AD26" s="32" t="n">
        <x:f>ROUND((I26*'Criteria &amp; Scoring'!$B$5+J26*'Criteria &amp; Scoring'!$B$6+K26*'Criteria &amp; Scoring'!$B$7+L26*'Criteria &amp; Scoring'!$B$8+M26*'Criteria &amp; Scoring'!$B$9+N26*'Criteria &amp; Scoring'!$B$10+O26*'Criteria &amp; Scoring'!$B$11)/SUM('Criteria &amp; Scoring'!$B$5:$B$11),2)</x:f>
        <x:v>3.8</x:v>
      </x:c>
      <x:c r="AE26" s="32" t="n">
        <x:f>ROUND((P26*'Criteria &amp; Scoring'!$B$5+Q26*'Criteria &amp; Scoring'!$B$6+R26*'Criteria &amp; Scoring'!$B$7+S26*'Criteria &amp; Scoring'!$B$8+T26*'Criteria &amp; Scoring'!$B$9+U26*'Criteria &amp; Scoring'!$B$10+V26*'Criteria &amp; Scoring'!$B$11)/SUM('Criteria &amp; Scoring'!$B$5:$B$11),2)</x:f>
        <x:v>3.92</x:v>
      </x:c>
      <x:c r="AF26" s="32" t="n">
        <x:f>ROUND((W26*'Criteria &amp; Scoring'!$B$5+X26*'Criteria &amp; Scoring'!$B$6+Y26*'Criteria &amp; Scoring'!$B$7+Z26*'Criteria &amp; Scoring'!$B$8+AA26*'Criteria &amp; Scoring'!$B$9+AB26*'Criteria &amp; Scoring'!$B$10+AC26*'Criteria &amp; Scoring'!$B$11)/SUM('Criteria &amp; Scoring'!$B$5:$B$11),2)</x:f>
        <x:v>3.85</x:v>
      </x:c>
      <x:c r="AG26" s="32" t="str">
        <x:f>IF(LARGE(AD26:AF26,1)-LARGE(AD26:AF26,2)&lt;0.15,"Context-dependent tie",SUBSTITUTE(INDEX($AD$4:$AF$4,1,MATCH(MAX(AD26:AF26),AD26:AF26,0))," Overall",""))</x:f>
        <x:v>Context-dependent tie</x:v>
      </x:c>
      <x:c r="AH26" s="32" t="str">
        <x:f>IF(AG26="AWS","Start with AWS when infrastructure breadth, native integration and operational maturity are the main differentiators.",IF(AG26="Azure","Start with Azure when Microsoft identity, security, data, productivity or hybrid integration reduces delivery effort.",IF(AG26="GCP","Start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6" s="32" t="str">
        <x:v>Medium</x:v>
      </x:c>
      <x:c r="AJ26" s="32" t="str">
        <x:v>2026-07-12</x:v>
      </x:c>
    </x:row>
    <x:row r="27">
      <x:c r="A27" s="32" t="str">
        <x:v>AI security posture management</x:v>
      </x:c>
      <x:c r="B27" s="32" t="str">
        <x:v>07 AI &amp; Intelligent Systems</x:v>
      </x:c>
      <x:c r="C27" s="32" t="str">
        <x:v>Responsible AI, Safety &amp; Governance</x:v>
      </x:c>
      <x:c r="D27" s="32" t="str">
        <x:v>Workload</x:v>
      </x:c>
      <x:c r="E27" s="32" t="str">
        <x:v>Which risks, policies, evaluations, audit evidence and human controls must be enforced?</x:v>
      </x:c>
      <x:c r="F27" s="32" t="str">
        <x:v>Amazon GuardDuty
AWS Security Hub
Amazon Inspector</x:v>
      </x:c>
      <x:c r="G27" s="32" t="str">
        <x:v>Microsoft Defender for Cloud AI security posture management
Microsoft Security Copilot</x:v>
      </x:c>
      <x:c r="H27" s="32" t="str">
        <x:v>Security Command Center AI Protection
Model Armor</x:v>
      </x:c>
      <x:c r="I27" s="32" t="n">
        <x:v>3.4</x:v>
      </x:c>
      <x:c r="J27" s="32" t="n">
        <x:v>2.9</x:v>
      </x:c>
      <x:c r="K27" s="32" t="n">
        <x:v>4</x:v>
      </x:c>
      <x:c r="L27" s="32" t="n">
        <x:v>4.3</x:v>
      </x:c>
      <x:c r="M27" s="32" t="n">
        <x:v>3.5</x:v>
      </x:c>
      <x:c r="N27" s="32" t="n">
        <x:v>4.2</x:v>
      </x:c>
      <x:c r="O27" s="32" t="n">
        <x:v>3.6</x:v>
      </x:c>
      <x:c r="P27" s="32" t="n">
        <x:v>3.7</x:v>
      </x:c>
      <x:c r="Q27" s="32" t="n">
        <x:v>2.9</x:v>
      </x:c>
      <x:c r="R27" s="32" t="n">
        <x:v>4.4</x:v>
      </x:c>
      <x:c r="S27" s="32" t="n">
        <x:v>4.4</x:v>
      </x:c>
      <x:c r="T27" s="32" t="n">
        <x:v>3.5</x:v>
      </x:c>
      <x:c r="U27" s="32" t="n">
        <x:v>4.3</x:v>
      </x:c>
      <x:c r="V27" s="32" t="n">
        <x:v>3.7</x:v>
      </x:c>
      <x:c r="W27" s="32" t="n">
        <x:v>3.4</x:v>
      </x:c>
      <x:c r="X27" s="32" t="n">
        <x:v>2.9</x:v>
      </x:c>
      <x:c r="Y27" s="32" t="n">
        <x:v>4.1</x:v>
      </x:c>
      <x:c r="Z27" s="32" t="n">
        <x:v>4.6</x:v>
      </x:c>
      <x:c r="AA27" s="32" t="n">
        <x:v>3.5</x:v>
      </x:c>
      <x:c r="AB27" s="32" t="n">
        <x:v>4</x:v>
      </x:c>
      <x:c r="AC27" s="32" t="n">
        <x:v>3.8</x:v>
      </x:c>
      <x:c r="AD27" s="32" t="n">
        <x:f>ROUND((I27*'Criteria &amp; Scoring'!$B$5+J27*'Criteria &amp; Scoring'!$B$6+K27*'Criteria &amp; Scoring'!$B$7+L27*'Criteria &amp; Scoring'!$B$8+M27*'Criteria &amp; Scoring'!$B$9+N27*'Criteria &amp; Scoring'!$B$10+O27*'Criteria &amp; Scoring'!$B$11)/SUM('Criteria &amp; Scoring'!$B$5:$B$11),2)</x:f>
        <x:v>3.63</x:v>
      </x:c>
      <x:c r="AE27" s="32" t="n">
        <x:f>ROUND((P27*'Criteria &amp; Scoring'!$B$5+Q27*'Criteria &amp; Scoring'!$B$6+R27*'Criteria &amp; Scoring'!$B$7+S27*'Criteria &amp; Scoring'!$B$8+T27*'Criteria &amp; Scoring'!$B$9+U27*'Criteria &amp; Scoring'!$B$10+V27*'Criteria &amp; Scoring'!$B$11)/SUM('Criteria &amp; Scoring'!$B$5:$B$11),2)</x:f>
        <x:v>3.79</x:v>
      </x:c>
      <x:c r="AF27" s="32" t="n">
        <x:f>ROUND((W27*'Criteria &amp; Scoring'!$B$5+X27*'Criteria &amp; Scoring'!$B$6+Y27*'Criteria &amp; Scoring'!$B$7+Z27*'Criteria &amp; Scoring'!$B$8+AA27*'Criteria &amp; Scoring'!$B$9+AB27*'Criteria &amp; Scoring'!$B$10+AC27*'Criteria &amp; Scoring'!$B$11)/SUM('Criteria &amp; Scoring'!$B$5:$B$11),2)</x:f>
        <x:v>3.68</x:v>
      </x:c>
      <x:c r="AG27" s="32" t="str">
        <x:f>IF(LARGE(AD27:AF27,1)-LARGE(AD27:AF27,2)&lt;0.15,"Context-dependent tie",SUBSTITUTE(INDEX($AD$4:$AF$4,1,MATCH(MAX(AD27:AF27),AD27:AF27,0))," Overall",""))</x:f>
        <x:v>Context-dependent tie</x:v>
      </x:c>
      <x:c r="AH27" s="32" t="str">
        <x:f>IF(AG27="AWS","Start with AWS when infrastructure breadth, native integration and operational maturity are the main differentiators.",IF(AG27="Azure","Start with Azure when Microsoft identity, security, data, productivity or hybrid integration reduces delivery effort.",IF(AG27="GCP","Start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7" s="32" t="str">
        <x:v>Low</x:v>
      </x:c>
      <x:c r="AJ27" s="32" t="str">
        <x:v>2026-07-12</x:v>
      </x:c>
    </x:row>
    <x:row r="28">
      <x:c r="A28" s="32" t="str">
        <x:v>Generative-AI guardrails</x:v>
      </x:c>
      <x:c r="B28" s="32" t="str">
        <x:v>07 AI &amp; Intelligent Systems</x:v>
      </x:c>
      <x:c r="C28" s="32" t="str">
        <x:v>Responsible AI, Safety &amp; Governance</x:v>
      </x:c>
      <x:c r="D28" s="32" t="str">
        <x:v>Workload</x:v>
      </x:c>
      <x:c r="E28" s="32" t="str">
        <x:v>Which risks, policies, evaluations, audit evidence and human controls must be enforced?</x:v>
      </x:c>
      <x:c r="F28" s="32" t="str">
        <x:v>Guardrails for Amazon Bedrock</x:v>
      </x:c>
      <x:c r="G28" s="32" t="str">
        <x:v>Azure AI Content Safety
Foundry guardrails</x:v>
      </x:c>
      <x:c r="H28" s="32" t="str">
        <x:v>Model Armor
Vertex AI safety filters</x:v>
      </x:c>
      <x:c r="I28" s="32" t="n">
        <x:v>4</x:v>
      </x:c>
      <x:c r="J28" s="32" t="n">
        <x:v>3</x:v>
      </x:c>
      <x:c r="K28" s="32" t="n">
        <x:v>4.3</x:v>
      </x:c>
      <x:c r="L28" s="32" t="n">
        <x:v>4.3</x:v>
      </x:c>
      <x:c r="M28" s="32" t="n">
        <x:v>3.5</x:v>
      </x:c>
      <x:c r="N28" s="32" t="n">
        <x:v>4.5</x:v>
      </x:c>
      <x:c r="O28" s="32" t="n">
        <x:v>3.7</x:v>
      </x:c>
      <x:c r="P28" s="32" t="n">
        <x:v>4.2</x:v>
      </x:c>
      <x:c r="Q28" s="32" t="n">
        <x:v>2.9</x:v>
      </x:c>
      <x:c r="R28" s="32" t="n">
        <x:v>4.4</x:v>
      </x:c>
      <x:c r="S28" s="32" t="n">
        <x:v>4.4</x:v>
      </x:c>
      <x:c r="T28" s="32" t="n">
        <x:v>3.5</x:v>
      </x:c>
      <x:c r="U28" s="32" t="n">
        <x:v>4.3</x:v>
      </x:c>
      <x:c r="V28" s="32" t="n">
        <x:v>3.7</x:v>
      </x:c>
      <x:c r="W28" s="32" t="n">
        <x:v>3.9</x:v>
      </x:c>
      <x:c r="X28" s="32" t="n">
        <x:v>2.9</x:v>
      </x:c>
      <x:c r="Y28" s="32" t="n">
        <x:v>4.3</x:v>
      </x:c>
      <x:c r="Z28" s="32" t="n">
        <x:v>4.6</x:v>
      </x:c>
      <x:c r="AA28" s="32" t="n">
        <x:v>3.5</x:v>
      </x:c>
      <x:c r="AB28" s="32" t="n">
        <x:v>4.2</x:v>
      </x:c>
      <x:c r="AC28" s="32" t="n">
        <x:v>3.8</x:v>
      </x:c>
      <x:c r="AD28" s="32" t="n">
        <x:f>ROUND((I28*'Criteria &amp; Scoring'!$B$5+J28*'Criteria &amp; Scoring'!$B$6+K28*'Criteria &amp; Scoring'!$B$7+L28*'Criteria &amp; Scoring'!$B$8+M28*'Criteria &amp; Scoring'!$B$9+N28*'Criteria &amp; Scoring'!$B$10+O28*'Criteria &amp; Scoring'!$B$11)/SUM('Criteria &amp; Scoring'!$B$5:$B$11),2)</x:f>
        <x:v>3.88</x:v>
      </x:c>
      <x:c r="AE28" s="32" t="n">
        <x:f>ROUND((P28*'Criteria &amp; Scoring'!$B$5+Q28*'Criteria &amp; Scoring'!$B$6+R28*'Criteria &amp; Scoring'!$B$7+S28*'Criteria &amp; Scoring'!$B$8+T28*'Criteria &amp; Scoring'!$B$9+U28*'Criteria &amp; Scoring'!$B$10+V28*'Criteria &amp; Scoring'!$B$11)/SUM('Criteria &amp; Scoring'!$B$5:$B$11),2)</x:f>
        <x:v>3.92</x:v>
      </x:c>
      <x:c r="AF28" s="32" t="n">
        <x:f>ROUND((W28*'Criteria &amp; Scoring'!$B$5+X28*'Criteria &amp; Scoring'!$B$6+Y28*'Criteria &amp; Scoring'!$B$7+Z28*'Criteria &amp; Scoring'!$B$8+AA28*'Criteria &amp; Scoring'!$B$9+AB28*'Criteria &amp; Scoring'!$B$10+AC28*'Criteria &amp; Scoring'!$B$11)/SUM('Criteria &amp; Scoring'!$B$5:$B$11),2)</x:f>
        <x:v>3.85</x:v>
      </x:c>
      <x:c r="AG28" s="32" t="str">
        <x:f>IF(LARGE(AD28:AF28,1)-LARGE(AD28:AF28,2)&lt;0.15,"Context-dependent tie",SUBSTITUTE(INDEX($AD$4:$AF$4,1,MATCH(MAX(AD28:AF28),AD28:AF28,0))," Overall",""))</x:f>
        <x:v>Context-dependent tie</x:v>
      </x:c>
      <x:c r="AH28" s="32" t="str">
        <x:f>IF(AG28="AWS","Start with AWS when infrastructure breadth, native integration and operational maturity are the main differentiators.",IF(AG28="Azure","Start with Azure when Microsoft identity, security, data, productivity or hybrid integration reduces delivery effort.",IF(AG28="GCP","Start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8" s="32" t="str">
        <x:v>Medium</x:v>
      </x:c>
      <x:c r="AJ28" s="32" t="str">
        <x:v>2026-07-12</x:v>
      </x:c>
    </x:row>
    <x:row r="29">
      <x:c r="A29" s="32" t="str">
        <x:v>Prompt-injection protection</x:v>
      </x:c>
      <x:c r="B29" s="32" t="str">
        <x:v>07 AI &amp; Intelligent Systems</x:v>
      </x:c>
      <x:c r="C29" s="32" t="str">
        <x:v>Responsible AI, Safety &amp; Governance</x:v>
      </x:c>
      <x:c r="D29" s="32" t="str">
        <x:v>Workload</x:v>
      </x:c>
      <x:c r="E29" s="32" t="str">
        <x:v>Which risks, policies, evaluations, audit evidence and human controls must be enforced?</x:v>
      </x:c>
      <x:c r="F29" s="32" t="str">
        <x:v>Guardrails for Amazon Bedrock</x:v>
      </x:c>
      <x:c r="G29" s="32" t="str">
        <x:v>Prompt Shields in Azure AI Content Safety</x:v>
      </x:c>
      <x:c r="H29" s="32" t="str">
        <x:v>Model Armor</x:v>
      </x:c>
      <x:c r="I29" s="32" t="n">
        <x:v>4</x:v>
      </x:c>
      <x:c r="J29" s="32" t="n">
        <x:v>3</x:v>
      </x:c>
      <x:c r="K29" s="32" t="n">
        <x:v>4.3</x:v>
      </x:c>
      <x:c r="L29" s="32" t="n">
        <x:v>4.3</x:v>
      </x:c>
      <x:c r="M29" s="32" t="n">
        <x:v>3.5</x:v>
      </x:c>
      <x:c r="N29" s="32" t="n">
        <x:v>4.5</x:v>
      </x:c>
      <x:c r="O29" s="32" t="n">
        <x:v>3.7</x:v>
      </x:c>
      <x:c r="P29" s="32" t="n">
        <x:v>4.3</x:v>
      </x:c>
      <x:c r="Q29" s="32" t="n">
        <x:v>3</x:v>
      </x:c>
      <x:c r="R29" s="32" t="n">
        <x:v>4.5</x:v>
      </x:c>
      <x:c r="S29" s="32" t="n">
        <x:v>4.5</x:v>
      </x:c>
      <x:c r="T29" s="32" t="n">
        <x:v>3.5</x:v>
      </x:c>
      <x:c r="U29" s="32" t="n">
        <x:v>4.4</x:v>
      </x:c>
      <x:c r="V29" s="32" t="n">
        <x:v>3.8</x:v>
      </x:c>
      <x:c r="W29" s="32" t="n">
        <x:v>4</x:v>
      </x:c>
      <x:c r="X29" s="32" t="n">
        <x:v>3</x:v>
      </x:c>
      <x:c r="Y29" s="32" t="n">
        <x:v>4.4</x:v>
      </x:c>
      <x:c r="Z29" s="32" t="n">
        <x:v>4.7</x:v>
      </x:c>
      <x:c r="AA29" s="32" t="n">
        <x:v>3.5</x:v>
      </x:c>
      <x:c r="AB29" s="32" t="n">
        <x:v>4.3</x:v>
      </x:c>
      <x:c r="AC29" s="32" t="n">
        <x:v>3.9</x:v>
      </x:c>
      <x:c r="AD29" s="32" t="n">
        <x:f>ROUND((I29*'Criteria &amp; Scoring'!$B$5+J29*'Criteria &amp; Scoring'!$B$6+K29*'Criteria &amp; Scoring'!$B$7+L29*'Criteria &amp; Scoring'!$B$8+M29*'Criteria &amp; Scoring'!$B$9+N29*'Criteria &amp; Scoring'!$B$10+O29*'Criteria &amp; Scoring'!$B$11)/SUM('Criteria &amp; Scoring'!$B$5:$B$11),2)</x:f>
        <x:v>3.88</x:v>
      </x:c>
      <x:c r="AE29" s="32" t="n">
        <x:f>ROUND((P29*'Criteria &amp; Scoring'!$B$5+Q29*'Criteria &amp; Scoring'!$B$6+R29*'Criteria &amp; Scoring'!$B$7+S29*'Criteria &amp; Scoring'!$B$8+T29*'Criteria &amp; Scoring'!$B$9+U29*'Criteria &amp; Scoring'!$B$10+V29*'Criteria &amp; Scoring'!$B$11)/SUM('Criteria &amp; Scoring'!$B$5:$B$11),2)</x:f>
        <x:v>4.01</x:v>
      </x:c>
      <x:c r="AF29" s="32" t="n">
        <x:f>ROUND((W29*'Criteria &amp; Scoring'!$B$5+X29*'Criteria &amp; Scoring'!$B$6+Y29*'Criteria &amp; Scoring'!$B$7+Z29*'Criteria &amp; Scoring'!$B$8+AA29*'Criteria &amp; Scoring'!$B$9+AB29*'Criteria &amp; Scoring'!$B$10+AC29*'Criteria &amp; Scoring'!$B$11)/SUM('Criteria &amp; Scoring'!$B$5:$B$11),2)</x:f>
        <x:v>3.94</x:v>
      </x:c>
      <x:c r="AG29" s="32" t="str">
        <x:f>IF(LARGE(AD29:AF29,1)-LARGE(AD29:AF29,2)&lt;0.15,"Context-dependent tie",SUBSTITUTE(INDEX($AD$4:$AF$4,1,MATCH(MAX(AD29:AF29),AD29:AF29,0))," Overall",""))</x:f>
        <x:v>Context-dependent tie</x:v>
      </x:c>
      <x:c r="AH29" s="32" t="str">
        <x:f>IF(AG29="AWS","Start with AWS when infrastructure breadth, native integration and operational maturity are the main differentiators.",IF(AG29="Azure","Start with Azure when Microsoft identity, security, data, productivity or hybrid integration reduces delivery effort.",IF(AG29="GCP","Start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9" s="32" t="str">
        <x:v>Medium</x:v>
      </x:c>
      <x:c r="AJ29" s="32" t="str">
        <x:v>2026-07-12</x:v>
      </x:c>
    </x:row>
    <x:row r="30">
      <x:c r="A30" s="32" t="str">
        <x:v>Foundation-model evaluation</x:v>
      </x:c>
      <x:c r="B30" s="32" t="str">
        <x:v>07 AI &amp; Intelligent Systems</x:v>
      </x:c>
      <x:c r="C30" s="32" t="str">
        <x:v>Responsible AI, Safety &amp; Governance</x:v>
      </x:c>
      <x:c r="D30" s="32" t="str">
        <x:v>Platform</x:v>
      </x:c>
      <x:c r="E30" s="32" t="str">
        <x:v>Which risks, policies, evaluations, audit evidence and human controls must be enforced?</x:v>
      </x:c>
      <x:c r="F30" s="32" t="str">
        <x:v>Amazon Bedrock Evaluations
SageMaker Clarify</x:v>
      </x:c>
      <x:c r="G30" s="32" t="str">
        <x:v>Microsoft Foundry evaluations
Azure Machine Learning</x:v>
      </x:c>
      <x:c r="H30" s="32" t="str">
        <x:v>Vertex AI Evaluation</x:v>
      </x:c>
      <x:c r="I30" s="32" t="n">
        <x:v>3.9</x:v>
      </x:c>
      <x:c r="J30" s="32" t="n">
        <x:v>2.9</x:v>
      </x:c>
      <x:c r="K30" s="32" t="n">
        <x:v>4.4</x:v>
      </x:c>
      <x:c r="L30" s="32" t="n">
        <x:v>4.3</x:v>
      </x:c>
      <x:c r="M30" s="32" t="n">
        <x:v>3.1</x:v>
      </x:c>
      <x:c r="N30" s="32" t="n">
        <x:v>4.4</x:v>
      </x:c>
      <x:c r="O30" s="32" t="n">
        <x:v>3.6</x:v>
      </x:c>
      <x:c r="P30" s="32" t="n">
        <x:v>4.2</x:v>
      </x:c>
      <x:c r="Q30" s="32" t="n">
        <x:v>2.9</x:v>
      </x:c>
      <x:c r="R30" s="32" t="n">
        <x:v>4.4</x:v>
      </x:c>
      <x:c r="S30" s="32" t="n">
        <x:v>4.4</x:v>
      </x:c>
      <x:c r="T30" s="32" t="n">
        <x:v>3.1</x:v>
      </x:c>
      <x:c r="U30" s="32" t="n">
        <x:v>4.3</x:v>
      </x:c>
      <x:c r="V30" s="32" t="n">
        <x:v>3.7</x:v>
      </x:c>
      <x:c r="W30" s="32" t="n">
        <x:v>4</x:v>
      </x:c>
      <x:c r="X30" s="32" t="n">
        <x:v>3</x:v>
      </x:c>
      <x:c r="Y30" s="32" t="n">
        <x:v>4.4</x:v>
      </x:c>
      <x:c r="Z30" s="32" t="n">
        <x:v>4.7</x:v>
      </x:c>
      <x:c r="AA30" s="32" t="n">
        <x:v>3.1</x:v>
      </x:c>
      <x:c r="AB30" s="32" t="n">
        <x:v>4.3</x:v>
      </x:c>
      <x:c r="AC30" s="32" t="n">
        <x:v>3.9</x:v>
      </x:c>
      <x:c r="AD30" s="32" t="n">
        <x:f>ROUND((I30*'Criteria &amp; Scoring'!$B$5+J30*'Criteria &amp; Scoring'!$B$6+K30*'Criteria &amp; Scoring'!$B$7+L30*'Criteria &amp; Scoring'!$B$8+M30*'Criteria &amp; Scoring'!$B$9+N30*'Criteria &amp; Scoring'!$B$10+O30*'Criteria &amp; Scoring'!$B$11)/SUM('Criteria &amp; Scoring'!$B$5:$B$11),2)</x:f>
        <x:v>3.79</x:v>
      </x:c>
      <x:c r="AE30" s="32" t="n">
        <x:f>ROUND((P30*'Criteria &amp; Scoring'!$B$5+Q30*'Criteria &amp; Scoring'!$B$6+R30*'Criteria &amp; Scoring'!$B$7+S30*'Criteria &amp; Scoring'!$B$8+T30*'Criteria &amp; Scoring'!$B$9+U30*'Criteria &amp; Scoring'!$B$10+V30*'Criteria &amp; Scoring'!$B$11)/SUM('Criteria &amp; Scoring'!$B$5:$B$11),2)</x:f>
        <x:v>3.88</x:v>
      </x:c>
      <x:c r="AF30" s="32" t="n">
        <x:f>ROUND((W30*'Criteria &amp; Scoring'!$B$5+X30*'Criteria &amp; Scoring'!$B$6+Y30*'Criteria &amp; Scoring'!$B$7+Z30*'Criteria &amp; Scoring'!$B$8+AA30*'Criteria &amp; Scoring'!$B$9+AB30*'Criteria &amp; Scoring'!$B$10+AC30*'Criteria &amp; Scoring'!$B$11)/SUM('Criteria &amp; Scoring'!$B$5:$B$11),2)</x:f>
        <x:v>3.9</x:v>
      </x:c>
      <x:c r="AG30" s="32" t="str">
        <x:f>IF(LARGE(AD30:AF30,1)-LARGE(AD30:AF30,2)&lt;0.15,"Context-dependent tie",SUBSTITUTE(INDEX($AD$4:$AF$4,1,MATCH(MAX(AD30:AF30),AD30:AF30,0))," Overall",""))</x:f>
        <x:v>Context-dependent tie</x:v>
      </x:c>
      <x:c r="AH30" s="32" t="str">
        <x:f>IF(AG30="AWS","Start with AWS when infrastructure breadth, native integration and operational maturity are the main differentiators.",IF(AG30="Azure","Start with Azure when Microsoft identity, security, data, productivity or hybrid integration reduces delivery effort.",IF(AG30="GCP","Start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30" s="32" t="str">
        <x:v>Medium</x:v>
      </x:c>
      <x:c r="AJ30" s="32" t="str">
        <x:v>2026-07-12</x:v>
      </x:c>
    </x:row>
    <x:row r="31">
      <x:c r="A31" s="32" t="str">
        <x:v>AI application observability</x:v>
      </x:c>
      <x:c r="B31" s="32" t="str">
        <x:v>07 AI &amp; Intelligent Systems</x:v>
      </x:c>
      <x:c r="C31" s="32" t="str">
        <x:v>Responsible AI, Safety &amp; Governance</x:v>
      </x:c>
      <x:c r="D31" s="32" t="str">
        <x:v>Workload</x:v>
      </x:c>
      <x:c r="E31" s="32" t="str">
        <x:v>Which risks, policies, evaluations, audit evidence and human controls must be enforced?</x:v>
      </x:c>
      <x:c r="F31" s="32" t="str">
        <x:v>Amazon Bedrock AgentCore Observability
Amazon CloudWatch</x:v>
      </x:c>
      <x:c r="G31" s="32" t="str">
        <x:v>Observability in Foundry Control Plane
Azure Monitor</x:v>
      </x:c>
      <x:c r="H31" s="32" t="str">
        <x:v>Vertex AI Agent Engine observability
Cloud Trace
Cloud Monitoring</x:v>
      </x:c>
      <x:c r="I31" s="32" t="n">
        <x:v>3.9</x:v>
      </x:c>
      <x:c r="J31" s="32" t="n">
        <x:v>2.9</x:v>
      </x:c>
      <x:c r="K31" s="32" t="n">
        <x:v>4.2</x:v>
      </x:c>
      <x:c r="L31" s="32" t="n">
        <x:v>4.3</x:v>
      </x:c>
      <x:c r="M31" s="32" t="n">
        <x:v>3.5</x:v>
      </x:c>
      <x:c r="N31" s="32" t="n">
        <x:v>4.4</x:v>
      </x:c>
      <x:c r="O31" s="32" t="n">
        <x:v>3.6</x:v>
      </x:c>
      <x:c r="P31" s="32" t="n">
        <x:v>4.2</x:v>
      </x:c>
      <x:c r="Q31" s="32" t="n">
        <x:v>2.9</x:v>
      </x:c>
      <x:c r="R31" s="32" t="n">
        <x:v>4.7</x:v>
      </x:c>
      <x:c r="S31" s="32" t="n">
        <x:v>4.4</x:v>
      </x:c>
      <x:c r="T31" s="32" t="n">
        <x:v>3.5</x:v>
      </x:c>
      <x:c r="U31" s="32" t="n">
        <x:v>4.3</x:v>
      </x:c>
      <x:c r="V31" s="32" t="n">
        <x:v>3.7</x:v>
      </x:c>
      <x:c r="W31" s="32" t="n">
        <x:v>3.9</x:v>
      </x:c>
      <x:c r="X31" s="32" t="n">
        <x:v>2.9</x:v>
      </x:c>
      <x:c r="Y31" s="32" t="n">
        <x:v>4.3</x:v>
      </x:c>
      <x:c r="Z31" s="32" t="n">
        <x:v>4.6</x:v>
      </x:c>
      <x:c r="AA31" s="32" t="n">
        <x:v>3.5</x:v>
      </x:c>
      <x:c r="AB31" s="32" t="n">
        <x:v>4.2</x:v>
      </x:c>
      <x:c r="AC31" s="32" t="n">
        <x:v>3.8</x:v>
      </x:c>
      <x:c r="AD31" s="32" t="n">
        <x:f>ROUND((I31*'Criteria &amp; Scoring'!$B$5+J31*'Criteria &amp; Scoring'!$B$6+K31*'Criteria &amp; Scoring'!$B$7+L31*'Criteria &amp; Scoring'!$B$8+M31*'Criteria &amp; Scoring'!$B$9+N31*'Criteria &amp; Scoring'!$B$10+O31*'Criteria &amp; Scoring'!$B$11)/SUM('Criteria &amp; Scoring'!$B$5:$B$11),2)</x:f>
        <x:v>3.8</x:v>
      </x:c>
      <x:c r="AE31" s="32" t="n">
        <x:f>ROUND((P31*'Criteria &amp; Scoring'!$B$5+Q31*'Criteria &amp; Scoring'!$B$6+R31*'Criteria &amp; Scoring'!$B$7+S31*'Criteria &amp; Scoring'!$B$8+T31*'Criteria &amp; Scoring'!$B$9+U31*'Criteria &amp; Scoring'!$B$10+V31*'Criteria &amp; Scoring'!$B$11)/SUM('Criteria &amp; Scoring'!$B$5:$B$11),2)</x:f>
        <x:v>3.96</x:v>
      </x:c>
      <x:c r="AF31" s="32" t="n">
        <x:f>ROUND((W31*'Criteria &amp; Scoring'!$B$5+X31*'Criteria &amp; Scoring'!$B$6+Y31*'Criteria &amp; Scoring'!$B$7+Z31*'Criteria &amp; Scoring'!$B$8+AA31*'Criteria &amp; Scoring'!$B$9+AB31*'Criteria &amp; Scoring'!$B$10+AC31*'Criteria &amp; Scoring'!$B$11)/SUM('Criteria &amp; Scoring'!$B$5:$B$11),2)</x:f>
        <x:v>3.85</x:v>
      </x:c>
      <x:c r="AG31" s="32" t="str">
        <x:f>IF(LARGE(AD31:AF31,1)-LARGE(AD31:AF31,2)&lt;0.15,"Context-dependent tie",SUBSTITUTE(INDEX($AD$4:$AF$4,1,MATCH(MAX(AD31:AF31),AD31:AF31,0))," Overall",""))</x:f>
        <x:v>Context-dependent tie</x:v>
      </x:c>
      <x:c r="AH31" s="32" t="str">
        <x:f>IF(AG31="AWS","Start with AWS when infrastructure breadth, native integration and operational maturity are the main differentiators.",IF(AG31="Azure","Start with Azure when Microsoft identity, security, data, productivity or hybrid integration reduces delivery effort.",IF(AG31="GCP","Start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31" s="32" t="str">
        <x:v>Medium</x:v>
      </x:c>
      <x:c r="AJ31" s="32" t="str">
        <x:v>2026-07-12</x:v>
      </x:c>
    </x:row>
    <x:row r="32">
      <x:c r="A32" s="32" t="str">
        <x:v>Managed foundation-model platform</x:v>
      </x:c>
      <x:c r="B32" s="32" t="str">
        <x:v>07 AI &amp; Intelligent Systems</x:v>
      </x:c>
      <x:c r="C32" s="32" t="str">
        <x:v>Foundation Models &amp; GenAI</x:v>
      </x:c>
      <x:c r="D32" s="32" t="str">
        <x:v>Platform</x:v>
      </x:c>
      <x:c r="E32" s="32" t="str">
        <x:v>Do you need model choice, provider-native models, customisation, enterprise controls, or lowest operational effort?</x:v>
      </x:c>
      <x:c r="F32" s="32" t="str">
        <x:v>Amazon Bedrock</x:v>
      </x:c>
      <x:c r="G32" s="32" t="str">
        <x:v>Microsoft Foundry
Azure OpenAI in Foundry Models</x:v>
      </x:c>
      <x:c r="H32" s="32" t="str">
        <x:v>Vertex AI</x:v>
      </x:c>
      <x:c r="I32" s="32" t="n">
        <x:v>4</x:v>
      </x:c>
      <x:c r="J32" s="32" t="n">
        <x:v>3</x:v>
      </x:c>
      <x:c r="K32" s="32" t="n">
        <x:v>4.5</x:v>
      </x:c>
      <x:c r="L32" s="32" t="n">
        <x:v>4.3</x:v>
      </x:c>
      <x:c r="M32" s="32" t="n">
        <x:v>3.1</x:v>
      </x:c>
      <x:c r="N32" s="32" t="n">
        <x:v>4.5</x:v>
      </x:c>
      <x:c r="O32" s="32" t="n">
        <x:v>3.7</x:v>
      </x:c>
      <x:c r="P32" s="32" t="n">
        <x:v>4.2</x:v>
      </x:c>
      <x:c r="Q32" s="32" t="n">
        <x:v>2.9</x:v>
      </x:c>
      <x:c r="R32" s="32" t="n">
        <x:v>4.4</x:v>
      </x:c>
      <x:c r="S32" s="32" t="n">
        <x:v>4.4</x:v>
      </x:c>
      <x:c r="T32" s="32" t="n">
        <x:v>3.1</x:v>
      </x:c>
      <x:c r="U32" s="32" t="n">
        <x:v>4.3</x:v>
      </x:c>
      <x:c r="V32" s="32" t="n">
        <x:v>3.7</x:v>
      </x:c>
      <x:c r="W32" s="32" t="n">
        <x:v>4.5</x:v>
      </x:c>
      <x:c r="X32" s="32" t="n">
        <x:v>3.4</x:v>
      </x:c>
      <x:c r="Y32" s="32" t="n">
        <x:v>4.4</x:v>
      </x:c>
      <x:c r="Z32" s="32" t="n">
        <x:v>4.9</x:v>
      </x:c>
      <x:c r="AA32" s="32" t="n">
        <x:v>3.1</x:v>
      </x:c>
      <x:c r="AB32" s="32" t="n">
        <x:v>4.3</x:v>
      </x:c>
      <x:c r="AC32" s="32" t="n">
        <x:v>3.9</x:v>
      </x:c>
      <x:c r="AD32" s="32" t="n">
        <x:f>ROUND((I32*'Criteria &amp; Scoring'!$B$5+J32*'Criteria &amp; Scoring'!$B$6+K32*'Criteria &amp; Scoring'!$B$7+L32*'Criteria &amp; Scoring'!$B$8+M32*'Criteria &amp; Scoring'!$B$9+N32*'Criteria &amp; Scoring'!$B$10+O32*'Criteria &amp; Scoring'!$B$11)/SUM('Criteria &amp; Scoring'!$B$5:$B$11),2)</x:f>
        <x:v>3.87</x:v>
      </x:c>
      <x:c r="AE32" s="32" t="n">
        <x:f>ROUND((P32*'Criteria &amp; Scoring'!$B$5+Q32*'Criteria &amp; Scoring'!$B$6+R32*'Criteria &amp; Scoring'!$B$7+S32*'Criteria &amp; Scoring'!$B$8+T32*'Criteria &amp; Scoring'!$B$9+U32*'Criteria &amp; Scoring'!$B$10+V32*'Criteria &amp; Scoring'!$B$11)/SUM('Criteria &amp; Scoring'!$B$5:$B$11),2)</x:f>
        <x:v>3.88</x:v>
      </x:c>
      <x:c r="AF32" s="32" t="n">
        <x:f>ROUND((W32*'Criteria &amp; Scoring'!$B$5+X32*'Criteria &amp; Scoring'!$B$6+Y32*'Criteria &amp; Scoring'!$B$7+Z32*'Criteria &amp; Scoring'!$B$8+AA32*'Criteria &amp; Scoring'!$B$9+AB32*'Criteria &amp; Scoring'!$B$10+AC32*'Criteria &amp; Scoring'!$B$11)/SUM('Criteria &amp; Scoring'!$B$5:$B$11),2)</x:f>
        <x:v>4.14</x:v>
      </x:c>
      <x:c r="AG32" s="32" t="str">
        <x:f>IF(LARGE(AD32:AF32,1)-LARGE(AD32:AF32,2)&lt;0.15,"Context-dependent tie",SUBSTITUTE(INDEX($AD$4:$AF$4,1,MATCH(MAX(AD32:AF32),AD32:AF32,0))," Overall",""))</x:f>
        <x:v>GCP</x:v>
      </x:c>
      <x:c r="AH32" s="32" t="str">
        <x:f>IF(AG32="AWS","Start with AWS when infrastructure breadth, native integration and operational maturity are the main differentiators.",IF(AG32="Azure","Start with Azure when Microsoft identity, security, data, productivity or hybrid integration reduces delivery effort.",IF(AG32="GCP","Start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32" s="32" t="str">
        <x:v>Medium</x:v>
      </x:c>
      <x:c r="AJ32" s="32" t="str">
        <x:v>2026-07-12</x:v>
      </x:c>
    </x:row>
    <x:row r="33">
      <x:c r="A33" s="32" t="str">
        <x:v>Provider foundation models</x:v>
      </x:c>
      <x:c r="B33" s="32" t="str">
        <x:v>07 AI &amp; Intelligent Systems</x:v>
      </x:c>
      <x:c r="C33" s="32" t="str">
        <x:v>Foundation Models &amp; GenAI</x:v>
      </x:c>
      <x:c r="D33" s="32" t="str">
        <x:v>Workload</x:v>
      </x:c>
      <x:c r="E33" s="32" t="str">
        <x:v>Do you need model choice, provider-native models, customisation, enterprise controls, or lowest operational effort?</x:v>
      </x:c>
      <x:c r="F33" s="32" t="str">
        <x:v>Amazon Nova</x:v>
      </x:c>
      <x:c r="G33" s="32" t="str">
        <x:v>Phi models</x:v>
      </x:c>
      <x:c r="H33" s="32" t="str">
        <x:v>Gemini models</x:v>
      </x:c>
      <x:c r="I33" s="32" t="n">
        <x:v>4</x:v>
      </x:c>
      <x:c r="J33" s="32" t="n">
        <x:v>3</x:v>
      </x:c>
      <x:c r="K33" s="32" t="n">
        <x:v>4.5</x:v>
      </x:c>
      <x:c r="L33" s="32" t="n">
        <x:v>4.3</x:v>
      </x:c>
      <x:c r="M33" s="32" t="n">
        <x:v>3.5</x:v>
      </x:c>
      <x:c r="N33" s="32" t="n">
        <x:v>4.5</x:v>
      </x:c>
      <x:c r="O33" s="32" t="n">
        <x:v>3.7</x:v>
      </x:c>
      <x:c r="P33" s="32" t="n">
        <x:v>4.3</x:v>
      </x:c>
      <x:c r="Q33" s="32" t="n">
        <x:v>3</x:v>
      </x:c>
      <x:c r="R33" s="32" t="n">
        <x:v>4.5</x:v>
      </x:c>
      <x:c r="S33" s="32" t="n">
        <x:v>4.5</x:v>
      </x:c>
      <x:c r="T33" s="32" t="n">
        <x:v>3.5</x:v>
      </x:c>
      <x:c r="U33" s="32" t="n">
        <x:v>4.4</x:v>
      </x:c>
      <x:c r="V33" s="32" t="n">
        <x:v>3.8</x:v>
      </x:c>
      <x:c r="W33" s="32" t="n">
        <x:v>4.5</x:v>
      </x:c>
      <x:c r="X33" s="32" t="n">
        <x:v>3.4</x:v>
      </x:c>
      <x:c r="Y33" s="32" t="n">
        <x:v>4.4</x:v>
      </x:c>
      <x:c r="Z33" s="32" t="n">
        <x:v>4.9</x:v>
      </x:c>
      <x:c r="AA33" s="32" t="n">
        <x:v>3.5</x:v>
      </x:c>
      <x:c r="AB33" s="32" t="n">
        <x:v>4.3</x:v>
      </x:c>
      <x:c r="AC33" s="32" t="n">
        <x:v>3.9</x:v>
      </x:c>
      <x:c r="AD33" s="32" t="n">
        <x:f>ROUND((I33*'Criteria &amp; Scoring'!$B$5+J33*'Criteria &amp; Scoring'!$B$6+K33*'Criteria &amp; Scoring'!$B$7+L33*'Criteria &amp; Scoring'!$B$8+M33*'Criteria &amp; Scoring'!$B$9+N33*'Criteria &amp; Scoring'!$B$10+O33*'Criteria &amp; Scoring'!$B$11)/SUM('Criteria &amp; Scoring'!$B$5:$B$11),2)</x:f>
        <x:v>3.91</x:v>
      </x:c>
      <x:c r="AE33" s="32" t="n">
        <x:f>ROUND((P33*'Criteria &amp; Scoring'!$B$5+Q33*'Criteria &amp; Scoring'!$B$6+R33*'Criteria &amp; Scoring'!$B$7+S33*'Criteria &amp; Scoring'!$B$8+T33*'Criteria &amp; Scoring'!$B$9+U33*'Criteria &amp; Scoring'!$B$10+V33*'Criteria &amp; Scoring'!$B$11)/SUM('Criteria &amp; Scoring'!$B$5:$B$11),2)</x:f>
        <x:v>4.01</x:v>
      </x:c>
      <x:c r="AF33" s="32" t="n">
        <x:f>ROUND((W33*'Criteria &amp; Scoring'!$B$5+X33*'Criteria &amp; Scoring'!$B$6+Y33*'Criteria &amp; Scoring'!$B$7+Z33*'Criteria &amp; Scoring'!$B$8+AA33*'Criteria &amp; Scoring'!$B$9+AB33*'Criteria &amp; Scoring'!$B$10+AC33*'Criteria &amp; Scoring'!$B$11)/SUM('Criteria &amp; Scoring'!$B$5:$B$11),2)</x:f>
        <x:v>4.18</x:v>
      </x:c>
      <x:c r="AG33" s="32" t="str">
        <x:f>IF(LARGE(AD33:AF33,1)-LARGE(AD33:AF33,2)&lt;0.15,"Context-dependent tie",SUBSTITUTE(INDEX($AD$4:$AF$4,1,MATCH(MAX(AD33:AF33),AD33:AF33,0))," Overall",""))</x:f>
        <x:v>GCP</x:v>
      </x:c>
      <x:c r="AH33" s="32" t="str">
        <x:f>IF(AG33="AWS","Start with AWS when infrastructure breadth, native integration and operational maturity are the main differentiators.",IF(AG33="Azure","Start with Azure when Microsoft identity, security, data, productivity or hybrid integration reduces delivery effort.",IF(AG33="GCP","Start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33" s="32" t="str">
        <x:v>Medium</x:v>
      </x:c>
      <x:c r="AJ33" s="32" t="str">
        <x:v>2026-07-12</x:v>
      </x:c>
    </x:row>
    <x:row r="34">
      <x:c r="A34" s="32" t="str">
        <x:v>Foundation-model catalogue</x:v>
      </x:c>
      <x:c r="B34" s="32" t="str">
        <x:v>07 AI &amp; Intelligent Systems</x:v>
      </x:c>
      <x:c r="C34" s="32" t="str">
        <x:v>Foundation Models &amp; GenAI</x:v>
      </x:c>
      <x:c r="D34" s="32" t="str">
        <x:v>Platform</x:v>
      </x:c>
      <x:c r="E34" s="32" t="str">
        <x:v>Do you need model choice, provider-native models, customisation, enterprise controls, or lowest operational effort?</x:v>
      </x:c>
      <x:c r="F34" s="32" t="str">
        <x:v>Amazon Bedrock model catalog
Amazon SageMaker JumpStart</x:v>
      </x:c>
      <x:c r="G34" s="32" t="str">
        <x:v>Foundry Models</x:v>
      </x:c>
      <x:c r="H34" s="32" t="str">
        <x:v>Vertex AI Model Garden</x:v>
      </x:c>
      <x:c r="I34" s="32" t="n">
        <x:v>3.9</x:v>
      </x:c>
      <x:c r="J34" s="32" t="n">
        <x:v>2.9</x:v>
      </x:c>
      <x:c r="K34" s="32" t="n">
        <x:v>4.4</x:v>
      </x:c>
      <x:c r="L34" s="32" t="n">
        <x:v>4.3</x:v>
      </x:c>
      <x:c r="M34" s="32" t="n">
        <x:v>3.1</x:v>
      </x:c>
      <x:c r="N34" s="32" t="n">
        <x:v>4.4</x:v>
      </x:c>
      <x:c r="O34" s="32" t="n">
        <x:v>3.6</x:v>
      </x:c>
      <x:c r="P34" s="32" t="n">
        <x:v>4.3</x:v>
      </x:c>
      <x:c r="Q34" s="32" t="n">
        <x:v>3</x:v>
      </x:c>
      <x:c r="R34" s="32" t="n">
        <x:v>4.5</x:v>
      </x:c>
      <x:c r="S34" s="32" t="n">
        <x:v>4.5</x:v>
      </x:c>
      <x:c r="T34" s="32" t="n">
        <x:v>3.1</x:v>
      </x:c>
      <x:c r="U34" s="32" t="n">
        <x:v>4.4</x:v>
      </x:c>
      <x:c r="V34" s="32" t="n">
        <x:v>3.8</x:v>
      </x:c>
      <x:c r="W34" s="32" t="n">
        <x:v>4.5</x:v>
      </x:c>
      <x:c r="X34" s="32" t="n">
        <x:v>3.4</x:v>
      </x:c>
      <x:c r="Y34" s="32" t="n">
        <x:v>4.4</x:v>
      </x:c>
      <x:c r="Z34" s="32" t="n">
        <x:v>4.9</x:v>
      </x:c>
      <x:c r="AA34" s="32" t="n">
        <x:v>3.1</x:v>
      </x:c>
      <x:c r="AB34" s="32" t="n">
        <x:v>4.3</x:v>
      </x:c>
      <x:c r="AC34" s="32" t="n">
        <x:v>3.9</x:v>
      </x:c>
      <x:c r="AD34" s="32" t="n">
        <x:f>ROUND((I34*'Criteria &amp; Scoring'!$B$5+J34*'Criteria &amp; Scoring'!$B$6+K34*'Criteria &amp; Scoring'!$B$7+L34*'Criteria &amp; Scoring'!$B$8+M34*'Criteria &amp; Scoring'!$B$9+N34*'Criteria &amp; Scoring'!$B$10+O34*'Criteria &amp; Scoring'!$B$11)/SUM('Criteria &amp; Scoring'!$B$5:$B$11),2)</x:f>
        <x:v>3.79</x:v>
      </x:c>
      <x:c r="AE34" s="32" t="n">
        <x:f>ROUND((P34*'Criteria &amp; Scoring'!$B$5+Q34*'Criteria &amp; Scoring'!$B$6+R34*'Criteria &amp; Scoring'!$B$7+S34*'Criteria &amp; Scoring'!$B$8+T34*'Criteria &amp; Scoring'!$B$9+U34*'Criteria &amp; Scoring'!$B$10+V34*'Criteria &amp; Scoring'!$B$11)/SUM('Criteria &amp; Scoring'!$B$5:$B$11),2)</x:f>
        <x:v>3.97</x:v>
      </x:c>
      <x:c r="AF34" s="32" t="n">
        <x:f>ROUND((W34*'Criteria &amp; Scoring'!$B$5+X34*'Criteria &amp; Scoring'!$B$6+Y34*'Criteria &amp; Scoring'!$B$7+Z34*'Criteria &amp; Scoring'!$B$8+AA34*'Criteria &amp; Scoring'!$B$9+AB34*'Criteria &amp; Scoring'!$B$10+AC34*'Criteria &amp; Scoring'!$B$11)/SUM('Criteria &amp; Scoring'!$B$5:$B$11),2)</x:f>
        <x:v>4.14</x:v>
      </x:c>
      <x:c r="AG34" s="32" t="str">
        <x:f>IF(LARGE(AD34:AF34,1)-LARGE(AD34:AF34,2)&lt;0.15,"Context-dependent tie",SUBSTITUTE(INDEX($AD$4:$AF$4,1,MATCH(MAX(AD34:AF34),AD34:AF34,0))," Overall",""))</x:f>
        <x:v>GCP</x:v>
      </x:c>
      <x:c r="AH34" s="32" t="str">
        <x:f>IF(AG34="AWS","Start with AWS when infrastructure breadth, native integration and operational maturity are the main differentiators.",IF(AG34="Azure","Start with Azure when Microsoft identity, security, data, productivity or hybrid integration reduces delivery effort.",IF(AG34="GCP","Start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34" s="32" t="str">
        <x:v>Medium</x:v>
      </x:c>
      <x:c r="AJ34" s="32" t="str">
        <x:v>2026-07-12</x:v>
      </x:c>
    </x:row>
    <x:row r="35">
      <x:c r="A35" s="32" t="str">
        <x:v>Managed AI agent platform</x:v>
      </x:c>
      <x:c r="B35" s="32" t="str">
        <x:v>07 AI &amp; Intelligent Systems</x:v>
      </x:c>
      <x:c r="C35" s="32" t="str">
        <x:v>Agents, RAG &amp; Enterprise Search</x:v>
      </x:c>
      <x:c r="D35" s="32" t="str">
        <x:v>Platform</x:v>
      </x:c>
      <x:c r="E35" s="32" t="str">
        <x:v>What must the system retrieve, reason over, call as tools, govern and observe?</x:v>
      </x:c>
      <x:c r="F35" s="32" t="str">
        <x:v>Agents for Amazon Bedrock
Amazon Bedrock AgentCore</x:v>
      </x:c>
      <x:c r="G35" s="32" t="str">
        <x:v>Foundry Agent Service</x:v>
      </x:c>
      <x:c r="H35" s="32" t="str">
        <x:v>Vertex AI Agent Engine
Gemini Enterprise Agent Platform</x:v>
      </x:c>
      <x:c r="I35" s="32" t="n">
        <x:v>3.9</x:v>
      </x:c>
      <x:c r="J35" s="32" t="n">
        <x:v>2.9</x:v>
      </x:c>
      <x:c r="K35" s="32" t="n">
        <x:v>4.2</x:v>
      </x:c>
      <x:c r="L35" s="32" t="n">
        <x:v>4.3</x:v>
      </x:c>
      <x:c r="M35" s="32" t="n">
        <x:v>3.5</x:v>
      </x:c>
      <x:c r="N35" s="32" t="n">
        <x:v>4.4</x:v>
      </x:c>
      <x:c r="O35" s="32" t="n">
        <x:v>3.6</x:v>
      </x:c>
      <x:c r="P35" s="32" t="n">
        <x:v>4</x:v>
      </x:c>
      <x:c r="Q35" s="32" t="n">
        <x:v>3</x:v>
      </x:c>
      <x:c r="R35" s="32" t="n">
        <x:v>4.5</x:v>
      </x:c>
      <x:c r="S35" s="32" t="n">
        <x:v>4.5</x:v>
      </x:c>
      <x:c r="T35" s="32" t="n">
        <x:v>3.5</x:v>
      </x:c>
      <x:c r="U35" s="32" t="n">
        <x:v>4.4</x:v>
      </x:c>
      <x:c r="V35" s="32" t="n">
        <x:v>3.8</x:v>
      </x:c>
      <x:c r="W35" s="32" t="n">
        <x:v>4.3</x:v>
      </x:c>
      <x:c r="X35" s="32" t="n">
        <x:v>2.9</x:v>
      </x:c>
      <x:c r="Y35" s="32" t="n">
        <x:v>4.3</x:v>
      </x:c>
      <x:c r="Z35" s="32" t="n">
        <x:v>4.8</x:v>
      </x:c>
      <x:c r="AA35" s="32" t="n">
        <x:v>3.5</x:v>
      </x:c>
      <x:c r="AB35" s="32" t="n">
        <x:v>4.2</x:v>
      </x:c>
      <x:c r="AC35" s="32" t="n">
        <x:v>3.8</x:v>
      </x:c>
      <x:c r="AD35" s="32" t="n">
        <x:f>ROUND((I35*'Criteria &amp; Scoring'!$B$5+J35*'Criteria &amp; Scoring'!$B$6+K35*'Criteria &amp; Scoring'!$B$7+L35*'Criteria &amp; Scoring'!$B$8+M35*'Criteria &amp; Scoring'!$B$9+N35*'Criteria &amp; Scoring'!$B$10+O35*'Criteria &amp; Scoring'!$B$11)/SUM('Criteria &amp; Scoring'!$B$5:$B$11),2)</x:f>
        <x:v>3.8</x:v>
      </x:c>
      <x:c r="AE35" s="32" t="n">
        <x:f>ROUND((P35*'Criteria &amp; Scoring'!$B$5+Q35*'Criteria &amp; Scoring'!$B$6+R35*'Criteria &amp; Scoring'!$B$7+S35*'Criteria &amp; Scoring'!$B$8+T35*'Criteria &amp; Scoring'!$B$9+U35*'Criteria &amp; Scoring'!$B$10+V35*'Criteria &amp; Scoring'!$B$11)/SUM('Criteria &amp; Scoring'!$B$5:$B$11),2)</x:f>
        <x:v>3.93</x:v>
      </x:c>
      <x:c r="AF35" s="32" t="n">
        <x:f>ROUND((W35*'Criteria &amp; Scoring'!$B$5+X35*'Criteria &amp; Scoring'!$B$6+Y35*'Criteria &amp; Scoring'!$B$7+Z35*'Criteria &amp; Scoring'!$B$8+AA35*'Criteria &amp; Scoring'!$B$9+AB35*'Criteria &amp; Scoring'!$B$10+AC35*'Criteria &amp; Scoring'!$B$11)/SUM('Criteria &amp; Scoring'!$B$5:$B$11),2)</x:f>
        <x:v>3.98</x:v>
      </x:c>
      <x:c r="AG35" s="32" t="str">
        <x:f>IF(LARGE(AD35:AF35,1)-LARGE(AD35:AF35,2)&lt;0.15,"Context-dependent tie",SUBSTITUTE(INDEX($AD$4:$AF$4,1,MATCH(MAX(AD35:AF35),AD35:AF35,0))," Overall",""))</x:f>
        <x:v>Context-dependent tie</x:v>
      </x:c>
      <x:c r="AH35" s="32" t="str">
        <x:f>IF(AG35="AWS","Start with AWS when infrastructure breadth, native integration and operational maturity are the main differentiators.",IF(AG35="Azure","Start with Azure when Microsoft identity, security, data, productivity or hybrid integration reduces delivery effort.",IF(AG35="GCP","Start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35" s="32" t="str">
        <x:v>Medium</x:v>
      </x:c>
      <x:c r="AJ35" s="32" t="str">
        <x:v>2026-07-12</x:v>
      </x:c>
    </x:row>
    <x:row r="36">
      <x:c r="A36" s="32" t="str">
        <x:v>Multi-agent orchestration</x:v>
      </x:c>
      <x:c r="B36" s="32" t="str">
        <x:v>07 AI &amp; Intelligent Systems</x:v>
      </x:c>
      <x:c r="C36" s="32" t="str">
        <x:v>Agents, RAG &amp; Enterprise Search</x:v>
      </x:c>
      <x:c r="D36" s="32" t="str">
        <x:v>Workload</x:v>
      </x:c>
      <x:c r="E36" s="32" t="str">
        <x:v>What must the system retrieve, reason over, call as tools, govern and observe?</x:v>
      </x:c>
      <x:c r="F36" s="32" t="str">
        <x:v>Amazon Bedrock multi-agent collaboration</x:v>
      </x:c>
      <x:c r="G36" s="32" t="str">
        <x:v>Foundry Agent Service</x:v>
      </x:c>
      <x:c r="H36" s="32" t="str">
        <x:v>Agent Development Kit
Vertex AI Agent Engine</x:v>
      </x:c>
      <x:c r="I36" s="32" t="n">
        <x:v>4</x:v>
      </x:c>
      <x:c r="J36" s="32" t="n">
        <x:v>2</x:v>
      </x:c>
      <x:c r="K36" s="32" t="n">
        <x:v>4.3</x:v>
      </x:c>
      <x:c r="L36" s="32" t="n">
        <x:v>4.3</x:v>
      </x:c>
      <x:c r="M36" s="32" t="n">
        <x:v>3.5</x:v>
      </x:c>
      <x:c r="N36" s="32" t="n">
        <x:v>4.5</x:v>
      </x:c>
      <x:c r="O36" s="32" t="n">
        <x:v>3.7</x:v>
      </x:c>
      <x:c r="P36" s="32" t="n">
        <x:v>4</x:v>
      </x:c>
      <x:c r="Q36" s="32" t="n">
        <x:v>2</x:v>
      </x:c>
      <x:c r="R36" s="32" t="n">
        <x:v>4.5</x:v>
      </x:c>
      <x:c r="S36" s="32" t="n">
        <x:v>4.5</x:v>
      </x:c>
      <x:c r="T36" s="32" t="n">
        <x:v>3.5</x:v>
      </x:c>
      <x:c r="U36" s="32" t="n">
        <x:v>4.4</x:v>
      </x:c>
      <x:c r="V36" s="32" t="n">
        <x:v>3.8</x:v>
      </x:c>
      <x:c r="W36" s="32" t="n">
        <x:v>4.3</x:v>
      </x:c>
      <x:c r="X36" s="32" t="n">
        <x:v>1.9</x:v>
      </x:c>
      <x:c r="Y36" s="32" t="n">
        <x:v>4.1</x:v>
      </x:c>
      <x:c r="Z36" s="32" t="n">
        <x:v>4.8</x:v>
      </x:c>
      <x:c r="AA36" s="32" t="n">
        <x:v>3.5</x:v>
      </x:c>
      <x:c r="AB36" s="32" t="n">
        <x:v>4.2</x:v>
      </x:c>
      <x:c r="AC36" s="32" t="n">
        <x:v>3.8</x:v>
      </x:c>
      <x:c r="AD36" s="32" t="n">
        <x:f>ROUND((I36*'Criteria &amp; Scoring'!$B$5+J36*'Criteria &amp; Scoring'!$B$6+K36*'Criteria &amp; Scoring'!$B$7+L36*'Criteria &amp; Scoring'!$B$8+M36*'Criteria &amp; Scoring'!$B$9+N36*'Criteria &amp; Scoring'!$B$10+O36*'Criteria &amp; Scoring'!$B$11)/SUM('Criteria &amp; Scoring'!$B$5:$B$11),2)</x:f>
        <x:v>3.68</x:v>
      </x:c>
      <x:c r="AE36" s="32" t="n">
        <x:f>ROUND((P36*'Criteria &amp; Scoring'!$B$5+Q36*'Criteria &amp; Scoring'!$B$6+R36*'Criteria &amp; Scoring'!$B$7+S36*'Criteria &amp; Scoring'!$B$8+T36*'Criteria &amp; Scoring'!$B$9+U36*'Criteria &amp; Scoring'!$B$10+V36*'Criteria &amp; Scoring'!$B$11)/SUM('Criteria &amp; Scoring'!$B$5:$B$11),2)</x:f>
        <x:v>3.73</x:v>
      </x:c>
      <x:c r="AF36" s="32" t="n">
        <x:f>ROUND((W36*'Criteria &amp; Scoring'!$B$5+X36*'Criteria &amp; Scoring'!$B$6+Y36*'Criteria &amp; Scoring'!$B$7+Z36*'Criteria &amp; Scoring'!$B$8+AA36*'Criteria &amp; Scoring'!$B$9+AB36*'Criteria &amp; Scoring'!$B$10+AC36*'Criteria &amp; Scoring'!$B$11)/SUM('Criteria &amp; Scoring'!$B$5:$B$11),2)</x:f>
        <x:v>3.75</x:v>
      </x:c>
      <x:c r="AG36" s="32" t="str">
        <x:f>IF(LARGE(AD36:AF36,1)-LARGE(AD36:AF36,2)&lt;0.15,"Context-dependent tie",SUBSTITUTE(INDEX($AD$4:$AF$4,1,MATCH(MAX(AD36:AF36),AD36:AF36,0))," Overall",""))</x:f>
        <x:v>Context-dependent tie</x:v>
      </x:c>
      <x:c r="AH36" s="32" t="str">
        <x:f>IF(AG36="AWS","Start with AWS when infrastructure breadth, native integration and operational maturity are the main differentiators.",IF(AG36="Azure","Start with Azure when Microsoft identity, security, data, productivity or hybrid integration reduces delivery effort.",IF(AG36="GCP","Start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36" s="32" t="str">
        <x:v>Medium</x:v>
      </x:c>
      <x:c r="AJ36" s="32" t="str">
        <x:v>2026-07-12</x:v>
      </x:c>
    </x:row>
    <x:row r="37">
      <x:c r="A37" s="32" t="str">
        <x:v>Managed knowledge bases for RAG</x:v>
      </x:c>
      <x:c r="B37" s="32" t="str">
        <x:v>07 AI &amp; Intelligent Systems</x:v>
      </x:c>
      <x:c r="C37" s="32" t="str">
        <x:v>Agents, RAG &amp; Enterprise Search</x:v>
      </x:c>
      <x:c r="D37" s="32" t="str">
        <x:v>Workload</x:v>
      </x:c>
      <x:c r="E37" s="32" t="str">
        <x:v>What must the system retrieve, reason over, call as tools, govern and observe?</x:v>
      </x:c>
      <x:c r="F37" s="32" t="str">
        <x:v>Knowledge Bases for Amazon Bedrock</x:v>
      </x:c>
      <x:c r="G37" s="32" t="str">
        <x:v>Azure AI Search
Foundry IQ</x:v>
      </x:c>
      <x:c r="H37" s="32" t="str">
        <x:v>Vertex AI Search
Vertex AI RAG Engine</x:v>
      </x:c>
      <x:c r="I37" s="32" t="n">
        <x:v>4</x:v>
      </x:c>
      <x:c r="J37" s="32" t="n">
        <x:v>3</x:v>
      </x:c>
      <x:c r="K37" s="32" t="n">
        <x:v>4.3</x:v>
      </x:c>
      <x:c r="L37" s="32" t="n">
        <x:v>4.3</x:v>
      </x:c>
      <x:c r="M37" s="32" t="n">
        <x:v>3.5</x:v>
      </x:c>
      <x:c r="N37" s="32" t="n">
        <x:v>4.5</x:v>
      </x:c>
      <x:c r="O37" s="32" t="n">
        <x:v>3.7</x:v>
      </x:c>
      <x:c r="P37" s="32" t="n">
        <x:v>3.9</x:v>
      </x:c>
      <x:c r="Q37" s="32" t="n">
        <x:v>2.9</x:v>
      </x:c>
      <x:c r="R37" s="32" t="n">
        <x:v>4.4</x:v>
      </x:c>
      <x:c r="S37" s="32" t="n">
        <x:v>4.4</x:v>
      </x:c>
      <x:c r="T37" s="32" t="n">
        <x:v>3.5</x:v>
      </x:c>
      <x:c r="U37" s="32" t="n">
        <x:v>4.3</x:v>
      </x:c>
      <x:c r="V37" s="32" t="n">
        <x:v>3.7</x:v>
      </x:c>
      <x:c r="W37" s="32" t="n">
        <x:v>4.3</x:v>
      </x:c>
      <x:c r="X37" s="32" t="n">
        <x:v>2.9</x:v>
      </x:c>
      <x:c r="Y37" s="32" t="n">
        <x:v>4.1</x:v>
      </x:c>
      <x:c r="Z37" s="32" t="n">
        <x:v>4.8</x:v>
      </x:c>
      <x:c r="AA37" s="32" t="n">
        <x:v>3.5</x:v>
      </x:c>
      <x:c r="AB37" s="32" t="n">
        <x:v>4.2</x:v>
      </x:c>
      <x:c r="AC37" s="32" t="n">
        <x:v>3.8</x:v>
      </x:c>
      <x:c r="AD37" s="32" t="n">
        <x:f>ROUND((I37*'Criteria &amp; Scoring'!$B$5+J37*'Criteria &amp; Scoring'!$B$6+K37*'Criteria &amp; Scoring'!$B$7+L37*'Criteria &amp; Scoring'!$B$8+M37*'Criteria &amp; Scoring'!$B$9+N37*'Criteria &amp; Scoring'!$B$10+O37*'Criteria &amp; Scoring'!$B$11)/SUM('Criteria &amp; Scoring'!$B$5:$B$11),2)</x:f>
        <x:v>3.88</x:v>
      </x:c>
      <x:c r="AE37" s="32" t="n">
        <x:f>ROUND((P37*'Criteria &amp; Scoring'!$B$5+Q37*'Criteria &amp; Scoring'!$B$6+R37*'Criteria &amp; Scoring'!$B$7+S37*'Criteria &amp; Scoring'!$B$8+T37*'Criteria &amp; Scoring'!$B$9+U37*'Criteria &amp; Scoring'!$B$10+V37*'Criteria &amp; Scoring'!$B$11)/SUM('Criteria &amp; Scoring'!$B$5:$B$11),2)</x:f>
        <x:v>3.84</x:v>
      </x:c>
      <x:c r="AF37" s="32" t="n">
        <x:f>ROUND((W37*'Criteria &amp; Scoring'!$B$5+X37*'Criteria &amp; Scoring'!$B$6+Y37*'Criteria &amp; Scoring'!$B$7+Z37*'Criteria &amp; Scoring'!$B$8+AA37*'Criteria &amp; Scoring'!$B$9+AB37*'Criteria &amp; Scoring'!$B$10+AC37*'Criteria &amp; Scoring'!$B$11)/SUM('Criteria &amp; Scoring'!$B$5:$B$11),2)</x:f>
        <x:v>3.95</x:v>
      </x:c>
      <x:c r="AG37" s="32" t="str">
        <x:f>IF(LARGE(AD37:AF37,1)-LARGE(AD37:AF37,2)&lt;0.15,"Context-dependent tie",SUBSTITUTE(INDEX($AD$4:$AF$4,1,MATCH(MAX(AD37:AF37),AD37:AF37,0))," Overall",""))</x:f>
        <x:v>Context-dependent tie</x:v>
      </x:c>
      <x:c r="AH37" s="32" t="str">
        <x:f>IF(AG37="AWS","Start with AWS when infrastructure breadth, native integration and operational maturity are the main differentiators.",IF(AG37="Azure","Start with Azure when Microsoft identity, security, data, productivity or hybrid integration reduces delivery effort.",IF(AG37="GCP","Start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37" s="32" t="str">
        <x:v>Medium</x:v>
      </x:c>
      <x:c r="AJ37" s="32" t="str">
        <x:v>2026-07-12</x:v>
      </x:c>
    </x:row>
    <x:row r="38">
      <x:c r="A38" s="32" t="str">
        <x:v>AI-powered enterprise search</x:v>
      </x:c>
      <x:c r="B38" s="32" t="str">
        <x:v>07 AI &amp; Intelligent Systems</x:v>
      </x:c>
      <x:c r="C38" s="32" t="str">
        <x:v>Agents, RAG &amp; Enterprise Search</x:v>
      </x:c>
      <x:c r="D38" s="32" t="str">
        <x:v>Workload</x:v>
      </x:c>
      <x:c r="E38" s="32" t="str">
        <x:v>What must the system retrieve, reason over, call as tools, govern and observe?</x:v>
      </x:c>
      <x:c r="F38" s="32" t="str">
        <x:v>Amazon Kendra
Amazon OpenSearch Service</x:v>
      </x:c>
      <x:c r="G38" s="32" t="str">
        <x:v>Azure AI Search</x:v>
      </x:c>
      <x:c r="H38" s="32" t="str">
        <x:v>Vertex AI Search</x:v>
      </x:c>
      <x:c r="I38" s="32" t="n">
        <x:v>3.9</x:v>
      </x:c>
      <x:c r="J38" s="32" t="n">
        <x:v>2.9</x:v>
      </x:c>
      <x:c r="K38" s="32" t="n">
        <x:v>4.2</x:v>
      </x:c>
      <x:c r="L38" s="32" t="n">
        <x:v>4.3</x:v>
      </x:c>
      <x:c r="M38" s="32" t="n">
        <x:v>3.5</x:v>
      </x:c>
      <x:c r="N38" s="32" t="n">
        <x:v>4.4</x:v>
      </x:c>
      <x:c r="O38" s="32" t="n">
        <x:v>3.6</x:v>
      </x:c>
      <x:c r="P38" s="32" t="n">
        <x:v>4</x:v>
      </x:c>
      <x:c r="Q38" s="32" t="n">
        <x:v>3</x:v>
      </x:c>
      <x:c r="R38" s="32" t="n">
        <x:v>4.5</x:v>
      </x:c>
      <x:c r="S38" s="32" t="n">
        <x:v>4.5</x:v>
      </x:c>
      <x:c r="T38" s="32" t="n">
        <x:v>3.5</x:v>
      </x:c>
      <x:c r="U38" s="32" t="n">
        <x:v>4.4</x:v>
      </x:c>
      <x:c r="V38" s="32" t="n">
        <x:v>3.8</x:v>
      </x:c>
      <x:c r="W38" s="32" t="n">
        <x:v>4.5</x:v>
      </x:c>
      <x:c r="X38" s="32" t="n">
        <x:v>3</x:v>
      </x:c>
      <x:c r="Y38" s="32" t="n">
        <x:v>4.4</x:v>
      </x:c>
      <x:c r="Z38" s="32" t="n">
        <x:v>4.9</x:v>
      </x:c>
      <x:c r="AA38" s="32" t="n">
        <x:v>3.5</x:v>
      </x:c>
      <x:c r="AB38" s="32" t="n">
        <x:v>4.3</x:v>
      </x:c>
      <x:c r="AC38" s="32" t="n">
        <x:v>3.9</x:v>
      </x:c>
      <x:c r="AD38" s="32" t="n">
        <x:f>ROUND((I38*'Criteria &amp; Scoring'!$B$5+J38*'Criteria &amp; Scoring'!$B$6+K38*'Criteria &amp; Scoring'!$B$7+L38*'Criteria &amp; Scoring'!$B$8+M38*'Criteria &amp; Scoring'!$B$9+N38*'Criteria &amp; Scoring'!$B$10+O38*'Criteria &amp; Scoring'!$B$11)/SUM('Criteria &amp; Scoring'!$B$5:$B$11),2)</x:f>
        <x:v>3.8</x:v>
      </x:c>
      <x:c r="AE38" s="32" t="n">
        <x:f>ROUND((P38*'Criteria &amp; Scoring'!$B$5+Q38*'Criteria &amp; Scoring'!$B$6+R38*'Criteria &amp; Scoring'!$B$7+S38*'Criteria &amp; Scoring'!$B$8+T38*'Criteria &amp; Scoring'!$B$9+U38*'Criteria &amp; Scoring'!$B$10+V38*'Criteria &amp; Scoring'!$B$11)/SUM('Criteria &amp; Scoring'!$B$5:$B$11),2)</x:f>
        <x:v>3.93</x:v>
      </x:c>
      <x:c r="AF38" s="32" t="n">
        <x:f>ROUND((W38*'Criteria &amp; Scoring'!$B$5+X38*'Criteria &amp; Scoring'!$B$6+Y38*'Criteria &amp; Scoring'!$B$7+Z38*'Criteria &amp; Scoring'!$B$8+AA38*'Criteria &amp; Scoring'!$B$9+AB38*'Criteria &amp; Scoring'!$B$10+AC38*'Criteria &amp; Scoring'!$B$11)/SUM('Criteria &amp; Scoring'!$B$5:$B$11),2)</x:f>
        <x:v>4.1</x:v>
      </x:c>
      <x:c r="AG38" s="32" t="str">
        <x:f>IF(LARGE(AD38:AF38,1)-LARGE(AD38:AF38,2)&lt;0.15,"Context-dependent tie",SUBSTITUTE(INDEX($AD$4:$AF$4,1,MATCH(MAX(AD38:AF38),AD38:AF38,0))," Overall",""))</x:f>
        <x:v>GCP</x:v>
      </x:c>
      <x:c r="AH38" s="32" t="str">
        <x:f>IF(AG38="AWS","Start with AWS when infrastructure breadth, native integration and operational maturity are the main differentiators.",IF(AG38="Azure","Start with Azure when Microsoft identity, security, data, productivity or hybrid integration reduces delivery effort.",IF(AG38="GCP","Start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38" s="32" t="str">
        <x:v>Medium</x:v>
      </x:c>
      <x:c r="AJ38" s="32" t="str">
        <x:v>2026-07-12</x:v>
      </x:c>
    </x:row>
    <x:row r="39">
      <x:c r="A39" s="32" t="str">
        <x:v>Managed vector search</x:v>
      </x:c>
      <x:c r="B39" s="32" t="str">
        <x:v>07 AI &amp; Intelligent Systems</x:v>
      </x:c>
      <x:c r="C39" s="32" t="str">
        <x:v>Agents, RAG &amp; Enterprise Search</x:v>
      </x:c>
      <x:c r="D39" s="32" t="str">
        <x:v>Workload</x:v>
      </x:c>
      <x:c r="E39" s="32" t="str">
        <x:v>What must the system retrieve, reason over, call as tools, govern and observe?</x:v>
      </x:c>
      <x:c r="F39" s="32" t="str">
        <x:v>Amazon OpenSearch Service vector engine
Amazon Aurora PostgreSQL pgvector
Amazon DocumentDB vector search</x:v>
      </x:c>
      <x:c r="G39" s="32" t="str">
        <x:v>Azure AI Search vector search
Azure Cosmos DB vector search
Azure Database for PostgreSQL pgvector</x:v>
      </x:c>
      <x:c r="H39" s="32" t="str">
        <x:v>Vertex AI Vector Search
AlloyDB AI
Cloud SQL pgvector</x:v>
      </x:c>
      <x:c r="I39" s="32" t="n">
        <x:v>3.9</x:v>
      </x:c>
      <x:c r="J39" s="32" t="n">
        <x:v>2.9</x:v>
      </x:c>
      <x:c r="K39" s="32" t="n">
        <x:v>4.2</x:v>
      </x:c>
      <x:c r="L39" s="32" t="n">
        <x:v>4.3</x:v>
      </x:c>
      <x:c r="M39" s="32" t="n">
        <x:v>3.5</x:v>
      </x:c>
      <x:c r="N39" s="32" t="n">
        <x:v>4.4</x:v>
      </x:c>
      <x:c r="O39" s="32" t="n">
        <x:v>3.6</x:v>
      </x:c>
      <x:c r="P39" s="32" t="n">
        <x:v>3.9</x:v>
      </x:c>
      <x:c r="Q39" s="32" t="n">
        <x:v>2.9</x:v>
      </x:c>
      <x:c r="R39" s="32" t="n">
        <x:v>4.4</x:v>
      </x:c>
      <x:c r="S39" s="32" t="n">
        <x:v>4.4</x:v>
      </x:c>
      <x:c r="T39" s="32" t="n">
        <x:v>3.5</x:v>
      </x:c>
      <x:c r="U39" s="32" t="n">
        <x:v>4.3</x:v>
      </x:c>
      <x:c r="V39" s="32" t="n">
        <x:v>3.7</x:v>
      </x:c>
      <x:c r="W39" s="32" t="n">
        <x:v>4.3</x:v>
      </x:c>
      <x:c r="X39" s="32" t="n">
        <x:v>2.9</x:v>
      </x:c>
      <x:c r="Y39" s="32" t="n">
        <x:v>4.1</x:v>
      </x:c>
      <x:c r="Z39" s="32" t="n">
        <x:v>4.8</x:v>
      </x:c>
      <x:c r="AA39" s="32" t="n">
        <x:v>3.5</x:v>
      </x:c>
      <x:c r="AB39" s="32" t="n">
        <x:v>4.2</x:v>
      </x:c>
      <x:c r="AC39" s="32" t="n">
        <x:v>3.8</x:v>
      </x:c>
      <x:c r="AD39" s="32" t="n">
        <x:f>ROUND((I39*'Criteria &amp; Scoring'!$B$5+J39*'Criteria &amp; Scoring'!$B$6+K39*'Criteria &amp; Scoring'!$B$7+L39*'Criteria &amp; Scoring'!$B$8+M39*'Criteria &amp; Scoring'!$B$9+N39*'Criteria &amp; Scoring'!$B$10+O39*'Criteria &amp; Scoring'!$B$11)/SUM('Criteria &amp; Scoring'!$B$5:$B$11),2)</x:f>
        <x:v>3.8</x:v>
      </x:c>
      <x:c r="AE39" s="32" t="n">
        <x:f>ROUND((P39*'Criteria &amp; Scoring'!$B$5+Q39*'Criteria &amp; Scoring'!$B$6+R39*'Criteria &amp; Scoring'!$B$7+S39*'Criteria &amp; Scoring'!$B$8+T39*'Criteria &amp; Scoring'!$B$9+U39*'Criteria &amp; Scoring'!$B$10+V39*'Criteria &amp; Scoring'!$B$11)/SUM('Criteria &amp; Scoring'!$B$5:$B$11),2)</x:f>
        <x:v>3.84</x:v>
      </x:c>
      <x:c r="AF39" s="32" t="n">
        <x:f>ROUND((W39*'Criteria &amp; Scoring'!$B$5+X39*'Criteria &amp; Scoring'!$B$6+Y39*'Criteria &amp; Scoring'!$B$7+Z39*'Criteria &amp; Scoring'!$B$8+AA39*'Criteria &amp; Scoring'!$B$9+AB39*'Criteria &amp; Scoring'!$B$10+AC39*'Criteria &amp; Scoring'!$B$11)/SUM('Criteria &amp; Scoring'!$B$5:$B$11),2)</x:f>
        <x:v>3.95</x:v>
      </x:c>
      <x:c r="AG39" s="32" t="str">
        <x:f>IF(LARGE(AD39:AF39,1)-LARGE(AD39:AF39,2)&lt;0.15,"Context-dependent tie",SUBSTITUTE(INDEX($AD$4:$AF$4,1,MATCH(MAX(AD39:AF39),AD39:AF39,0))," Overall",""))</x:f>
        <x:v>Context-dependent tie</x:v>
      </x:c>
      <x:c r="AH39" s="32" t="str">
        <x:f>IF(AG39="AWS","Start with AWS when infrastructure breadth, native integration and operational maturity are the main differentiators.",IF(AG39="Azure","Start with Azure when Microsoft identity, security, data, productivity or hybrid integration reduces delivery effort.",IF(AG39="GCP","Start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39" s="32" t="str">
        <x:v>Medium</x:v>
      </x:c>
      <x:c r="AJ39" s="32" t="str">
        <x:v>2026-07-12</x:v>
      </x:c>
    </x:row>
    <x:row r="40">
      <x:c r="A40" s="32" t="str">
        <x:v>Foundation-model customisation</x:v>
      </x:c>
      <x:c r="B40" s="32" t="str">
        <x:v>07 AI &amp; Intelligent Systems</x:v>
      </x:c>
      <x:c r="C40" s="32" t="str">
        <x:v>Foundation Models &amp; GenAI</x:v>
      </x:c>
      <x:c r="D40" s="32" t="str">
        <x:v>Platform</x:v>
      </x:c>
      <x:c r="E40" s="32" t="str">
        <x:v>Do you need model choice, provider-native models, customisation, enterprise controls, or lowest operational effort?</x:v>
      </x:c>
      <x:c r="F40" s="32" t="str">
        <x:v>Amazon Bedrock model customization
Amazon SageMaker AI</x:v>
      </x:c>
      <x:c r="G40" s="32" t="str">
        <x:v>Azure OpenAI fine-tuning
Azure Machine Learning</x:v>
      </x:c>
      <x:c r="H40" s="32" t="str">
        <x:v>Vertex AI tuning</x:v>
      </x:c>
      <x:c r="I40" s="32" t="n">
        <x:v>3.9</x:v>
      </x:c>
      <x:c r="J40" s="32" t="n">
        <x:v>2.9</x:v>
      </x:c>
      <x:c r="K40" s="32" t="n">
        <x:v>4.4</x:v>
      </x:c>
      <x:c r="L40" s="32" t="n">
        <x:v>4.3</x:v>
      </x:c>
      <x:c r="M40" s="32" t="n">
        <x:v>3.1</x:v>
      </x:c>
      <x:c r="N40" s="32" t="n">
        <x:v>4.4</x:v>
      </x:c>
      <x:c r="O40" s="32" t="n">
        <x:v>3.6</x:v>
      </x:c>
      <x:c r="P40" s="32" t="n">
        <x:v>4.2</x:v>
      </x:c>
      <x:c r="Q40" s="32" t="n">
        <x:v>2.9</x:v>
      </x:c>
      <x:c r="R40" s="32" t="n">
        <x:v>4.4</x:v>
      </x:c>
      <x:c r="S40" s="32" t="n">
        <x:v>4.4</x:v>
      </x:c>
      <x:c r="T40" s="32" t="n">
        <x:v>3.1</x:v>
      </x:c>
      <x:c r="U40" s="32" t="n">
        <x:v>4.3</x:v>
      </x:c>
      <x:c r="V40" s="32" t="n">
        <x:v>3.7</x:v>
      </x:c>
      <x:c r="W40" s="32" t="n">
        <x:v>4.5</x:v>
      </x:c>
      <x:c r="X40" s="32" t="n">
        <x:v>3.4</x:v>
      </x:c>
      <x:c r="Y40" s="32" t="n">
        <x:v>4.4</x:v>
      </x:c>
      <x:c r="Z40" s="32" t="n">
        <x:v>4.9</x:v>
      </x:c>
      <x:c r="AA40" s="32" t="n">
        <x:v>3.1</x:v>
      </x:c>
      <x:c r="AB40" s="32" t="n">
        <x:v>4.3</x:v>
      </x:c>
      <x:c r="AC40" s="32" t="n">
        <x:v>3.9</x:v>
      </x:c>
      <x:c r="AD40" s="32" t="n">
        <x:f>ROUND((I40*'Criteria &amp; Scoring'!$B$5+J40*'Criteria &amp; Scoring'!$B$6+K40*'Criteria &amp; Scoring'!$B$7+L40*'Criteria &amp; Scoring'!$B$8+M40*'Criteria &amp; Scoring'!$B$9+N40*'Criteria &amp; Scoring'!$B$10+O40*'Criteria &amp; Scoring'!$B$11)/SUM('Criteria &amp; Scoring'!$B$5:$B$11),2)</x:f>
        <x:v>3.79</x:v>
      </x:c>
      <x:c r="AE40" s="32" t="n">
        <x:f>ROUND((P40*'Criteria &amp; Scoring'!$B$5+Q40*'Criteria &amp; Scoring'!$B$6+R40*'Criteria &amp; Scoring'!$B$7+S40*'Criteria &amp; Scoring'!$B$8+T40*'Criteria &amp; Scoring'!$B$9+U40*'Criteria &amp; Scoring'!$B$10+V40*'Criteria &amp; Scoring'!$B$11)/SUM('Criteria &amp; Scoring'!$B$5:$B$11),2)</x:f>
        <x:v>3.88</x:v>
      </x:c>
      <x:c r="AF40" s="32" t="n">
        <x:f>ROUND((W40*'Criteria &amp; Scoring'!$B$5+X40*'Criteria &amp; Scoring'!$B$6+Y40*'Criteria &amp; Scoring'!$B$7+Z40*'Criteria &amp; Scoring'!$B$8+AA40*'Criteria &amp; Scoring'!$B$9+AB40*'Criteria &amp; Scoring'!$B$10+AC40*'Criteria &amp; Scoring'!$B$11)/SUM('Criteria &amp; Scoring'!$B$5:$B$11),2)</x:f>
        <x:v>4.14</x:v>
      </x:c>
      <x:c r="AG40" s="32" t="str">
        <x:f>IF(LARGE(AD40:AF40,1)-LARGE(AD40:AF40,2)&lt;0.15,"Context-dependent tie",SUBSTITUTE(INDEX($AD$4:$AF$4,1,MATCH(MAX(AD40:AF40),AD40:AF40,0))," Overall",""))</x:f>
        <x:v>GCP</x:v>
      </x:c>
      <x:c r="AH40" s="32" t="str">
        <x:f>IF(AG40="AWS","Start with AWS when infrastructure breadth, native integration and operational maturity are the main differentiators.",IF(AG40="Azure","Start with Azure when Microsoft identity, security, data, productivity or hybrid integration reduces delivery effort.",IF(AG40="GCP","Start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40" s="32" t="str">
        <x:v>Medium</x:v>
      </x:c>
      <x:c r="AJ40" s="32" t="str">
        <x:v>2026-07-12</x:v>
      </x:c>
    </x:row>
    <x:row r="41">
      <x:c r="A41" s="32" t="str">
        <x:v>Prompt development and orchestration</x:v>
      </x:c>
      <x:c r="B41" s="32" t="str">
        <x:v>07 AI &amp; Intelligent Systems</x:v>
      </x:c>
      <x:c r="C41" s="32" t="str">
        <x:v>Foundation Models &amp; GenAI</x:v>
      </x:c>
      <x:c r="D41" s="32" t="str">
        <x:v>Workload</x:v>
      </x:c>
      <x:c r="E41" s="32" t="str">
        <x:v>Do you need model choice, provider-native models, customisation, enterprise controls, or lowest operational effort?</x:v>
      </x:c>
      <x:c r="F41" s="32" t="str">
        <x:v>Amazon Bedrock Prompt management
Amazon Bedrock Flows</x:v>
      </x:c>
      <x:c r="G41" s="32" t="str">
        <x:v>Prompt flow in Microsoft Foundry</x:v>
      </x:c>
      <x:c r="H41" s="32" t="str">
        <x:v>Vertex AI Studio
Vertex AI prompt management</x:v>
      </x:c>
      <x:c r="I41" s="32" t="n">
        <x:v>3.9</x:v>
      </x:c>
      <x:c r="J41" s="32" t="n">
        <x:v>2.9</x:v>
      </x:c>
      <x:c r="K41" s="32" t="n">
        <x:v>4.4</x:v>
      </x:c>
      <x:c r="L41" s="32" t="n">
        <x:v>4.3</x:v>
      </x:c>
      <x:c r="M41" s="32" t="n">
        <x:v>3.5</x:v>
      </x:c>
      <x:c r="N41" s="32" t="n">
        <x:v>4.4</x:v>
      </x:c>
      <x:c r="O41" s="32" t="n">
        <x:v>3.6</x:v>
      </x:c>
      <x:c r="P41" s="32" t="n">
        <x:v>4.3</x:v>
      </x:c>
      <x:c r="Q41" s="32" t="n">
        <x:v>3</x:v>
      </x:c>
      <x:c r="R41" s="32" t="n">
        <x:v>4.5</x:v>
      </x:c>
      <x:c r="S41" s="32" t="n">
        <x:v>4.5</x:v>
      </x:c>
      <x:c r="T41" s="32" t="n">
        <x:v>3.5</x:v>
      </x:c>
      <x:c r="U41" s="32" t="n">
        <x:v>4.4</x:v>
      </x:c>
      <x:c r="V41" s="32" t="n">
        <x:v>3.8</x:v>
      </x:c>
      <x:c r="W41" s="32" t="n">
        <x:v>4.3</x:v>
      </x:c>
      <x:c r="X41" s="32" t="n">
        <x:v>3.3</x:v>
      </x:c>
      <x:c r="Y41" s="32" t="n">
        <x:v>4.3</x:v>
      </x:c>
      <x:c r="Z41" s="32" t="n">
        <x:v>4.8</x:v>
      </x:c>
      <x:c r="AA41" s="32" t="n">
        <x:v>3.5</x:v>
      </x:c>
      <x:c r="AB41" s="32" t="n">
        <x:v>4.2</x:v>
      </x:c>
      <x:c r="AC41" s="32" t="n">
        <x:v>3.8</x:v>
      </x:c>
      <x:c r="AD41" s="32" t="n">
        <x:f>ROUND((I41*'Criteria &amp; Scoring'!$B$5+J41*'Criteria &amp; Scoring'!$B$6+K41*'Criteria &amp; Scoring'!$B$7+L41*'Criteria &amp; Scoring'!$B$8+M41*'Criteria &amp; Scoring'!$B$9+N41*'Criteria &amp; Scoring'!$B$10+O41*'Criteria &amp; Scoring'!$B$11)/SUM('Criteria &amp; Scoring'!$B$5:$B$11),2)</x:f>
        <x:v>3.83</x:v>
      </x:c>
      <x:c r="AE41" s="32" t="n">
        <x:f>ROUND((P41*'Criteria &amp; Scoring'!$B$5+Q41*'Criteria &amp; Scoring'!$B$6+R41*'Criteria &amp; Scoring'!$B$7+S41*'Criteria &amp; Scoring'!$B$8+T41*'Criteria &amp; Scoring'!$B$9+U41*'Criteria &amp; Scoring'!$B$10+V41*'Criteria &amp; Scoring'!$B$11)/SUM('Criteria &amp; Scoring'!$B$5:$B$11),2)</x:f>
        <x:v>4.01</x:v>
      </x:c>
      <x:c r="AF41" s="32" t="n">
        <x:f>ROUND((W41*'Criteria &amp; Scoring'!$B$5+X41*'Criteria &amp; Scoring'!$B$6+Y41*'Criteria &amp; Scoring'!$B$7+Z41*'Criteria &amp; Scoring'!$B$8+AA41*'Criteria &amp; Scoring'!$B$9+AB41*'Criteria &amp; Scoring'!$B$10+AC41*'Criteria &amp; Scoring'!$B$11)/SUM('Criteria &amp; Scoring'!$B$5:$B$11),2)</x:f>
        <x:v>4.06</x:v>
      </x:c>
      <x:c r="AG41" s="32" t="str">
        <x:f>IF(LARGE(AD41:AF41,1)-LARGE(AD41:AF41,2)&lt;0.15,"Context-dependent tie",SUBSTITUTE(INDEX($AD$4:$AF$4,1,MATCH(MAX(AD41:AF41),AD41:AF41,0))," Overall",""))</x:f>
        <x:v>Context-dependent tie</x:v>
      </x:c>
      <x:c r="AH41" s="32" t="str">
        <x:f>IF(AG41="AWS","Start with AWS when infrastructure breadth, native integration and operational maturity are the main differentiators.",IF(AG41="Azure","Start with Azure when Microsoft identity, security, data, productivity or hybrid integration reduces delivery effort.",IF(AG41="GCP","Start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41" s="32" t="str">
        <x:v>Medium</x:v>
      </x:c>
      <x:c r="AJ41" s="32" t="str">
        <x:v>2026-07-12</x:v>
      </x:c>
    </x:row>
    <x:row r="42">
      <x:c r="A42" s="32" t="str">
        <x:v>Managed data-science notebooks</x:v>
      </x:c>
      <x:c r="B42" s="32" t="str">
        <x:v>07 AI &amp; Intelligent Systems</x:v>
      </x:c>
      <x:c r="C42" s="32" t="str">
        <x:v>ML Platform &amp; MLOps</x:v>
      </x:c>
      <x:c r="D42" s="32" t="str">
        <x:v>Workload</x:v>
      </x:c>
      <x:c r="E42" s="32" t="str">
        <x:v>Do you need notebooks only, or an end-to-end governed training, registry, deployment and monitoring platform?</x:v>
      </x:c>
      <x:c r="F42" s="32" t="str">
        <x:v>Amazon SageMaker Studio</x:v>
      </x:c>
      <x:c r="G42" s="32" t="str">
        <x:v>Azure Machine Learning notebooks
Data Science Virtual Machines</x:v>
      </x:c>
      <x:c r="H42" s="32" t="str">
        <x:v>Vertex AI Workbench
Colab Enterprise</x:v>
      </x:c>
      <x:c r="I42" s="32" t="n">
        <x:v>4</x:v>
      </x:c>
      <x:c r="J42" s="32" t="n">
        <x:v>3</x:v>
      </x:c>
      <x:c r="K42" s="32" t="n">
        <x:v>4.3</x:v>
      </x:c>
      <x:c r="L42" s="32" t="n">
        <x:v>4.3</x:v>
      </x:c>
      <x:c r="M42" s="32" t="n">
        <x:v>3.5</x:v>
      </x:c>
      <x:c r="N42" s="32" t="n">
        <x:v>4.5</x:v>
      </x:c>
      <x:c r="O42" s="32" t="n">
        <x:v>3.7</x:v>
      </x:c>
      <x:c r="P42" s="32" t="n">
        <x:v>3.9</x:v>
      </x:c>
      <x:c r="Q42" s="32" t="n">
        <x:v>2.9</x:v>
      </x:c>
      <x:c r="R42" s="32" t="n">
        <x:v>4.4</x:v>
      </x:c>
      <x:c r="S42" s="32" t="n">
        <x:v>4.4</x:v>
      </x:c>
      <x:c r="T42" s="32" t="n">
        <x:v>3.5</x:v>
      </x:c>
      <x:c r="U42" s="32" t="n">
        <x:v>4.3</x:v>
      </x:c>
      <x:c r="V42" s="32" t="n">
        <x:v>3.7</x:v>
      </x:c>
      <x:c r="W42" s="32" t="n">
        <x:v>4.3</x:v>
      </x:c>
      <x:c r="X42" s="32" t="n">
        <x:v>3.3</x:v>
      </x:c>
      <x:c r="Y42" s="32" t="n">
        <x:v>4.3</x:v>
      </x:c>
      <x:c r="Z42" s="32" t="n">
        <x:v>4.8</x:v>
      </x:c>
      <x:c r="AA42" s="32" t="n">
        <x:v>3.5</x:v>
      </x:c>
      <x:c r="AB42" s="32" t="n">
        <x:v>4.5</x:v>
      </x:c>
      <x:c r="AC42" s="32" t="n">
        <x:v>3.8</x:v>
      </x:c>
      <x:c r="AD42" s="32" t="n">
        <x:f>ROUND((I42*'Criteria &amp; Scoring'!$B$5+J42*'Criteria &amp; Scoring'!$B$6+K42*'Criteria &amp; Scoring'!$B$7+L42*'Criteria &amp; Scoring'!$B$8+M42*'Criteria &amp; Scoring'!$B$9+N42*'Criteria &amp; Scoring'!$B$10+O42*'Criteria &amp; Scoring'!$B$11)/SUM('Criteria &amp; Scoring'!$B$5:$B$11),2)</x:f>
        <x:v>3.88</x:v>
      </x:c>
      <x:c r="AE42" s="32" t="n">
        <x:f>ROUND((P42*'Criteria &amp; Scoring'!$B$5+Q42*'Criteria &amp; Scoring'!$B$6+R42*'Criteria &amp; Scoring'!$B$7+S42*'Criteria &amp; Scoring'!$B$8+T42*'Criteria &amp; Scoring'!$B$9+U42*'Criteria &amp; Scoring'!$B$10+V42*'Criteria &amp; Scoring'!$B$11)/SUM('Criteria &amp; Scoring'!$B$5:$B$11),2)</x:f>
        <x:v>3.84</x:v>
      </x:c>
      <x:c r="AF42" s="32" t="n">
        <x:f>ROUND((W42*'Criteria &amp; Scoring'!$B$5+X42*'Criteria &amp; Scoring'!$B$6+Y42*'Criteria &amp; Scoring'!$B$7+Z42*'Criteria &amp; Scoring'!$B$8+AA42*'Criteria &amp; Scoring'!$B$9+AB42*'Criteria &amp; Scoring'!$B$10+AC42*'Criteria &amp; Scoring'!$B$11)/SUM('Criteria &amp; Scoring'!$B$5:$B$11),2)</x:f>
        <x:v>4.09</x:v>
      </x:c>
      <x:c r="AG42" s="32" t="str">
        <x:f>IF(LARGE(AD42:AF42,1)-LARGE(AD42:AF42,2)&lt;0.15,"Context-dependent tie",SUBSTITUTE(INDEX($AD$4:$AF$4,1,MATCH(MAX(AD42:AF42),AD42:AF42,0))," Overall",""))</x:f>
        <x:v>GCP</x:v>
      </x:c>
      <x:c r="AH42" s="32" t="str">
        <x:f>IF(AG42="AWS","Start with AWS when infrastructure breadth, native integration and operational maturity are the main differentiators.",IF(AG42="Azure","Start with Azure when Microsoft identity, security, data, productivity or hybrid integration reduces delivery effort.",IF(AG42="GCP","Start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42" s="32" t="str">
        <x:v>Medium</x:v>
      </x:c>
      <x:c r="AJ42" s="32" t="str">
        <x:v>2026-07-12</x:v>
      </x:c>
    </x:row>
    <x:row r="43">
      <x:c r="A43" s="32" t="str">
        <x:v>Managed model training</x:v>
      </x:c>
      <x:c r="B43" s="32" t="str">
        <x:v>07 AI &amp; Intelligent Systems</x:v>
      </x:c>
      <x:c r="C43" s="32" t="str">
        <x:v>ML Platform &amp; MLOps</x:v>
      </x:c>
      <x:c r="D43" s="32" t="str">
        <x:v>Workload</x:v>
      </x:c>
      <x:c r="E43" s="32" t="str">
        <x:v>Do you need notebooks only, or an end-to-end governed training, registry, deployment and monitoring platform?</x:v>
      </x:c>
      <x:c r="F43" s="32" t="str">
        <x:v>Amazon SageMaker Training</x:v>
      </x:c>
      <x:c r="G43" s="32" t="str">
        <x:v>Azure Machine Learning training</x:v>
      </x:c>
      <x:c r="H43" s="32" t="str">
        <x:v>Vertex AI Training
Agent Platform Managed Training</x:v>
      </x:c>
      <x:c r="I43" s="32" t="n">
        <x:v>4</x:v>
      </x:c>
      <x:c r="J43" s="32" t="n">
        <x:v>3</x:v>
      </x:c>
      <x:c r="K43" s="32" t="n">
        <x:v>4.3</x:v>
      </x:c>
      <x:c r="L43" s="32" t="n">
        <x:v>4.3</x:v>
      </x:c>
      <x:c r="M43" s="32" t="n">
        <x:v>3.5</x:v>
      </x:c>
      <x:c r="N43" s="32" t="n">
        <x:v>4.5</x:v>
      </x:c>
      <x:c r="O43" s="32" t="n">
        <x:v>3.7</x:v>
      </x:c>
      <x:c r="P43" s="32" t="n">
        <x:v>4</x:v>
      </x:c>
      <x:c r="Q43" s="32" t="n">
        <x:v>3</x:v>
      </x:c>
      <x:c r="R43" s="32" t="n">
        <x:v>4.5</x:v>
      </x:c>
      <x:c r="S43" s="32" t="n">
        <x:v>4.5</x:v>
      </x:c>
      <x:c r="T43" s="32" t="n">
        <x:v>3.5</x:v>
      </x:c>
      <x:c r="U43" s="32" t="n">
        <x:v>4.4</x:v>
      </x:c>
      <x:c r="V43" s="32" t="n">
        <x:v>3.8</x:v>
      </x:c>
      <x:c r="W43" s="32" t="n">
        <x:v>4.3</x:v>
      </x:c>
      <x:c r="X43" s="32" t="n">
        <x:v>3.3</x:v>
      </x:c>
      <x:c r="Y43" s="32" t="n">
        <x:v>4.3</x:v>
      </x:c>
      <x:c r="Z43" s="32" t="n">
        <x:v>4.8</x:v>
      </x:c>
      <x:c r="AA43" s="32" t="n">
        <x:v>3.5</x:v>
      </x:c>
      <x:c r="AB43" s="32" t="n">
        <x:v>4.5</x:v>
      </x:c>
      <x:c r="AC43" s="32" t="n">
        <x:v>3.8</x:v>
      </x:c>
      <x:c r="AD43" s="32" t="n">
        <x:f>ROUND((I43*'Criteria &amp; Scoring'!$B$5+J43*'Criteria &amp; Scoring'!$B$6+K43*'Criteria &amp; Scoring'!$B$7+L43*'Criteria &amp; Scoring'!$B$8+M43*'Criteria &amp; Scoring'!$B$9+N43*'Criteria &amp; Scoring'!$B$10+O43*'Criteria &amp; Scoring'!$B$11)/SUM('Criteria &amp; Scoring'!$B$5:$B$11),2)</x:f>
        <x:v>3.88</x:v>
      </x:c>
      <x:c r="AE43" s="32" t="n">
        <x:f>ROUND((P43*'Criteria &amp; Scoring'!$B$5+Q43*'Criteria &amp; Scoring'!$B$6+R43*'Criteria &amp; Scoring'!$B$7+S43*'Criteria &amp; Scoring'!$B$8+T43*'Criteria &amp; Scoring'!$B$9+U43*'Criteria &amp; Scoring'!$B$10+V43*'Criteria &amp; Scoring'!$B$11)/SUM('Criteria &amp; Scoring'!$B$5:$B$11),2)</x:f>
        <x:v>3.93</x:v>
      </x:c>
      <x:c r="AF43" s="32" t="n">
        <x:f>ROUND((W43*'Criteria &amp; Scoring'!$B$5+X43*'Criteria &amp; Scoring'!$B$6+Y43*'Criteria &amp; Scoring'!$B$7+Z43*'Criteria &amp; Scoring'!$B$8+AA43*'Criteria &amp; Scoring'!$B$9+AB43*'Criteria &amp; Scoring'!$B$10+AC43*'Criteria &amp; Scoring'!$B$11)/SUM('Criteria &amp; Scoring'!$B$5:$B$11),2)</x:f>
        <x:v>4.09</x:v>
      </x:c>
      <x:c r="AG43" s="32" t="str">
        <x:f>IF(LARGE(AD43:AF43,1)-LARGE(AD43:AF43,2)&lt;0.15,"Context-dependent tie",SUBSTITUTE(INDEX($AD$4:$AF$4,1,MATCH(MAX(AD43:AF43),AD43:AF43,0))," Overall",""))</x:f>
        <x:v>GCP</x:v>
      </x:c>
      <x:c r="AH43" s="32" t="str">
        <x:f>IF(AG43="AWS","Start with AWS when infrastructure breadth, native integration and operational maturity are the main differentiators.",IF(AG43="Azure","Start with Azure when Microsoft identity, security, data, productivity or hybrid integration reduces delivery effort.",IF(AG43="GCP","Start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43" s="32" t="str">
        <x:v>Medium</x:v>
      </x:c>
      <x:c r="AJ43" s="32" t="str">
        <x:v>2026-07-12</x:v>
      </x:c>
    </x:row>
    <x:row r="44">
      <x:c r="A44" s="32" t="str">
        <x:v>Automated machine learning</x:v>
      </x:c>
      <x:c r="B44" s="32" t="str">
        <x:v>07 AI &amp; Intelligent Systems</x:v>
      </x:c>
      <x:c r="C44" s="32" t="str">
        <x:v>ML Platform &amp; MLOps</x:v>
      </x:c>
      <x:c r="D44" s="32" t="str">
        <x:v>Workload</x:v>
      </x:c>
      <x:c r="E44" s="32" t="str">
        <x:v>Do you need notebooks only, or an end-to-end governed training, registry, deployment and monitoring platform?</x:v>
      </x:c>
      <x:c r="F44" s="32" t="str">
        <x:v>SageMaker Autopilot</x:v>
      </x:c>
      <x:c r="G44" s="32" t="str">
        <x:v>Azure Automated ML</x:v>
      </x:c>
      <x:c r="H44" s="32" t="str">
        <x:v>Vertex AI AutoML</x:v>
      </x:c>
      <x:c r="I44" s="32" t="n">
        <x:v>4.2</x:v>
      </x:c>
      <x:c r="J44" s="32" t="n">
        <x:v>3</x:v>
      </x:c>
      <x:c r="K44" s="32" t="n">
        <x:v>4.4</x:v>
      </x:c>
      <x:c r="L44" s="32" t="n">
        <x:v>4.3</x:v>
      </x:c>
      <x:c r="M44" s="32" t="n">
        <x:v>3.5</x:v>
      </x:c>
      <x:c r="N44" s="32" t="n">
        <x:v>4.6</x:v>
      </x:c>
      <x:c r="O44" s="32" t="n">
        <x:v>3.7</x:v>
      </x:c>
      <x:c r="P44" s="32" t="n">
        <x:v>4.2</x:v>
      </x:c>
      <x:c r="Q44" s="32" t="n">
        <x:v>3</x:v>
      </x:c>
      <x:c r="R44" s="32" t="n">
        <x:v>4.5</x:v>
      </x:c>
      <x:c r="S44" s="32" t="n">
        <x:v>4.5</x:v>
      </x:c>
      <x:c r="T44" s="32" t="n">
        <x:v>3.5</x:v>
      </x:c>
      <x:c r="U44" s="32" t="n">
        <x:v>4.5</x:v>
      </x:c>
      <x:c r="V44" s="32" t="n">
        <x:v>3.8</x:v>
      </x:c>
      <x:c r="W44" s="32" t="n">
        <x:v>4.7</x:v>
      </x:c>
      <x:c r="X44" s="32" t="n">
        <x:v>3.4</x:v>
      </x:c>
      <x:c r="Y44" s="32" t="n">
        <x:v>4.2</x:v>
      </x:c>
      <x:c r="Z44" s="32" t="n">
        <x:v>4.9</x:v>
      </x:c>
      <x:c r="AA44" s="32" t="n">
        <x:v>3.5</x:v>
      </x:c>
      <x:c r="AB44" s="32" t="n">
        <x:v>4.7</x:v>
      </x:c>
      <x:c r="AC44" s="32" t="n">
        <x:v>3.9</x:v>
      </x:c>
      <x:c r="AD44" s="32" t="n">
        <x:f>ROUND((I44*'Criteria &amp; Scoring'!$B$5+J44*'Criteria &amp; Scoring'!$B$6+K44*'Criteria &amp; Scoring'!$B$7+L44*'Criteria &amp; Scoring'!$B$8+M44*'Criteria &amp; Scoring'!$B$9+N44*'Criteria &amp; Scoring'!$B$10+O44*'Criteria &amp; Scoring'!$B$11)/SUM('Criteria &amp; Scoring'!$B$5:$B$11),2)</x:f>
        <x:v>3.95</x:v>
      </x:c>
      <x:c r="AE44" s="32" t="n">
        <x:f>ROUND((P44*'Criteria &amp; Scoring'!$B$5+Q44*'Criteria &amp; Scoring'!$B$6+R44*'Criteria &amp; Scoring'!$B$7+S44*'Criteria &amp; Scoring'!$B$8+T44*'Criteria &amp; Scoring'!$B$9+U44*'Criteria &amp; Scoring'!$B$10+V44*'Criteria &amp; Scoring'!$B$11)/SUM('Criteria &amp; Scoring'!$B$5:$B$11),2)</x:f>
        <x:v>3.99</x:v>
      </x:c>
      <x:c r="AF44" s="32" t="n">
        <x:f>ROUND((W44*'Criteria &amp; Scoring'!$B$5+X44*'Criteria &amp; Scoring'!$B$6+Y44*'Criteria &amp; Scoring'!$B$7+Z44*'Criteria &amp; Scoring'!$B$8+AA44*'Criteria &amp; Scoring'!$B$9+AB44*'Criteria &amp; Scoring'!$B$10+AC44*'Criteria &amp; Scoring'!$B$11)/SUM('Criteria &amp; Scoring'!$B$5:$B$11),2)</x:f>
        <x:v>4.24</x:v>
      </x:c>
      <x:c r="AG44" s="32" t="str">
        <x:f>IF(LARGE(AD44:AF44,1)-LARGE(AD44:AF44,2)&lt;0.15,"Context-dependent tie",SUBSTITUTE(INDEX($AD$4:$AF$4,1,MATCH(MAX(AD44:AF44),AD44:AF44,0))," Overall",""))</x:f>
        <x:v>GCP</x:v>
      </x:c>
      <x:c r="AH44" s="32" t="str">
        <x:f>IF(AG44="AWS","Start with AWS when infrastructure breadth, native integration and operational maturity are the main differentiators.",IF(AG44="Azure","Start with Azure when Microsoft identity, security, data, productivity or hybrid integration reduces delivery effort.",IF(AG44="GCP","Start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44" s="32" t="str">
        <x:v>High</x:v>
      </x:c>
      <x:c r="AJ44" s="32" t="str">
        <x:v>2026-07-12</x:v>
      </x:c>
    </x:row>
    <x:row r="45">
      <x:c r="A45" s="32" t="str">
        <x:v>ML pipelines</x:v>
      </x:c>
      <x:c r="B45" s="32" t="str">
        <x:v>07 AI &amp; Intelligent Systems</x:v>
      </x:c>
      <x:c r="C45" s="32" t="str">
        <x:v>ML Platform &amp; MLOps</x:v>
      </x:c>
      <x:c r="D45" s="32" t="str">
        <x:v>Workload</x:v>
      </x:c>
      <x:c r="E45" s="32" t="str">
        <x:v>Do you need notebooks only, or an end-to-end governed training, registry, deployment and monitoring platform?</x:v>
      </x:c>
      <x:c r="F45" s="32" t="str">
        <x:v>SageMaker Pipelines</x:v>
      </x:c>
      <x:c r="G45" s="32" t="str">
        <x:v>Azure Machine Learning pipelines</x:v>
      </x:c>
      <x:c r="H45" s="32" t="str">
        <x:v>Vertex AI Pipelines
Agent Platform Pipelines</x:v>
      </x:c>
      <x:c r="I45" s="32" t="n">
        <x:v>4.2</x:v>
      </x:c>
      <x:c r="J45" s="32" t="n">
        <x:v>3</x:v>
      </x:c>
      <x:c r="K45" s="32" t="n">
        <x:v>4.4</x:v>
      </x:c>
      <x:c r="L45" s="32" t="n">
        <x:v>4.3</x:v>
      </x:c>
      <x:c r="M45" s="32" t="n">
        <x:v>3.5</x:v>
      </x:c>
      <x:c r="N45" s="32" t="n">
        <x:v>4.6</x:v>
      </x:c>
      <x:c r="O45" s="32" t="n">
        <x:v>3.7</x:v>
      </x:c>
      <x:c r="P45" s="32" t="n">
        <x:v>4.2</x:v>
      </x:c>
      <x:c r="Q45" s="32" t="n">
        <x:v>3</x:v>
      </x:c>
      <x:c r="R45" s="32" t="n">
        <x:v>4.5</x:v>
      </x:c>
      <x:c r="S45" s="32" t="n">
        <x:v>4.5</x:v>
      </x:c>
      <x:c r="T45" s="32" t="n">
        <x:v>3.5</x:v>
      </x:c>
      <x:c r="U45" s="32" t="n">
        <x:v>4.5</x:v>
      </x:c>
      <x:c r="V45" s="32" t="n">
        <x:v>3.8</x:v>
      </x:c>
      <x:c r="W45" s="32" t="n">
        <x:v>4.5</x:v>
      </x:c>
      <x:c r="X45" s="32" t="n">
        <x:v>3.3</x:v>
      </x:c>
      <x:c r="Y45" s="32" t="n">
        <x:v>4.2</x:v>
      </x:c>
      <x:c r="Z45" s="32" t="n">
        <x:v>4.8</x:v>
      </x:c>
      <x:c r="AA45" s="32" t="n">
        <x:v>3.5</x:v>
      </x:c>
      <x:c r="AB45" s="32" t="n">
        <x:v>4.6</x:v>
      </x:c>
      <x:c r="AC45" s="32" t="n">
        <x:v>3.8</x:v>
      </x:c>
      <x:c r="AD45" s="32" t="n">
        <x:f>ROUND((I45*'Criteria &amp; Scoring'!$B$5+J45*'Criteria &amp; Scoring'!$B$6+K45*'Criteria &amp; Scoring'!$B$7+L45*'Criteria &amp; Scoring'!$B$8+M45*'Criteria &amp; Scoring'!$B$9+N45*'Criteria &amp; Scoring'!$B$10+O45*'Criteria &amp; Scoring'!$B$11)/SUM('Criteria &amp; Scoring'!$B$5:$B$11),2)</x:f>
        <x:v>3.95</x:v>
      </x:c>
      <x:c r="AE45" s="32" t="n">
        <x:f>ROUND((P45*'Criteria &amp; Scoring'!$B$5+Q45*'Criteria &amp; Scoring'!$B$6+R45*'Criteria &amp; Scoring'!$B$7+S45*'Criteria &amp; Scoring'!$B$8+T45*'Criteria &amp; Scoring'!$B$9+U45*'Criteria &amp; Scoring'!$B$10+V45*'Criteria &amp; Scoring'!$B$11)/SUM('Criteria &amp; Scoring'!$B$5:$B$11),2)</x:f>
        <x:v>3.99</x:v>
      </x:c>
      <x:c r="AF45" s="32" t="n">
        <x:f>ROUND((W45*'Criteria &amp; Scoring'!$B$5+X45*'Criteria &amp; Scoring'!$B$6+Y45*'Criteria &amp; Scoring'!$B$7+Z45*'Criteria &amp; Scoring'!$B$8+AA45*'Criteria &amp; Scoring'!$B$9+AB45*'Criteria &amp; Scoring'!$B$10+AC45*'Criteria &amp; Scoring'!$B$11)/SUM('Criteria &amp; Scoring'!$B$5:$B$11),2)</x:f>
        <x:v>4.14</x:v>
      </x:c>
      <x:c r="AG45" s="32" t="str">
        <x:f>IF(LARGE(AD45:AF45,1)-LARGE(AD45:AF45,2)&lt;0.15,"Context-dependent tie",SUBSTITUTE(INDEX($AD$4:$AF$4,1,MATCH(MAX(AD45:AF45),AD45:AF45,0))," Overall",""))</x:f>
        <x:v>GCP</x:v>
      </x:c>
      <x:c r="AH45" s="32" t="str">
        <x:f>IF(AG45="AWS","Start with AWS when infrastructure breadth, native integration and operational maturity are the main differentiators.",IF(AG45="Azure","Start with Azure when Microsoft identity, security, data, productivity or hybrid integration reduces delivery effort.",IF(AG45="GCP","Start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45" s="32" t="str">
        <x:v>High</x:v>
      </x:c>
      <x:c r="AJ45" s="32" t="str">
        <x:v>2026-07-12</x:v>
      </x:c>
    </x:row>
    <x:row r="46">
      <x:c r="A46" s="32" t="str">
        <x:v>Model registry</x:v>
      </x:c>
      <x:c r="B46" s="32" t="str">
        <x:v>07 AI &amp; Intelligent Systems</x:v>
      </x:c>
      <x:c r="C46" s="32" t="str">
        <x:v>ML Platform &amp; MLOps</x:v>
      </x:c>
      <x:c r="D46" s="32" t="str">
        <x:v>Workload</x:v>
      </x:c>
      <x:c r="E46" s="32" t="str">
        <x:v>Do you need notebooks only, or an end-to-end governed training, registry, deployment and monitoring platform?</x:v>
      </x:c>
      <x:c r="F46" s="32" t="str">
        <x:v>SageMaker Model Registry</x:v>
      </x:c>
      <x:c r="G46" s="32" t="str">
        <x:v>Azure Machine Learning model registry</x:v>
      </x:c>
      <x:c r="H46" s="32" t="str">
        <x:v>Vertex AI Model Registry</x:v>
      </x:c>
      <x:c r="I46" s="32" t="n">
        <x:v>4.2</x:v>
      </x:c>
      <x:c r="J46" s="32" t="n">
        <x:v>3</x:v>
      </x:c>
      <x:c r="K46" s="32" t="n">
        <x:v>4.4</x:v>
      </x:c>
      <x:c r="L46" s="32" t="n">
        <x:v>4.3</x:v>
      </x:c>
      <x:c r="M46" s="32" t="n">
        <x:v>3.5</x:v>
      </x:c>
      <x:c r="N46" s="32" t="n">
        <x:v>4.6</x:v>
      </x:c>
      <x:c r="O46" s="32" t="n">
        <x:v>3.7</x:v>
      </x:c>
      <x:c r="P46" s="32" t="n">
        <x:v>4.2</x:v>
      </x:c>
      <x:c r="Q46" s="32" t="n">
        <x:v>3</x:v>
      </x:c>
      <x:c r="R46" s="32" t="n">
        <x:v>4.5</x:v>
      </x:c>
      <x:c r="S46" s="32" t="n">
        <x:v>4.5</x:v>
      </x:c>
      <x:c r="T46" s="32" t="n">
        <x:v>3.5</x:v>
      </x:c>
      <x:c r="U46" s="32" t="n">
        <x:v>4.5</x:v>
      </x:c>
      <x:c r="V46" s="32" t="n">
        <x:v>3.8</x:v>
      </x:c>
      <x:c r="W46" s="32" t="n">
        <x:v>4.7</x:v>
      </x:c>
      <x:c r="X46" s="32" t="n">
        <x:v>3.4</x:v>
      </x:c>
      <x:c r="Y46" s="32" t="n">
        <x:v>4.2</x:v>
      </x:c>
      <x:c r="Z46" s="32" t="n">
        <x:v>4.9</x:v>
      </x:c>
      <x:c r="AA46" s="32" t="n">
        <x:v>3.5</x:v>
      </x:c>
      <x:c r="AB46" s="32" t="n">
        <x:v>4.7</x:v>
      </x:c>
      <x:c r="AC46" s="32" t="n">
        <x:v>3.9</x:v>
      </x:c>
      <x:c r="AD46" s="32" t="n">
        <x:f>ROUND((I46*'Criteria &amp; Scoring'!$B$5+J46*'Criteria &amp; Scoring'!$B$6+K46*'Criteria &amp; Scoring'!$B$7+L46*'Criteria &amp; Scoring'!$B$8+M46*'Criteria &amp; Scoring'!$B$9+N46*'Criteria &amp; Scoring'!$B$10+O46*'Criteria &amp; Scoring'!$B$11)/SUM('Criteria &amp; Scoring'!$B$5:$B$11),2)</x:f>
        <x:v>3.95</x:v>
      </x:c>
      <x:c r="AE46" s="32" t="n">
        <x:f>ROUND((P46*'Criteria &amp; Scoring'!$B$5+Q46*'Criteria &amp; Scoring'!$B$6+R46*'Criteria &amp; Scoring'!$B$7+S46*'Criteria &amp; Scoring'!$B$8+T46*'Criteria &amp; Scoring'!$B$9+U46*'Criteria &amp; Scoring'!$B$10+V46*'Criteria &amp; Scoring'!$B$11)/SUM('Criteria &amp; Scoring'!$B$5:$B$11),2)</x:f>
        <x:v>3.99</x:v>
      </x:c>
      <x:c r="AF46" s="32" t="n">
        <x:f>ROUND((W46*'Criteria &amp; Scoring'!$B$5+X46*'Criteria &amp; Scoring'!$B$6+Y46*'Criteria &amp; Scoring'!$B$7+Z46*'Criteria &amp; Scoring'!$B$8+AA46*'Criteria &amp; Scoring'!$B$9+AB46*'Criteria &amp; Scoring'!$B$10+AC46*'Criteria &amp; Scoring'!$B$11)/SUM('Criteria &amp; Scoring'!$B$5:$B$11),2)</x:f>
        <x:v>4.24</x:v>
      </x:c>
      <x:c r="AG46" s="32" t="str">
        <x:f>IF(LARGE(AD46:AF46,1)-LARGE(AD46:AF46,2)&lt;0.15,"Context-dependent tie",SUBSTITUTE(INDEX($AD$4:$AF$4,1,MATCH(MAX(AD46:AF46),AD46:AF46,0))," Overall",""))</x:f>
        <x:v>GCP</x:v>
      </x:c>
      <x:c r="AH46" s="32" t="str">
        <x:f>IF(AG46="AWS","Start with AWS when infrastructure breadth, native integration and operational maturity are the main differentiators.",IF(AG46="Azure","Start with Azure when Microsoft identity, security, data, productivity or hybrid integration reduces delivery effort.",IF(AG46="GCP","Start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46" s="32" t="str">
        <x:v>High</x:v>
      </x:c>
      <x:c r="AJ46" s="32" t="str">
        <x:v>2026-07-12</x:v>
      </x:c>
    </x:row>
    <x:row r="47">
      <x:c r="A47" s="32" t="str">
        <x:v>Feature store</x:v>
      </x:c>
      <x:c r="B47" s="32" t="str">
        <x:v>07 AI &amp; Intelligent Systems</x:v>
      </x:c>
      <x:c r="C47" s="32" t="str">
        <x:v>ML Platform &amp; MLOps</x:v>
      </x:c>
      <x:c r="D47" s="32" t="str">
        <x:v>Workload</x:v>
      </x:c>
      <x:c r="E47" s="32" t="str">
        <x:v>Do you need notebooks only, or an end-to-end governed training, registry, deployment and monitoring platform?</x:v>
      </x:c>
      <x:c r="F47" s="32" t="str">
        <x:v>SageMaker Feature Store</x:v>
      </x:c>
      <x:c r="G47" s="32" t="str">
        <x:v>Azure Machine Learning managed feature store</x:v>
      </x:c>
      <x:c r="H47" s="32" t="str">
        <x:v>Vertex AI Feature Store</x:v>
      </x:c>
      <x:c r="I47" s="32" t="n">
        <x:v>4.2</x:v>
      </x:c>
      <x:c r="J47" s="32" t="n">
        <x:v>3</x:v>
      </x:c>
      <x:c r="K47" s="32" t="n">
        <x:v>4.4</x:v>
      </x:c>
      <x:c r="L47" s="32" t="n">
        <x:v>4.3</x:v>
      </x:c>
      <x:c r="M47" s="32" t="n">
        <x:v>3.5</x:v>
      </x:c>
      <x:c r="N47" s="32" t="n">
        <x:v>4.6</x:v>
      </x:c>
      <x:c r="O47" s="32" t="n">
        <x:v>3.7</x:v>
      </x:c>
      <x:c r="P47" s="32" t="n">
        <x:v>4.2</x:v>
      </x:c>
      <x:c r="Q47" s="32" t="n">
        <x:v>3</x:v>
      </x:c>
      <x:c r="R47" s="32" t="n">
        <x:v>4.5</x:v>
      </x:c>
      <x:c r="S47" s="32" t="n">
        <x:v>4.5</x:v>
      </x:c>
      <x:c r="T47" s="32" t="n">
        <x:v>3.5</x:v>
      </x:c>
      <x:c r="U47" s="32" t="n">
        <x:v>4.5</x:v>
      </x:c>
      <x:c r="V47" s="32" t="n">
        <x:v>3.8</x:v>
      </x:c>
      <x:c r="W47" s="32" t="n">
        <x:v>4.7</x:v>
      </x:c>
      <x:c r="X47" s="32" t="n">
        <x:v>3.4</x:v>
      </x:c>
      <x:c r="Y47" s="32" t="n">
        <x:v>4.2</x:v>
      </x:c>
      <x:c r="Z47" s="32" t="n">
        <x:v>4.9</x:v>
      </x:c>
      <x:c r="AA47" s="32" t="n">
        <x:v>3.5</x:v>
      </x:c>
      <x:c r="AB47" s="32" t="n">
        <x:v>4.7</x:v>
      </x:c>
      <x:c r="AC47" s="32" t="n">
        <x:v>3.9</x:v>
      </x:c>
      <x:c r="AD47" s="32" t="n">
        <x:f>ROUND((I47*'Criteria &amp; Scoring'!$B$5+J47*'Criteria &amp; Scoring'!$B$6+K47*'Criteria &amp; Scoring'!$B$7+L47*'Criteria &amp; Scoring'!$B$8+M47*'Criteria &amp; Scoring'!$B$9+N47*'Criteria &amp; Scoring'!$B$10+O47*'Criteria &amp; Scoring'!$B$11)/SUM('Criteria &amp; Scoring'!$B$5:$B$11),2)</x:f>
        <x:v>3.95</x:v>
      </x:c>
      <x:c r="AE47" s="32" t="n">
        <x:f>ROUND((P47*'Criteria &amp; Scoring'!$B$5+Q47*'Criteria &amp; Scoring'!$B$6+R47*'Criteria &amp; Scoring'!$B$7+S47*'Criteria &amp; Scoring'!$B$8+T47*'Criteria &amp; Scoring'!$B$9+U47*'Criteria &amp; Scoring'!$B$10+V47*'Criteria &amp; Scoring'!$B$11)/SUM('Criteria &amp; Scoring'!$B$5:$B$11),2)</x:f>
        <x:v>3.99</x:v>
      </x:c>
      <x:c r="AF47" s="32" t="n">
        <x:f>ROUND((W47*'Criteria &amp; Scoring'!$B$5+X47*'Criteria &amp; Scoring'!$B$6+Y47*'Criteria &amp; Scoring'!$B$7+Z47*'Criteria &amp; Scoring'!$B$8+AA47*'Criteria &amp; Scoring'!$B$9+AB47*'Criteria &amp; Scoring'!$B$10+AC47*'Criteria &amp; Scoring'!$B$11)/SUM('Criteria &amp; Scoring'!$B$5:$B$11),2)</x:f>
        <x:v>4.24</x:v>
      </x:c>
      <x:c r="AG47" s="32" t="str">
        <x:f>IF(LARGE(AD47:AF47,1)-LARGE(AD47:AF47,2)&lt;0.15,"Context-dependent tie",SUBSTITUTE(INDEX($AD$4:$AF$4,1,MATCH(MAX(AD47:AF47),AD47:AF47,0))," Overall",""))</x:f>
        <x:v>GCP</x:v>
      </x:c>
      <x:c r="AH47" s="32" t="str">
        <x:f>IF(AG47="AWS","Start with AWS when infrastructure breadth, native integration and operational maturity are the main differentiators.",IF(AG47="Azure","Start with Azure when Microsoft identity, security, data, productivity or hybrid integration reduces delivery effort.",IF(AG47="GCP","Start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47" s="32" t="str">
        <x:v>High</x:v>
      </x:c>
      <x:c r="AJ47" s="32" t="str">
        <x:v>2026-07-12</x:v>
      </x:c>
    </x:row>
    <x:row r="48">
      <x:c r="A48" s="32" t="str">
        <x:v>Model monitoring</x:v>
      </x:c>
      <x:c r="B48" s="32" t="str">
        <x:v>07 AI &amp; Intelligent Systems</x:v>
      </x:c>
      <x:c r="C48" s="32" t="str">
        <x:v>ML Platform &amp; MLOps</x:v>
      </x:c>
      <x:c r="D48" s="32" t="str">
        <x:v>Workload</x:v>
      </x:c>
      <x:c r="E48" s="32" t="str">
        <x:v>Do you need notebooks only, or an end-to-end governed training, registry, deployment and monitoring platform?</x:v>
      </x:c>
      <x:c r="F48" s="32" t="str">
        <x:v>SageMaker Model Monitor</x:v>
      </x:c>
      <x:c r="G48" s="32" t="str">
        <x:v>Azure Machine Learning model monitoring</x:v>
      </x:c>
      <x:c r="H48" s="32" t="str">
        <x:v>Vertex AI Model Monitoring</x:v>
      </x:c>
      <x:c r="I48" s="32" t="n">
        <x:v>4.2</x:v>
      </x:c>
      <x:c r="J48" s="32" t="n">
        <x:v>3</x:v>
      </x:c>
      <x:c r="K48" s="32" t="n">
        <x:v>4.4</x:v>
      </x:c>
      <x:c r="L48" s="32" t="n">
        <x:v>4.3</x:v>
      </x:c>
      <x:c r="M48" s="32" t="n">
        <x:v>3.5</x:v>
      </x:c>
      <x:c r="N48" s="32" t="n">
        <x:v>4.6</x:v>
      </x:c>
      <x:c r="O48" s="32" t="n">
        <x:v>3.7</x:v>
      </x:c>
      <x:c r="P48" s="32" t="n">
        <x:v>4.2</x:v>
      </x:c>
      <x:c r="Q48" s="32" t="n">
        <x:v>3</x:v>
      </x:c>
      <x:c r="R48" s="32" t="n">
        <x:v>4.5</x:v>
      </x:c>
      <x:c r="S48" s="32" t="n">
        <x:v>4.5</x:v>
      </x:c>
      <x:c r="T48" s="32" t="n">
        <x:v>3.5</x:v>
      </x:c>
      <x:c r="U48" s="32" t="n">
        <x:v>4.5</x:v>
      </x:c>
      <x:c r="V48" s="32" t="n">
        <x:v>3.8</x:v>
      </x:c>
      <x:c r="W48" s="32" t="n">
        <x:v>4.7</x:v>
      </x:c>
      <x:c r="X48" s="32" t="n">
        <x:v>3.4</x:v>
      </x:c>
      <x:c r="Y48" s="32" t="n">
        <x:v>4.2</x:v>
      </x:c>
      <x:c r="Z48" s="32" t="n">
        <x:v>4.9</x:v>
      </x:c>
      <x:c r="AA48" s="32" t="n">
        <x:v>3.5</x:v>
      </x:c>
      <x:c r="AB48" s="32" t="n">
        <x:v>4.7</x:v>
      </x:c>
      <x:c r="AC48" s="32" t="n">
        <x:v>3.9</x:v>
      </x:c>
      <x:c r="AD48" s="32" t="n">
        <x:f>ROUND((I48*'Criteria &amp; Scoring'!$B$5+J48*'Criteria &amp; Scoring'!$B$6+K48*'Criteria &amp; Scoring'!$B$7+L48*'Criteria &amp; Scoring'!$B$8+M48*'Criteria &amp; Scoring'!$B$9+N48*'Criteria &amp; Scoring'!$B$10+O48*'Criteria &amp; Scoring'!$B$11)/SUM('Criteria &amp; Scoring'!$B$5:$B$11),2)</x:f>
        <x:v>3.95</x:v>
      </x:c>
      <x:c r="AE48" s="32" t="n">
        <x:f>ROUND((P48*'Criteria &amp; Scoring'!$B$5+Q48*'Criteria &amp; Scoring'!$B$6+R48*'Criteria &amp; Scoring'!$B$7+S48*'Criteria &amp; Scoring'!$B$8+T48*'Criteria &amp; Scoring'!$B$9+U48*'Criteria &amp; Scoring'!$B$10+V48*'Criteria &amp; Scoring'!$B$11)/SUM('Criteria &amp; Scoring'!$B$5:$B$11),2)</x:f>
        <x:v>3.99</x:v>
      </x:c>
      <x:c r="AF48" s="32" t="n">
        <x:f>ROUND((W48*'Criteria &amp; Scoring'!$B$5+X48*'Criteria &amp; Scoring'!$B$6+Y48*'Criteria &amp; Scoring'!$B$7+Z48*'Criteria &amp; Scoring'!$B$8+AA48*'Criteria &amp; Scoring'!$B$9+AB48*'Criteria &amp; Scoring'!$B$10+AC48*'Criteria &amp; Scoring'!$B$11)/SUM('Criteria &amp; Scoring'!$B$5:$B$11),2)</x:f>
        <x:v>4.24</x:v>
      </x:c>
      <x:c r="AG48" s="32" t="str">
        <x:f>IF(LARGE(AD48:AF48,1)-LARGE(AD48:AF48,2)&lt;0.15,"Context-dependent tie",SUBSTITUTE(INDEX($AD$4:$AF$4,1,MATCH(MAX(AD48:AF48),AD48:AF48,0))," Overall",""))</x:f>
        <x:v>GCP</x:v>
      </x:c>
      <x:c r="AH48" s="32" t="str">
        <x:f>IF(AG48="AWS","Start with AWS when infrastructure breadth, native integration and operational maturity are the main differentiators.",IF(AG48="Azure","Start with Azure when Microsoft identity, security, data, productivity or hybrid integration reduces delivery effort.",IF(AG48="GCP","Start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48" s="32" t="str">
        <x:v>High</x:v>
      </x:c>
      <x:c r="AJ48" s="32" t="str">
        <x:v>2026-07-12</x:v>
      </x:c>
    </x:row>
    <x:row r="49">
      <x:c r="A49" s="32" t="str">
        <x:v>Managed real-time model endpoints</x:v>
      </x:c>
      <x:c r="B49" s="32" t="str">
        <x:v>07 AI &amp; Intelligent Systems</x:v>
      </x:c>
      <x:c r="C49" s="32" t="str">
        <x:v>ML Platform &amp; MLOps</x:v>
      </x:c>
      <x:c r="D49" s="32" t="str">
        <x:v>Workload</x:v>
      </x:c>
      <x:c r="E49" s="32" t="str">
        <x:v>Do you need notebooks only, or an end-to-end governed training, registry, deployment and monitoring platform?</x:v>
      </x:c>
      <x:c r="F49" s="32" t="str">
        <x:v>SageMaker real-time inference</x:v>
      </x:c>
      <x:c r="G49" s="32" t="str">
        <x:v>Azure Machine Learning managed online endpoints</x:v>
      </x:c>
      <x:c r="H49" s="32" t="str">
        <x:v>Vertex AI Online Prediction
Agent Platform Inference</x:v>
      </x:c>
      <x:c r="I49" s="32" t="n">
        <x:v>4.2</x:v>
      </x:c>
      <x:c r="J49" s="32" t="n">
        <x:v>3</x:v>
      </x:c>
      <x:c r="K49" s="32" t="n">
        <x:v>4.4</x:v>
      </x:c>
      <x:c r="L49" s="32" t="n">
        <x:v>4.3</x:v>
      </x:c>
      <x:c r="M49" s="32" t="n">
        <x:v>3.5</x:v>
      </x:c>
      <x:c r="N49" s="32" t="n">
        <x:v>4.6</x:v>
      </x:c>
      <x:c r="O49" s="32" t="n">
        <x:v>3.7</x:v>
      </x:c>
      <x:c r="P49" s="32" t="n">
        <x:v>4.2</x:v>
      </x:c>
      <x:c r="Q49" s="32" t="n">
        <x:v>3</x:v>
      </x:c>
      <x:c r="R49" s="32" t="n">
        <x:v>4.5</x:v>
      </x:c>
      <x:c r="S49" s="32" t="n">
        <x:v>4.5</x:v>
      </x:c>
      <x:c r="T49" s="32" t="n">
        <x:v>3.5</x:v>
      </x:c>
      <x:c r="U49" s="32" t="n">
        <x:v>4.5</x:v>
      </x:c>
      <x:c r="V49" s="32" t="n">
        <x:v>3.8</x:v>
      </x:c>
      <x:c r="W49" s="32" t="n">
        <x:v>4.5</x:v>
      </x:c>
      <x:c r="X49" s="32" t="n">
        <x:v>3.3</x:v>
      </x:c>
      <x:c r="Y49" s="32" t="n">
        <x:v>4.2</x:v>
      </x:c>
      <x:c r="Z49" s="32" t="n">
        <x:v>4.8</x:v>
      </x:c>
      <x:c r="AA49" s="32" t="n">
        <x:v>3.5</x:v>
      </x:c>
      <x:c r="AB49" s="32" t="n">
        <x:v>4.6</x:v>
      </x:c>
      <x:c r="AC49" s="32" t="n">
        <x:v>3.8</x:v>
      </x:c>
      <x:c r="AD49" s="32" t="n">
        <x:f>ROUND((I49*'Criteria &amp; Scoring'!$B$5+J49*'Criteria &amp; Scoring'!$B$6+K49*'Criteria &amp; Scoring'!$B$7+L49*'Criteria &amp; Scoring'!$B$8+M49*'Criteria &amp; Scoring'!$B$9+N49*'Criteria &amp; Scoring'!$B$10+O49*'Criteria &amp; Scoring'!$B$11)/SUM('Criteria &amp; Scoring'!$B$5:$B$11),2)</x:f>
        <x:v>3.95</x:v>
      </x:c>
      <x:c r="AE49" s="32" t="n">
        <x:f>ROUND((P49*'Criteria &amp; Scoring'!$B$5+Q49*'Criteria &amp; Scoring'!$B$6+R49*'Criteria &amp; Scoring'!$B$7+S49*'Criteria &amp; Scoring'!$B$8+T49*'Criteria &amp; Scoring'!$B$9+U49*'Criteria &amp; Scoring'!$B$10+V49*'Criteria &amp; Scoring'!$B$11)/SUM('Criteria &amp; Scoring'!$B$5:$B$11),2)</x:f>
        <x:v>3.99</x:v>
      </x:c>
      <x:c r="AF49" s="32" t="n">
        <x:f>ROUND((W49*'Criteria &amp; Scoring'!$B$5+X49*'Criteria &amp; Scoring'!$B$6+Y49*'Criteria &amp; Scoring'!$B$7+Z49*'Criteria &amp; Scoring'!$B$8+AA49*'Criteria &amp; Scoring'!$B$9+AB49*'Criteria &amp; Scoring'!$B$10+AC49*'Criteria &amp; Scoring'!$B$11)/SUM('Criteria &amp; Scoring'!$B$5:$B$11),2)</x:f>
        <x:v>4.14</x:v>
      </x:c>
      <x:c r="AG49" s="32" t="str">
        <x:f>IF(LARGE(AD49:AF49,1)-LARGE(AD49:AF49,2)&lt;0.15,"Context-dependent tie",SUBSTITUTE(INDEX($AD$4:$AF$4,1,MATCH(MAX(AD49:AF49),AD49:AF49,0))," Overall",""))</x:f>
        <x:v>GCP</x:v>
      </x:c>
      <x:c r="AH49" s="32" t="str">
        <x:f>IF(AG49="AWS","Start with AWS when infrastructure breadth, native integration and operational maturity are the main differentiators.",IF(AG49="Azure","Start with Azure when Microsoft identity, security, data, productivity or hybrid integration reduces delivery effort.",IF(AG49="GCP","Start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49" s="32" t="str">
        <x:v>High</x:v>
      </x:c>
      <x:c r="AJ49" s="32" t="str">
        <x:v>2026-07-12</x:v>
      </x:c>
    </x:row>
    <x:row r="50">
      <x:c r="A50" s="32" t="str">
        <x:v>Batch model inference</x:v>
      </x:c>
      <x:c r="B50" s="32" t="str">
        <x:v>07 AI &amp; Intelligent Systems</x:v>
      </x:c>
      <x:c r="C50" s="32" t="str">
        <x:v>ML Platform &amp; MLOps</x:v>
      </x:c>
      <x:c r="D50" s="32" t="str">
        <x:v>Workload</x:v>
      </x:c>
      <x:c r="E50" s="32" t="str">
        <x:v>Do you need notebooks only, or an end-to-end governed training, registry, deployment and monitoring platform?</x:v>
      </x:c>
      <x:c r="F50" s="32" t="str">
        <x:v>SageMaker Batch Transform</x:v>
      </x:c>
      <x:c r="G50" s="32" t="str">
        <x:v>Azure Machine Learning batch endpoints</x:v>
      </x:c>
      <x:c r="H50" s="32" t="str">
        <x:v>Vertex AI Batch Prediction</x:v>
      </x:c>
      <x:c r="I50" s="32" t="n">
        <x:v>4.2</x:v>
      </x:c>
      <x:c r="J50" s="32" t="n">
        <x:v>3</x:v>
      </x:c>
      <x:c r="K50" s="32" t="n">
        <x:v>4.4</x:v>
      </x:c>
      <x:c r="L50" s="32" t="n">
        <x:v>4.3</x:v>
      </x:c>
      <x:c r="M50" s="32" t="n">
        <x:v>3.5</x:v>
      </x:c>
      <x:c r="N50" s="32" t="n">
        <x:v>4.6</x:v>
      </x:c>
      <x:c r="O50" s="32" t="n">
        <x:v>3.7</x:v>
      </x:c>
      <x:c r="P50" s="32" t="n">
        <x:v>4.2</x:v>
      </x:c>
      <x:c r="Q50" s="32" t="n">
        <x:v>3</x:v>
      </x:c>
      <x:c r="R50" s="32" t="n">
        <x:v>4.5</x:v>
      </x:c>
      <x:c r="S50" s="32" t="n">
        <x:v>4.5</x:v>
      </x:c>
      <x:c r="T50" s="32" t="n">
        <x:v>3.5</x:v>
      </x:c>
      <x:c r="U50" s="32" t="n">
        <x:v>4.5</x:v>
      </x:c>
      <x:c r="V50" s="32" t="n">
        <x:v>3.8</x:v>
      </x:c>
      <x:c r="W50" s="32" t="n">
        <x:v>4.7</x:v>
      </x:c>
      <x:c r="X50" s="32" t="n">
        <x:v>3.4</x:v>
      </x:c>
      <x:c r="Y50" s="32" t="n">
        <x:v>4.2</x:v>
      </x:c>
      <x:c r="Z50" s="32" t="n">
        <x:v>4.9</x:v>
      </x:c>
      <x:c r="AA50" s="32" t="n">
        <x:v>3.5</x:v>
      </x:c>
      <x:c r="AB50" s="32" t="n">
        <x:v>4.7</x:v>
      </x:c>
      <x:c r="AC50" s="32" t="n">
        <x:v>3.9</x:v>
      </x:c>
      <x:c r="AD50" s="32" t="n">
        <x:f>ROUND((I50*'Criteria &amp; Scoring'!$B$5+J50*'Criteria &amp; Scoring'!$B$6+K50*'Criteria &amp; Scoring'!$B$7+L50*'Criteria &amp; Scoring'!$B$8+M50*'Criteria &amp; Scoring'!$B$9+N50*'Criteria &amp; Scoring'!$B$10+O50*'Criteria &amp; Scoring'!$B$11)/SUM('Criteria &amp; Scoring'!$B$5:$B$11),2)</x:f>
        <x:v>3.95</x:v>
      </x:c>
      <x:c r="AE50" s="32" t="n">
        <x:f>ROUND((P50*'Criteria &amp; Scoring'!$B$5+Q50*'Criteria &amp; Scoring'!$B$6+R50*'Criteria &amp; Scoring'!$B$7+S50*'Criteria &amp; Scoring'!$B$8+T50*'Criteria &amp; Scoring'!$B$9+U50*'Criteria &amp; Scoring'!$B$10+V50*'Criteria &amp; Scoring'!$B$11)/SUM('Criteria &amp; Scoring'!$B$5:$B$11),2)</x:f>
        <x:v>3.99</x:v>
      </x:c>
      <x:c r="AF50" s="32" t="n">
        <x:f>ROUND((W50*'Criteria &amp; Scoring'!$B$5+X50*'Criteria &amp; Scoring'!$B$6+Y50*'Criteria &amp; Scoring'!$B$7+Z50*'Criteria &amp; Scoring'!$B$8+AA50*'Criteria &amp; Scoring'!$B$9+AB50*'Criteria &amp; Scoring'!$B$10+AC50*'Criteria &amp; Scoring'!$B$11)/SUM('Criteria &amp; Scoring'!$B$5:$B$11),2)</x:f>
        <x:v>4.24</x:v>
      </x:c>
      <x:c r="AG50" s="32" t="str">
        <x:f>IF(LARGE(AD50:AF50,1)-LARGE(AD50:AF50,2)&lt;0.15,"Context-dependent tie",SUBSTITUTE(INDEX($AD$4:$AF$4,1,MATCH(MAX(AD50:AF50),AD50:AF50,0))," Overall",""))</x:f>
        <x:v>GCP</x:v>
      </x:c>
      <x:c r="AH50" s="32" t="str">
        <x:f>IF(AG50="AWS","Start with AWS when infrastructure breadth, native integration and operational maturity are the main differentiators.",IF(AG50="Azure","Start with Azure when Microsoft identity, security, data, productivity or hybrid integration reduces delivery effort.",IF(AG50="GCP","Start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50" s="32" t="str">
        <x:v>High</x:v>
      </x:c>
      <x:c r="AJ50" s="32" t="str">
        <x:v>2026-07-12</x:v>
      </x:c>
    </x:row>
    <x:row r="51">
      <x:c r="A51" s="32" t="str">
        <x:v>AI accelerators</x:v>
      </x:c>
      <x:c r="B51" s="32" t="str">
        <x:v>07 AI &amp; Intelligent Systems</x:v>
      </x:c>
      <x:c r="C51" s="32" t="str">
        <x:v>Industry &amp; Applied AI</x:v>
      </x:c>
      <x:c r="D51" s="32" t="str">
        <x:v>Workload</x:v>
      </x:c>
      <x:c r="E51" s="32" t="str">
        <x:v>What business outcome, scale, control, integration and operating model justify choosing ai accelerators?</x:v>
      </x:c>
      <x:c r="F51" s="32" t="str">
        <x:v>Amazon EC2 GPU instances
AWS Trainium
AWS Inferentia</x:v>
      </x:c>
      <x:c r="G51" s="32" t="str">
        <x:v>Azure GPU virtual machines
Azure Maia</x:v>
      </x:c>
      <x:c r="H51" s="32" t="str">
        <x:v>Cloud GPUs
Cloud TPU
AI Hypercomputer</x:v>
      </x:c>
      <x:c r="I51" s="32" t="n">
        <x:v>3.9</x:v>
      </x:c>
      <x:c r="J51" s="32" t="n">
        <x:v>2.9</x:v>
      </x:c>
      <x:c r="K51" s="32" t="n">
        <x:v>4.2</x:v>
      </x:c>
      <x:c r="L51" s="32" t="n">
        <x:v>4.3</x:v>
      </x:c>
      <x:c r="M51" s="32" t="n">
        <x:v>3.5</x:v>
      </x:c>
      <x:c r="N51" s="32" t="n">
        <x:v>4.4</x:v>
      </x:c>
      <x:c r="O51" s="32" t="n">
        <x:v>3.6</x:v>
      </x:c>
      <x:c r="P51" s="32" t="n">
        <x:v>3.9</x:v>
      </x:c>
      <x:c r="Q51" s="32" t="n">
        <x:v>2.9</x:v>
      </x:c>
      <x:c r="R51" s="32" t="n">
        <x:v>4.4</x:v>
      </x:c>
      <x:c r="S51" s="32" t="n">
        <x:v>4.4</x:v>
      </x:c>
      <x:c r="T51" s="32" t="n">
        <x:v>3.5</x:v>
      </x:c>
      <x:c r="U51" s="32" t="n">
        <x:v>4.3</x:v>
      </x:c>
      <x:c r="V51" s="32" t="n">
        <x:v>3.7</x:v>
      </x:c>
      <x:c r="W51" s="32" t="n">
        <x:v>3.9</x:v>
      </x:c>
      <x:c r="X51" s="32" t="n">
        <x:v>2.9</x:v>
      </x:c>
      <x:c r="Y51" s="32" t="n">
        <x:v>4.3</x:v>
      </x:c>
      <x:c r="Z51" s="32" t="n">
        <x:v>4.6</x:v>
      </x:c>
      <x:c r="AA51" s="32" t="n">
        <x:v>3.5</x:v>
      </x:c>
      <x:c r="AB51" s="32" t="n">
        <x:v>4.2</x:v>
      </x:c>
      <x:c r="AC51" s="32" t="n">
        <x:v>3.8</x:v>
      </x:c>
      <x:c r="AD51" s="32" t="n">
        <x:f>ROUND((I51*'Criteria &amp; Scoring'!$B$5+J51*'Criteria &amp; Scoring'!$B$6+K51*'Criteria &amp; Scoring'!$B$7+L51*'Criteria &amp; Scoring'!$B$8+M51*'Criteria &amp; Scoring'!$B$9+N51*'Criteria &amp; Scoring'!$B$10+O51*'Criteria &amp; Scoring'!$B$11)/SUM('Criteria &amp; Scoring'!$B$5:$B$11),2)</x:f>
        <x:v>3.8</x:v>
      </x:c>
      <x:c r="AE51" s="32" t="n">
        <x:f>ROUND((P51*'Criteria &amp; Scoring'!$B$5+Q51*'Criteria &amp; Scoring'!$B$6+R51*'Criteria &amp; Scoring'!$B$7+S51*'Criteria &amp; Scoring'!$B$8+T51*'Criteria &amp; Scoring'!$B$9+U51*'Criteria &amp; Scoring'!$B$10+V51*'Criteria &amp; Scoring'!$B$11)/SUM('Criteria &amp; Scoring'!$B$5:$B$11),2)</x:f>
        <x:v>3.84</x:v>
      </x:c>
      <x:c r="AF51" s="32" t="n">
        <x:f>ROUND((W51*'Criteria &amp; Scoring'!$B$5+X51*'Criteria &amp; Scoring'!$B$6+Y51*'Criteria &amp; Scoring'!$B$7+Z51*'Criteria &amp; Scoring'!$B$8+AA51*'Criteria &amp; Scoring'!$B$9+AB51*'Criteria &amp; Scoring'!$B$10+AC51*'Criteria &amp; Scoring'!$B$11)/SUM('Criteria &amp; Scoring'!$B$5:$B$11),2)</x:f>
        <x:v>3.85</x:v>
      </x:c>
      <x:c r="AG51" s="32" t="str">
        <x:f>IF(LARGE(AD51:AF51,1)-LARGE(AD51:AF51,2)&lt;0.15,"Context-dependent tie",SUBSTITUTE(INDEX($AD$4:$AF$4,1,MATCH(MAX(AD51:AF51),AD51:AF51,0))," Overall",""))</x:f>
        <x:v>Context-dependent tie</x:v>
      </x:c>
      <x:c r="AH51" s="32" t="str">
        <x:f>IF(AG51="AWS","Start with AWS when infrastructure breadth, native integration and operational maturity are the main differentiators.",IF(AG51="Azure","Start with Azure when Microsoft identity, security, data, productivity or hybrid integration reduces delivery effort.",IF(AG51="GCP","Start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51" s="32" t="str">
        <x:v>Medium</x:v>
      </x:c>
      <x:c r="AJ51" s="32" t="str">
        <x:v>2026-07-12</x:v>
      </x:c>
    </x:row>
    <x:row r="52">
      <x:c r="A52" s="32" t="str">
        <x:v>Distributed ML execution</x:v>
      </x:c>
      <x:c r="B52" s="32" t="str">
        <x:v>07 AI &amp; Intelligent Systems</x:v>
      </x:c>
      <x:c r="C52" s="32" t="str">
        <x:v>ML Platform &amp; MLOps</x:v>
      </x:c>
      <x:c r="D52" s="32" t="str">
        <x:v>Workload</x:v>
      </x:c>
      <x:c r="E52" s="32" t="str">
        <x:v>Do you need notebooks only, or an end-to-end governed training, registry, deployment and monitoring platform?</x:v>
      </x:c>
      <x:c r="F52" s="32" t="str">
        <x:v>SageMaker HyperPod
AWS ParallelCluster</x:v>
      </x:c>
      <x:c r="G52" s="32" t="str">
        <x:v>Azure Machine Learning compute clusters
Azure Databricks</x:v>
      </x:c>
      <x:c r="H52" s="32" t="str">
        <x:v>Ray on Gemini Enterprise Agent Platform
Cluster Director</x:v>
      </x:c>
      <x:c r="I52" s="32" t="n">
        <x:v>3.9</x:v>
      </x:c>
      <x:c r="J52" s="32" t="n">
        <x:v>2.9</x:v>
      </x:c>
      <x:c r="K52" s="32" t="n">
        <x:v>4.2</x:v>
      </x:c>
      <x:c r="L52" s="32" t="n">
        <x:v>4.3</x:v>
      </x:c>
      <x:c r="M52" s="32" t="n">
        <x:v>3.5</x:v>
      </x:c>
      <x:c r="N52" s="32" t="n">
        <x:v>4.4</x:v>
      </x:c>
      <x:c r="O52" s="32" t="n">
        <x:v>3.6</x:v>
      </x:c>
      <x:c r="P52" s="32" t="n">
        <x:v>3.9</x:v>
      </x:c>
      <x:c r="Q52" s="32" t="n">
        <x:v>2.9</x:v>
      </x:c>
      <x:c r="R52" s="32" t="n">
        <x:v>4.4</x:v>
      </x:c>
      <x:c r="S52" s="32" t="n">
        <x:v>4.4</x:v>
      </x:c>
      <x:c r="T52" s="32" t="n">
        <x:v>3.5</x:v>
      </x:c>
      <x:c r="U52" s="32" t="n">
        <x:v>4.3</x:v>
      </x:c>
      <x:c r="V52" s="32" t="n">
        <x:v>3.7</x:v>
      </x:c>
      <x:c r="W52" s="32" t="n">
        <x:v>4.3</x:v>
      </x:c>
      <x:c r="X52" s="32" t="n">
        <x:v>3.3</x:v>
      </x:c>
      <x:c r="Y52" s="32" t="n">
        <x:v>4.1</x:v>
      </x:c>
      <x:c r="Z52" s="32" t="n">
        <x:v>4.8</x:v>
      </x:c>
      <x:c r="AA52" s="32" t="n">
        <x:v>3.5</x:v>
      </x:c>
      <x:c r="AB52" s="32" t="n">
        <x:v>4.5</x:v>
      </x:c>
      <x:c r="AC52" s="32" t="n">
        <x:v>3.8</x:v>
      </x:c>
      <x:c r="AD52" s="32" t="n">
        <x:f>ROUND((I52*'Criteria &amp; Scoring'!$B$5+J52*'Criteria &amp; Scoring'!$B$6+K52*'Criteria &amp; Scoring'!$B$7+L52*'Criteria &amp; Scoring'!$B$8+M52*'Criteria &amp; Scoring'!$B$9+N52*'Criteria &amp; Scoring'!$B$10+O52*'Criteria &amp; Scoring'!$B$11)/SUM('Criteria &amp; Scoring'!$B$5:$B$11),2)</x:f>
        <x:v>3.8</x:v>
      </x:c>
      <x:c r="AE52" s="32" t="n">
        <x:f>ROUND((P52*'Criteria &amp; Scoring'!$B$5+Q52*'Criteria &amp; Scoring'!$B$6+R52*'Criteria &amp; Scoring'!$B$7+S52*'Criteria &amp; Scoring'!$B$8+T52*'Criteria &amp; Scoring'!$B$9+U52*'Criteria &amp; Scoring'!$B$10+V52*'Criteria &amp; Scoring'!$B$11)/SUM('Criteria &amp; Scoring'!$B$5:$B$11),2)</x:f>
        <x:v>3.84</x:v>
      </x:c>
      <x:c r="AF52" s="32" t="n">
        <x:f>ROUND((W52*'Criteria &amp; Scoring'!$B$5+X52*'Criteria &amp; Scoring'!$B$6+Y52*'Criteria &amp; Scoring'!$B$7+Z52*'Criteria &amp; Scoring'!$B$8+AA52*'Criteria &amp; Scoring'!$B$9+AB52*'Criteria &amp; Scoring'!$B$10+AC52*'Criteria &amp; Scoring'!$B$11)/SUM('Criteria &amp; Scoring'!$B$5:$B$11),2)</x:f>
        <x:v>4.06</x:v>
      </x:c>
      <x:c r="AG52" s="32" t="str">
        <x:f>IF(LARGE(AD52:AF52,1)-LARGE(AD52:AF52,2)&lt;0.15,"Context-dependent tie",SUBSTITUTE(INDEX($AD$4:$AF$4,1,MATCH(MAX(AD52:AF52),AD52:AF52,0))," Overall",""))</x:f>
        <x:v>GCP</x:v>
      </x:c>
      <x:c r="AH52" s="32" t="str">
        <x:f>IF(AG52="AWS","Start with AWS when infrastructure breadth, native integration and operational maturity are the main differentiators.",IF(AG52="Azure","Start with Azure when Microsoft identity, security, data, productivity or hybrid integration reduces delivery effort.",IF(AG52="GCP","Start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52" s="32" t="str">
        <x:v>Medium</x:v>
      </x:c>
      <x:c r="AJ52" s="32" t="str">
        <x:v>2026-07-12</x:v>
      </x:c>
    </x:row>
    <x:row r="53">
      <x:c r="A53" s="32" t="str">
        <x:v>Natural-language analysis</x:v>
      </x:c>
      <x:c r="B53" s="32" t="str">
        <x:v>07 AI &amp; Intelligent Systems</x:v>
      </x:c>
      <x:c r="C53" s="32" t="str">
        <x:v>Prebuilt Cognitive AI Services</x:v>
      </x:c>
      <x:c r="D53" s="32" t="str">
        <x:v>Workload</x:v>
      </x:c>
      <x:c r="E53" s="32" t="str">
        <x:v>What business outcome, scale, control, integration and operating model justify choosing natural-language analysis?</x:v>
      </x:c>
      <x:c r="F53" s="32" t="str">
        <x:v>Amazon Comprehend</x:v>
      </x:c>
      <x:c r="G53" s="32" t="str">
        <x:v>Azure Language in Foundry Tools</x:v>
      </x:c>
      <x:c r="H53" s="32" t="str">
        <x:v>Cloud Natural Language</x:v>
      </x:c>
      <x:c r="I53" s="32" t="n">
        <x:v>4.2</x:v>
      </x:c>
      <x:c r="J53" s="32" t="n">
        <x:v>3</x:v>
      </x:c>
      <x:c r="K53" s="32" t="n">
        <x:v>4.4</x:v>
      </x:c>
      <x:c r="L53" s="32" t="n">
        <x:v>4.3</x:v>
      </x:c>
      <x:c r="M53" s="32" t="n">
        <x:v>3.5</x:v>
      </x:c>
      <x:c r="N53" s="32" t="n">
        <x:v>4.6</x:v>
      </x:c>
      <x:c r="O53" s="32" t="n">
        <x:v>3.7</x:v>
      </x:c>
      <x:c r="P53" s="32" t="n">
        <x:v>4.2</x:v>
      </x:c>
      <x:c r="Q53" s="32" t="n">
        <x:v>3</x:v>
      </x:c>
      <x:c r="R53" s="32" t="n">
        <x:v>4.5</x:v>
      </x:c>
      <x:c r="S53" s="32" t="n">
        <x:v>4.5</x:v>
      </x:c>
      <x:c r="T53" s="32" t="n">
        <x:v>3.5</x:v>
      </x:c>
      <x:c r="U53" s="32" t="n">
        <x:v>4.5</x:v>
      </x:c>
      <x:c r="V53" s="32" t="n">
        <x:v>3.8</x:v>
      </x:c>
      <x:c r="W53" s="32" t="n">
        <x:v>4.2</x:v>
      </x:c>
      <x:c r="X53" s="32" t="n">
        <x:v>3</x:v>
      </x:c>
      <x:c r="Y53" s="32" t="n">
        <x:v>4.5</x:v>
      </x:c>
      <x:c r="Z53" s="32" t="n">
        <x:v>4.7</x:v>
      </x:c>
      <x:c r="AA53" s="32" t="n">
        <x:v>3.5</x:v>
      </x:c>
      <x:c r="AB53" s="32" t="n">
        <x:v>4.4</x:v>
      </x:c>
      <x:c r="AC53" s="32" t="n">
        <x:v>3.9</x:v>
      </x:c>
      <x:c r="AD53" s="32" t="n">
        <x:f>ROUND((I53*'Criteria &amp; Scoring'!$B$5+J53*'Criteria &amp; Scoring'!$B$6+K53*'Criteria &amp; Scoring'!$B$7+L53*'Criteria &amp; Scoring'!$B$8+M53*'Criteria &amp; Scoring'!$B$9+N53*'Criteria &amp; Scoring'!$B$10+O53*'Criteria &amp; Scoring'!$B$11)/SUM('Criteria &amp; Scoring'!$B$5:$B$11),2)</x:f>
        <x:v>3.95</x:v>
      </x:c>
      <x:c r="AE53" s="32" t="n">
        <x:f>ROUND((P53*'Criteria &amp; Scoring'!$B$5+Q53*'Criteria &amp; Scoring'!$B$6+R53*'Criteria &amp; Scoring'!$B$7+S53*'Criteria &amp; Scoring'!$B$8+T53*'Criteria &amp; Scoring'!$B$9+U53*'Criteria &amp; Scoring'!$B$10+V53*'Criteria &amp; Scoring'!$B$11)/SUM('Criteria &amp; Scoring'!$B$5:$B$11),2)</x:f>
        <x:v>3.99</x:v>
      </x:c>
      <x:c r="AF53" s="32" t="n">
        <x:f>ROUND((W53*'Criteria &amp; Scoring'!$B$5+X53*'Criteria &amp; Scoring'!$B$6+Y53*'Criteria &amp; Scoring'!$B$7+Z53*'Criteria &amp; Scoring'!$B$8+AA53*'Criteria &amp; Scoring'!$B$9+AB53*'Criteria &amp; Scoring'!$B$10+AC53*'Criteria &amp; Scoring'!$B$11)/SUM('Criteria &amp; Scoring'!$B$5:$B$11),2)</x:f>
        <x:v>4.02</x:v>
      </x:c>
      <x:c r="AG53" s="32" t="str">
        <x:f>IF(LARGE(AD53:AF53,1)-LARGE(AD53:AF53,2)&lt;0.15,"Context-dependent tie",SUBSTITUTE(INDEX($AD$4:$AF$4,1,MATCH(MAX(AD53:AF53),AD53:AF53,0))," Overall",""))</x:f>
        <x:v>Context-dependent tie</x:v>
      </x:c>
      <x:c r="AH53" s="32" t="str">
        <x:f>IF(AG53="AWS","Start with AWS when infrastructure breadth, native integration and operational maturity are the main differentiators.",IF(AG53="Azure","Start with Azure when Microsoft identity, security, data, productivity or hybrid integration reduces delivery effort.",IF(AG53="GCP","Start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53" s="32" t="str">
        <x:v>High</x:v>
      </x:c>
      <x:c r="AJ53" s="32" t="str">
        <x:v>2026-07-12</x:v>
      </x:c>
    </x:row>
    <x:row r="54">
      <x:c r="A54" s="32" t="str">
        <x:v>Machine translation</x:v>
      </x:c>
      <x:c r="B54" s="32" t="str">
        <x:v>07 AI &amp; Intelligent Systems</x:v>
      </x:c>
      <x:c r="C54" s="32" t="str">
        <x:v>Prebuilt Cognitive AI Services</x:v>
      </x:c>
      <x:c r="D54" s="32" t="str">
        <x:v>Workload</x:v>
      </x:c>
      <x:c r="E54" s="32" t="str">
        <x:v>What business outcome, scale, control, integration and operating model justify choosing machine translation?</x:v>
      </x:c>
      <x:c r="F54" s="32" t="str">
        <x:v>Amazon Translate</x:v>
      </x:c>
      <x:c r="G54" s="32" t="str">
        <x:v>Azure Translator</x:v>
      </x:c>
      <x:c r="H54" s="32" t="str">
        <x:v>Cloud Translation</x:v>
      </x:c>
      <x:c r="I54" s="32" t="n">
        <x:v>4.2</x:v>
      </x:c>
      <x:c r="J54" s="32" t="n">
        <x:v>3</x:v>
      </x:c>
      <x:c r="K54" s="32" t="n">
        <x:v>4.4</x:v>
      </x:c>
      <x:c r="L54" s="32" t="n">
        <x:v>4.3</x:v>
      </x:c>
      <x:c r="M54" s="32" t="n">
        <x:v>3.5</x:v>
      </x:c>
      <x:c r="N54" s="32" t="n">
        <x:v>4.6</x:v>
      </x:c>
      <x:c r="O54" s="32" t="n">
        <x:v>3.7</x:v>
      </x:c>
      <x:c r="P54" s="32" t="n">
        <x:v>4.2</x:v>
      </x:c>
      <x:c r="Q54" s="32" t="n">
        <x:v>3</x:v>
      </x:c>
      <x:c r="R54" s="32" t="n">
        <x:v>4.5</x:v>
      </x:c>
      <x:c r="S54" s="32" t="n">
        <x:v>4.5</x:v>
      </x:c>
      <x:c r="T54" s="32" t="n">
        <x:v>3.5</x:v>
      </x:c>
      <x:c r="U54" s="32" t="n">
        <x:v>4.5</x:v>
      </x:c>
      <x:c r="V54" s="32" t="n">
        <x:v>3.8</x:v>
      </x:c>
      <x:c r="W54" s="32" t="n">
        <x:v>4.2</x:v>
      </x:c>
      <x:c r="X54" s="32" t="n">
        <x:v>3</x:v>
      </x:c>
      <x:c r="Y54" s="32" t="n">
        <x:v>4.5</x:v>
      </x:c>
      <x:c r="Z54" s="32" t="n">
        <x:v>4.7</x:v>
      </x:c>
      <x:c r="AA54" s="32" t="n">
        <x:v>3.5</x:v>
      </x:c>
      <x:c r="AB54" s="32" t="n">
        <x:v>4.4</x:v>
      </x:c>
      <x:c r="AC54" s="32" t="n">
        <x:v>3.9</x:v>
      </x:c>
      <x:c r="AD54" s="32" t="n">
        <x:f>ROUND((I54*'Criteria &amp; Scoring'!$B$5+J54*'Criteria &amp; Scoring'!$B$6+K54*'Criteria &amp; Scoring'!$B$7+L54*'Criteria &amp; Scoring'!$B$8+M54*'Criteria &amp; Scoring'!$B$9+N54*'Criteria &amp; Scoring'!$B$10+O54*'Criteria &amp; Scoring'!$B$11)/SUM('Criteria &amp; Scoring'!$B$5:$B$11),2)</x:f>
        <x:v>3.95</x:v>
      </x:c>
      <x:c r="AE54" s="32" t="n">
        <x:f>ROUND((P54*'Criteria &amp; Scoring'!$B$5+Q54*'Criteria &amp; Scoring'!$B$6+R54*'Criteria &amp; Scoring'!$B$7+S54*'Criteria &amp; Scoring'!$B$8+T54*'Criteria &amp; Scoring'!$B$9+U54*'Criteria &amp; Scoring'!$B$10+V54*'Criteria &amp; Scoring'!$B$11)/SUM('Criteria &amp; Scoring'!$B$5:$B$11),2)</x:f>
        <x:v>3.99</x:v>
      </x:c>
      <x:c r="AF54" s="32" t="n">
        <x:f>ROUND((W54*'Criteria &amp; Scoring'!$B$5+X54*'Criteria &amp; Scoring'!$B$6+Y54*'Criteria &amp; Scoring'!$B$7+Z54*'Criteria &amp; Scoring'!$B$8+AA54*'Criteria &amp; Scoring'!$B$9+AB54*'Criteria &amp; Scoring'!$B$10+AC54*'Criteria &amp; Scoring'!$B$11)/SUM('Criteria &amp; Scoring'!$B$5:$B$11),2)</x:f>
        <x:v>4.02</x:v>
      </x:c>
      <x:c r="AG54" s="32" t="str">
        <x:f>IF(LARGE(AD54:AF54,1)-LARGE(AD54:AF54,2)&lt;0.15,"Context-dependent tie",SUBSTITUTE(INDEX($AD$4:$AF$4,1,MATCH(MAX(AD54:AF54),AD54:AF54,0))," Overall",""))</x:f>
        <x:v>Context-dependent tie</x:v>
      </x:c>
      <x:c r="AH54" s="32" t="str">
        <x:f>IF(AG54="AWS","Start with AWS when infrastructure breadth, native integration and operational maturity are the main differentiators.",IF(AG54="Azure","Start with Azure when Microsoft identity, security, data, productivity or hybrid integration reduces delivery effort.",IF(AG54="GCP","Start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54" s="32" t="str">
        <x:v>High</x:v>
      </x:c>
      <x:c r="AJ54" s="32" t="str">
        <x:v>2026-07-12</x:v>
      </x:c>
    </x:row>
    <x:row r="55">
      <x:c r="A55" s="32" t="str">
        <x:v>Speech-to-text</x:v>
      </x:c>
      <x:c r="B55" s="32" t="str">
        <x:v>07 AI &amp; Intelligent Systems</x:v>
      </x:c>
      <x:c r="C55" s="32" t="str">
        <x:v>Prebuilt Cognitive AI Services</x:v>
      </x:c>
      <x:c r="D55" s="32" t="str">
        <x:v>Workload</x:v>
      </x:c>
      <x:c r="E55" s="32" t="str">
        <x:v>What business outcome, scale, control, integration and operating model justify choosing speech-to-text?</x:v>
      </x:c>
      <x:c r="F55" s="32" t="str">
        <x:v>Amazon Transcribe</x:v>
      </x:c>
      <x:c r="G55" s="32" t="str">
        <x:v>Azure Speech</x:v>
      </x:c>
      <x:c r="H55" s="32" t="str">
        <x:v>Speech-to-Text</x:v>
      </x:c>
      <x:c r="I55" s="32" t="n">
        <x:v>4.2</x:v>
      </x:c>
      <x:c r="J55" s="32" t="n">
        <x:v>3</x:v>
      </x:c>
      <x:c r="K55" s="32" t="n">
        <x:v>4.4</x:v>
      </x:c>
      <x:c r="L55" s="32" t="n">
        <x:v>4.3</x:v>
      </x:c>
      <x:c r="M55" s="32" t="n">
        <x:v>3.5</x:v>
      </x:c>
      <x:c r="N55" s="32" t="n">
        <x:v>4.6</x:v>
      </x:c>
      <x:c r="O55" s="32" t="n">
        <x:v>3.7</x:v>
      </x:c>
      <x:c r="P55" s="32" t="n">
        <x:v>4.2</x:v>
      </x:c>
      <x:c r="Q55" s="32" t="n">
        <x:v>3</x:v>
      </x:c>
      <x:c r="R55" s="32" t="n">
        <x:v>4.5</x:v>
      </x:c>
      <x:c r="S55" s="32" t="n">
        <x:v>4.5</x:v>
      </x:c>
      <x:c r="T55" s="32" t="n">
        <x:v>3.5</x:v>
      </x:c>
      <x:c r="U55" s="32" t="n">
        <x:v>4.5</x:v>
      </x:c>
      <x:c r="V55" s="32" t="n">
        <x:v>3.8</x:v>
      </x:c>
      <x:c r="W55" s="32" t="n">
        <x:v>4.2</x:v>
      </x:c>
      <x:c r="X55" s="32" t="n">
        <x:v>3</x:v>
      </x:c>
      <x:c r="Y55" s="32" t="n">
        <x:v>4.5</x:v>
      </x:c>
      <x:c r="Z55" s="32" t="n">
        <x:v>4.7</x:v>
      </x:c>
      <x:c r="AA55" s="32" t="n">
        <x:v>3.5</x:v>
      </x:c>
      <x:c r="AB55" s="32" t="n">
        <x:v>4.4</x:v>
      </x:c>
      <x:c r="AC55" s="32" t="n">
        <x:v>3.9</x:v>
      </x:c>
      <x:c r="AD55" s="32" t="n">
        <x:f>ROUND((I55*'Criteria &amp; Scoring'!$B$5+J55*'Criteria &amp; Scoring'!$B$6+K55*'Criteria &amp; Scoring'!$B$7+L55*'Criteria &amp; Scoring'!$B$8+M55*'Criteria &amp; Scoring'!$B$9+N55*'Criteria &amp; Scoring'!$B$10+O55*'Criteria &amp; Scoring'!$B$11)/SUM('Criteria &amp; Scoring'!$B$5:$B$11),2)</x:f>
        <x:v>3.95</x:v>
      </x:c>
      <x:c r="AE55" s="32" t="n">
        <x:f>ROUND((P55*'Criteria &amp; Scoring'!$B$5+Q55*'Criteria &amp; Scoring'!$B$6+R55*'Criteria &amp; Scoring'!$B$7+S55*'Criteria &amp; Scoring'!$B$8+T55*'Criteria &amp; Scoring'!$B$9+U55*'Criteria &amp; Scoring'!$B$10+V55*'Criteria &amp; Scoring'!$B$11)/SUM('Criteria &amp; Scoring'!$B$5:$B$11),2)</x:f>
        <x:v>3.99</x:v>
      </x:c>
      <x:c r="AF55" s="32" t="n">
        <x:f>ROUND((W55*'Criteria &amp; Scoring'!$B$5+X55*'Criteria &amp; Scoring'!$B$6+Y55*'Criteria &amp; Scoring'!$B$7+Z55*'Criteria &amp; Scoring'!$B$8+AA55*'Criteria &amp; Scoring'!$B$9+AB55*'Criteria &amp; Scoring'!$B$10+AC55*'Criteria &amp; Scoring'!$B$11)/SUM('Criteria &amp; Scoring'!$B$5:$B$11),2)</x:f>
        <x:v>4.02</x:v>
      </x:c>
      <x:c r="AG55" s="32" t="str">
        <x:f>IF(LARGE(AD55:AF55,1)-LARGE(AD55:AF55,2)&lt;0.15,"Context-dependent tie",SUBSTITUTE(INDEX($AD$4:$AF$4,1,MATCH(MAX(AD55:AF55),AD55:AF55,0))," Overall",""))</x:f>
        <x:v>Context-dependent tie</x:v>
      </x:c>
      <x:c r="AH55" s="32" t="str">
        <x:f>IF(AG55="AWS","Start with AWS when infrastructure breadth, native integration and operational maturity are the main differentiators.",IF(AG55="Azure","Start with Azure when Microsoft identity, security, data, productivity or hybrid integration reduces delivery effort.",IF(AG55="GCP","Start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55" s="32" t="str">
        <x:v>High</x:v>
      </x:c>
      <x:c r="AJ55" s="32" t="str">
        <x:v>2026-07-12</x:v>
      </x:c>
    </x:row>
    <x:row r="56">
      <x:c r="A56" s="32" t="str">
        <x:v>Text-to-speech</x:v>
      </x:c>
      <x:c r="B56" s="32" t="str">
        <x:v>07 AI &amp; Intelligent Systems</x:v>
      </x:c>
      <x:c r="C56" s="32" t="str">
        <x:v>Prebuilt Cognitive AI Services</x:v>
      </x:c>
      <x:c r="D56" s="32" t="str">
        <x:v>Workload</x:v>
      </x:c>
      <x:c r="E56" s="32" t="str">
        <x:v>What business outcome, scale, control, integration and operating model justify choosing text-to-speech?</x:v>
      </x:c>
      <x:c r="F56" s="32" t="str">
        <x:v>Amazon Polly</x:v>
      </x:c>
      <x:c r="G56" s="32" t="str">
        <x:v>Azure Speech</x:v>
      </x:c>
      <x:c r="H56" s="32" t="str">
        <x:v>Text-to-Speech</x:v>
      </x:c>
      <x:c r="I56" s="32" t="n">
        <x:v>4.2</x:v>
      </x:c>
      <x:c r="J56" s="32" t="n">
        <x:v>3</x:v>
      </x:c>
      <x:c r="K56" s="32" t="n">
        <x:v>4.4</x:v>
      </x:c>
      <x:c r="L56" s="32" t="n">
        <x:v>4.3</x:v>
      </x:c>
      <x:c r="M56" s="32" t="n">
        <x:v>3.5</x:v>
      </x:c>
      <x:c r="N56" s="32" t="n">
        <x:v>4.6</x:v>
      </x:c>
      <x:c r="O56" s="32" t="n">
        <x:v>3.7</x:v>
      </x:c>
      <x:c r="P56" s="32" t="n">
        <x:v>4.2</x:v>
      </x:c>
      <x:c r="Q56" s="32" t="n">
        <x:v>3</x:v>
      </x:c>
      <x:c r="R56" s="32" t="n">
        <x:v>4.5</x:v>
      </x:c>
      <x:c r="S56" s="32" t="n">
        <x:v>4.5</x:v>
      </x:c>
      <x:c r="T56" s="32" t="n">
        <x:v>3.5</x:v>
      </x:c>
      <x:c r="U56" s="32" t="n">
        <x:v>4.5</x:v>
      </x:c>
      <x:c r="V56" s="32" t="n">
        <x:v>3.8</x:v>
      </x:c>
      <x:c r="W56" s="32" t="n">
        <x:v>4.2</x:v>
      </x:c>
      <x:c r="X56" s="32" t="n">
        <x:v>3</x:v>
      </x:c>
      <x:c r="Y56" s="32" t="n">
        <x:v>4.5</x:v>
      </x:c>
      <x:c r="Z56" s="32" t="n">
        <x:v>4.7</x:v>
      </x:c>
      <x:c r="AA56" s="32" t="n">
        <x:v>3.5</x:v>
      </x:c>
      <x:c r="AB56" s="32" t="n">
        <x:v>4.4</x:v>
      </x:c>
      <x:c r="AC56" s="32" t="n">
        <x:v>3.9</x:v>
      </x:c>
      <x:c r="AD56" s="32" t="n">
        <x:f>ROUND((I56*'Criteria &amp; Scoring'!$B$5+J56*'Criteria &amp; Scoring'!$B$6+K56*'Criteria &amp; Scoring'!$B$7+L56*'Criteria &amp; Scoring'!$B$8+M56*'Criteria &amp; Scoring'!$B$9+N56*'Criteria &amp; Scoring'!$B$10+O56*'Criteria &amp; Scoring'!$B$11)/SUM('Criteria &amp; Scoring'!$B$5:$B$11),2)</x:f>
        <x:v>3.95</x:v>
      </x:c>
      <x:c r="AE56" s="32" t="n">
        <x:f>ROUND((P56*'Criteria &amp; Scoring'!$B$5+Q56*'Criteria &amp; Scoring'!$B$6+R56*'Criteria &amp; Scoring'!$B$7+S56*'Criteria &amp; Scoring'!$B$8+T56*'Criteria &amp; Scoring'!$B$9+U56*'Criteria &amp; Scoring'!$B$10+V56*'Criteria &amp; Scoring'!$B$11)/SUM('Criteria &amp; Scoring'!$B$5:$B$11),2)</x:f>
        <x:v>3.99</x:v>
      </x:c>
      <x:c r="AF56" s="32" t="n">
        <x:f>ROUND((W56*'Criteria &amp; Scoring'!$B$5+X56*'Criteria &amp; Scoring'!$B$6+Y56*'Criteria &amp; Scoring'!$B$7+Z56*'Criteria &amp; Scoring'!$B$8+AA56*'Criteria &amp; Scoring'!$B$9+AB56*'Criteria &amp; Scoring'!$B$10+AC56*'Criteria &amp; Scoring'!$B$11)/SUM('Criteria &amp; Scoring'!$B$5:$B$11),2)</x:f>
        <x:v>4.02</x:v>
      </x:c>
      <x:c r="AG56" s="32" t="str">
        <x:f>IF(LARGE(AD56:AF56,1)-LARGE(AD56:AF56,2)&lt;0.15,"Context-dependent tie",SUBSTITUTE(INDEX($AD$4:$AF$4,1,MATCH(MAX(AD56:AF56),AD56:AF56,0))," Overall",""))</x:f>
        <x:v>Context-dependent tie</x:v>
      </x:c>
      <x:c r="AH56" s="32" t="str">
        <x:f>IF(AG56="AWS","Start with AWS when infrastructure breadth, native integration and operational maturity are the main differentiators.",IF(AG56="Azure","Start with Azure when Microsoft identity, security, data, productivity or hybrid integration reduces delivery effort.",IF(AG56="GCP","Start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56" s="32" t="str">
        <x:v>High</x:v>
      </x:c>
      <x:c r="AJ56" s="32" t="str">
        <x:v>2026-07-12</x:v>
      </x:c>
    </x:row>
    <x:row r="57">
      <x:c r="A57" s="32" t="str">
        <x:v>Image analysis</x:v>
      </x:c>
      <x:c r="B57" s="32" t="str">
        <x:v>07 AI &amp; Intelligent Systems</x:v>
      </x:c>
      <x:c r="C57" s="32" t="str">
        <x:v>Prebuilt Cognitive AI Services</x:v>
      </x:c>
      <x:c r="D57" s="32" t="str">
        <x:v>Workload</x:v>
      </x:c>
      <x:c r="E57" s="32" t="str">
        <x:v>What business outcome, scale, control, integration and operating model justify choosing image analysis?</x:v>
      </x:c>
      <x:c r="F57" s="32" t="str">
        <x:v>Amazon Rekognition</x:v>
      </x:c>
      <x:c r="G57" s="32" t="str">
        <x:v>Azure Vision</x:v>
      </x:c>
      <x:c r="H57" s="32" t="str">
        <x:v>Cloud Vision API</x:v>
      </x:c>
      <x:c r="I57" s="32" t="n">
        <x:v>4.2</x:v>
      </x:c>
      <x:c r="J57" s="32" t="n">
        <x:v>3</x:v>
      </x:c>
      <x:c r="K57" s="32" t="n">
        <x:v>4.4</x:v>
      </x:c>
      <x:c r="L57" s="32" t="n">
        <x:v>4.3</x:v>
      </x:c>
      <x:c r="M57" s="32" t="n">
        <x:v>3.5</x:v>
      </x:c>
      <x:c r="N57" s="32" t="n">
        <x:v>4.6</x:v>
      </x:c>
      <x:c r="O57" s="32" t="n">
        <x:v>3.7</x:v>
      </x:c>
      <x:c r="P57" s="32" t="n">
        <x:v>4.2</x:v>
      </x:c>
      <x:c r="Q57" s="32" t="n">
        <x:v>3</x:v>
      </x:c>
      <x:c r="R57" s="32" t="n">
        <x:v>4.5</x:v>
      </x:c>
      <x:c r="S57" s="32" t="n">
        <x:v>4.5</x:v>
      </x:c>
      <x:c r="T57" s="32" t="n">
        <x:v>3.5</x:v>
      </x:c>
      <x:c r="U57" s="32" t="n">
        <x:v>4.5</x:v>
      </x:c>
      <x:c r="V57" s="32" t="n">
        <x:v>3.8</x:v>
      </x:c>
      <x:c r="W57" s="32" t="n">
        <x:v>4.2</x:v>
      </x:c>
      <x:c r="X57" s="32" t="n">
        <x:v>3</x:v>
      </x:c>
      <x:c r="Y57" s="32" t="n">
        <x:v>4.5</x:v>
      </x:c>
      <x:c r="Z57" s="32" t="n">
        <x:v>4.7</x:v>
      </x:c>
      <x:c r="AA57" s="32" t="n">
        <x:v>3.5</x:v>
      </x:c>
      <x:c r="AB57" s="32" t="n">
        <x:v>4.4</x:v>
      </x:c>
      <x:c r="AC57" s="32" t="n">
        <x:v>3.9</x:v>
      </x:c>
      <x:c r="AD57" s="32" t="n">
        <x:f>ROUND((I57*'Criteria &amp; Scoring'!$B$5+J57*'Criteria &amp; Scoring'!$B$6+K57*'Criteria &amp; Scoring'!$B$7+L57*'Criteria &amp; Scoring'!$B$8+M57*'Criteria &amp; Scoring'!$B$9+N57*'Criteria &amp; Scoring'!$B$10+O57*'Criteria &amp; Scoring'!$B$11)/SUM('Criteria &amp; Scoring'!$B$5:$B$11),2)</x:f>
        <x:v>3.95</x:v>
      </x:c>
      <x:c r="AE57" s="32" t="n">
        <x:f>ROUND((P57*'Criteria &amp; Scoring'!$B$5+Q57*'Criteria &amp; Scoring'!$B$6+R57*'Criteria &amp; Scoring'!$B$7+S57*'Criteria &amp; Scoring'!$B$8+T57*'Criteria &amp; Scoring'!$B$9+U57*'Criteria &amp; Scoring'!$B$10+V57*'Criteria &amp; Scoring'!$B$11)/SUM('Criteria &amp; Scoring'!$B$5:$B$11),2)</x:f>
        <x:v>3.99</x:v>
      </x:c>
      <x:c r="AF57" s="32" t="n">
        <x:f>ROUND((W57*'Criteria &amp; Scoring'!$B$5+X57*'Criteria &amp; Scoring'!$B$6+Y57*'Criteria &amp; Scoring'!$B$7+Z57*'Criteria &amp; Scoring'!$B$8+AA57*'Criteria &amp; Scoring'!$B$9+AB57*'Criteria &amp; Scoring'!$B$10+AC57*'Criteria &amp; Scoring'!$B$11)/SUM('Criteria &amp; Scoring'!$B$5:$B$11),2)</x:f>
        <x:v>4.02</x:v>
      </x:c>
      <x:c r="AG57" s="32" t="str">
        <x:f>IF(LARGE(AD57:AF57,1)-LARGE(AD57:AF57,2)&lt;0.15,"Context-dependent tie",SUBSTITUTE(INDEX($AD$4:$AF$4,1,MATCH(MAX(AD57:AF57),AD57:AF57,0))," Overall",""))</x:f>
        <x:v>Context-dependent tie</x:v>
      </x:c>
      <x:c r="AH57" s="32" t="str">
        <x:f>IF(AG57="AWS","Start with AWS when infrastructure breadth, native integration and operational maturity are the main differentiators.",IF(AG57="Azure","Start with Azure when Microsoft identity, security, data, productivity or hybrid integration reduces delivery effort.",IF(AG57="GCP","Start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57" s="32" t="str">
        <x:v>High</x:v>
      </x:c>
      <x:c r="AJ57" s="32" t="str">
        <x:v>2026-07-12</x:v>
      </x:c>
    </x:row>
    <x:row r="58">
      <x:c r="A58" s="32" t="str">
        <x:v>Video intelligence</x:v>
      </x:c>
      <x:c r="B58" s="32" t="str">
        <x:v>07 AI &amp; Intelligent Systems</x:v>
      </x:c>
      <x:c r="C58" s="32" t="str">
        <x:v>Industry &amp; Applied AI</x:v>
      </x:c>
      <x:c r="D58" s="32" t="str">
        <x:v>Workload</x:v>
      </x:c>
      <x:c r="E58" s="32" t="str">
        <x:v>What business outcome, scale, control, integration and operating model justify choosing video intelligence?</x:v>
      </x:c>
      <x:c r="F58" s="32" t="str">
        <x:v>Amazon Rekognition Video</x:v>
      </x:c>
      <x:c r="G58" s="32" t="str">
        <x:v>Azure AI Video Indexer
Azure Content Understanding</x:v>
      </x:c>
      <x:c r="H58" s="32" t="str">
        <x:v>Video Intelligence API
Agent Platform Vision</x:v>
      </x:c>
      <x:c r="I58" s="32" t="n">
        <x:v>4</x:v>
      </x:c>
      <x:c r="J58" s="32" t="n">
        <x:v>3</x:v>
      </x:c>
      <x:c r="K58" s="32" t="n">
        <x:v>4.3</x:v>
      </x:c>
      <x:c r="L58" s="32" t="n">
        <x:v>4.3</x:v>
      </x:c>
      <x:c r="M58" s="32" t="n">
        <x:v>3.5</x:v>
      </x:c>
      <x:c r="N58" s="32" t="n">
        <x:v>4.5</x:v>
      </x:c>
      <x:c r="O58" s="32" t="n">
        <x:v>3.7</x:v>
      </x:c>
      <x:c r="P58" s="32" t="n">
        <x:v>3.9</x:v>
      </x:c>
      <x:c r="Q58" s="32" t="n">
        <x:v>2.9</x:v>
      </x:c>
      <x:c r="R58" s="32" t="n">
        <x:v>4.4</x:v>
      </x:c>
      <x:c r="S58" s="32" t="n">
        <x:v>4.4</x:v>
      </x:c>
      <x:c r="T58" s="32" t="n">
        <x:v>3.5</x:v>
      </x:c>
      <x:c r="U58" s="32" t="n">
        <x:v>4.3</x:v>
      </x:c>
      <x:c r="V58" s="32" t="n">
        <x:v>3.7</x:v>
      </x:c>
      <x:c r="W58" s="32" t="n">
        <x:v>3.9</x:v>
      </x:c>
      <x:c r="X58" s="32" t="n">
        <x:v>2.9</x:v>
      </x:c>
      <x:c r="Y58" s="32" t="n">
        <x:v>4.3</x:v>
      </x:c>
      <x:c r="Z58" s="32" t="n">
        <x:v>4.6</x:v>
      </x:c>
      <x:c r="AA58" s="32" t="n">
        <x:v>3.5</x:v>
      </x:c>
      <x:c r="AB58" s="32" t="n">
        <x:v>4.2</x:v>
      </x:c>
      <x:c r="AC58" s="32" t="n">
        <x:v>3.8</x:v>
      </x:c>
      <x:c r="AD58" s="32" t="n">
        <x:f>ROUND((I58*'Criteria &amp; Scoring'!$B$5+J58*'Criteria &amp; Scoring'!$B$6+K58*'Criteria &amp; Scoring'!$B$7+L58*'Criteria &amp; Scoring'!$B$8+M58*'Criteria &amp; Scoring'!$B$9+N58*'Criteria &amp; Scoring'!$B$10+O58*'Criteria &amp; Scoring'!$B$11)/SUM('Criteria &amp; Scoring'!$B$5:$B$11),2)</x:f>
        <x:v>3.88</x:v>
      </x:c>
      <x:c r="AE58" s="32" t="n">
        <x:f>ROUND((P58*'Criteria &amp; Scoring'!$B$5+Q58*'Criteria &amp; Scoring'!$B$6+R58*'Criteria &amp; Scoring'!$B$7+S58*'Criteria &amp; Scoring'!$B$8+T58*'Criteria &amp; Scoring'!$B$9+U58*'Criteria &amp; Scoring'!$B$10+V58*'Criteria &amp; Scoring'!$B$11)/SUM('Criteria &amp; Scoring'!$B$5:$B$11),2)</x:f>
        <x:v>3.84</x:v>
      </x:c>
      <x:c r="AF58" s="32" t="n">
        <x:f>ROUND((W58*'Criteria &amp; Scoring'!$B$5+X58*'Criteria &amp; Scoring'!$B$6+Y58*'Criteria &amp; Scoring'!$B$7+Z58*'Criteria &amp; Scoring'!$B$8+AA58*'Criteria &amp; Scoring'!$B$9+AB58*'Criteria &amp; Scoring'!$B$10+AC58*'Criteria &amp; Scoring'!$B$11)/SUM('Criteria &amp; Scoring'!$B$5:$B$11),2)</x:f>
        <x:v>3.85</x:v>
      </x:c>
      <x:c r="AG58" s="32" t="str">
        <x:f>IF(LARGE(AD58:AF58,1)-LARGE(AD58:AF58,2)&lt;0.15,"Context-dependent tie",SUBSTITUTE(INDEX($AD$4:$AF$4,1,MATCH(MAX(AD58:AF58),AD58:AF58,0))," Overall",""))</x:f>
        <x:v>Context-dependent tie</x:v>
      </x:c>
      <x:c r="AH58" s="32" t="str">
        <x:f>IF(AG58="AWS","Start with AWS when infrastructure breadth, native integration and operational maturity are the main differentiators.",IF(AG58="Azure","Start with Azure when Microsoft identity, security, data, productivity or hybrid integration reduces delivery effort.",IF(AG58="GCP","Start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58" s="32" t="str">
        <x:v>Medium</x:v>
      </x:c>
      <x:c r="AJ58" s="32" t="str">
        <x:v>2026-07-12</x:v>
      </x:c>
    </x:row>
    <x:row r="59">
      <x:c r="A59" s="32" t="str">
        <x:v>Document extraction and OCR</x:v>
      </x:c>
      <x:c r="B59" s="32" t="str">
        <x:v>07 AI &amp; Intelligent Systems</x:v>
      </x:c>
      <x:c r="C59" s="32" t="str">
        <x:v>Prebuilt Cognitive AI Services</x:v>
      </x:c>
      <x:c r="D59" s="32" t="str">
        <x:v>Workload</x:v>
      </x:c>
      <x:c r="E59" s="32" t="str">
        <x:v>What business outcome, scale, control, integration and operating model justify choosing document extraction and ocr?</x:v>
      </x:c>
      <x:c r="F59" s="32" t="str">
        <x:v>Amazon Textract</x:v>
      </x:c>
      <x:c r="G59" s="32" t="str">
        <x:v>Azure Document Intelligence
Azure Content Understanding</x:v>
      </x:c>
      <x:c r="H59" s="32" t="str">
        <x:v>Document AI</x:v>
      </x:c>
      <x:c r="I59" s="32" t="n">
        <x:v>4.2</x:v>
      </x:c>
      <x:c r="J59" s="32" t="n">
        <x:v>3</x:v>
      </x:c>
      <x:c r="K59" s="32" t="n">
        <x:v>4.4</x:v>
      </x:c>
      <x:c r="L59" s="32" t="n">
        <x:v>4.3</x:v>
      </x:c>
      <x:c r="M59" s="32" t="n">
        <x:v>3.5</x:v>
      </x:c>
      <x:c r="N59" s="32" t="n">
        <x:v>4.6</x:v>
      </x:c>
      <x:c r="O59" s="32" t="n">
        <x:v>3.7</x:v>
      </x:c>
      <x:c r="P59" s="32" t="n">
        <x:v>4</x:v>
      </x:c>
      <x:c r="Q59" s="32" t="n">
        <x:v>2.9</x:v>
      </x:c>
      <x:c r="R59" s="32" t="n">
        <x:v>4.5</x:v>
      </x:c>
      <x:c r="S59" s="32" t="n">
        <x:v>4.4</x:v>
      </x:c>
      <x:c r="T59" s="32" t="n">
        <x:v>3.5</x:v>
      </x:c>
      <x:c r="U59" s="32" t="n">
        <x:v>4.4</x:v>
      </x:c>
      <x:c r="V59" s="32" t="n">
        <x:v>3.7</x:v>
      </x:c>
      <x:c r="W59" s="32" t="n">
        <x:v>4.2</x:v>
      </x:c>
      <x:c r="X59" s="32" t="n">
        <x:v>3</x:v>
      </x:c>
      <x:c r="Y59" s="32" t="n">
        <x:v>4.5</x:v>
      </x:c>
      <x:c r="Z59" s="32" t="n">
        <x:v>4.7</x:v>
      </x:c>
      <x:c r="AA59" s="32" t="n">
        <x:v>3.5</x:v>
      </x:c>
      <x:c r="AB59" s="32" t="n">
        <x:v>4.4</x:v>
      </x:c>
      <x:c r="AC59" s="32" t="n">
        <x:v>3.9</x:v>
      </x:c>
      <x:c r="AD59" s="32" t="n">
        <x:f>ROUND((I59*'Criteria &amp; Scoring'!$B$5+J59*'Criteria &amp; Scoring'!$B$6+K59*'Criteria &amp; Scoring'!$B$7+L59*'Criteria &amp; Scoring'!$B$8+M59*'Criteria &amp; Scoring'!$B$9+N59*'Criteria &amp; Scoring'!$B$10+O59*'Criteria &amp; Scoring'!$B$11)/SUM('Criteria &amp; Scoring'!$B$5:$B$11),2)</x:f>
        <x:v>3.95</x:v>
      </x:c>
      <x:c r="AE59" s="32" t="n">
        <x:f>ROUND((P59*'Criteria &amp; Scoring'!$B$5+Q59*'Criteria &amp; Scoring'!$B$6+R59*'Criteria &amp; Scoring'!$B$7+S59*'Criteria &amp; Scoring'!$B$8+T59*'Criteria &amp; Scoring'!$B$9+U59*'Criteria &amp; Scoring'!$B$10+V59*'Criteria &amp; Scoring'!$B$11)/SUM('Criteria &amp; Scoring'!$B$5:$B$11),2)</x:f>
        <x:v>3.89</x:v>
      </x:c>
      <x:c r="AF59" s="32" t="n">
        <x:f>ROUND((W59*'Criteria &amp; Scoring'!$B$5+X59*'Criteria &amp; Scoring'!$B$6+Y59*'Criteria &amp; Scoring'!$B$7+Z59*'Criteria &amp; Scoring'!$B$8+AA59*'Criteria &amp; Scoring'!$B$9+AB59*'Criteria &amp; Scoring'!$B$10+AC59*'Criteria &amp; Scoring'!$B$11)/SUM('Criteria &amp; Scoring'!$B$5:$B$11),2)</x:f>
        <x:v>4.02</x:v>
      </x:c>
      <x:c r="AG59" s="32" t="str">
        <x:f>IF(LARGE(AD59:AF59,1)-LARGE(AD59:AF59,2)&lt;0.15,"Context-dependent tie",SUBSTITUTE(INDEX($AD$4:$AF$4,1,MATCH(MAX(AD59:AF59),AD59:AF59,0))," Overall",""))</x:f>
        <x:v>Context-dependent tie</x:v>
      </x:c>
      <x:c r="AH59" s="32" t="str">
        <x:f>IF(AG59="AWS","Start with AWS when infrastructure breadth, native integration and operational maturity are the main differentiators.",IF(AG59="Azure","Start with Azure when Microsoft identity, security, data, productivity or hybrid integration reduces delivery effort.",IF(AG59="GCP","Start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59" s="32" t="str">
        <x:v>High</x:v>
      </x:c>
      <x:c r="AJ59" s="32" t="str">
        <x:v>2026-07-12</x:v>
      </x:c>
    </x:row>
    <x:row r="60">
      <x:c r="A60" s="32" t="str">
        <x:v>Conversational bot platform</x:v>
      </x:c>
      <x:c r="B60" s="32" t="str">
        <x:v>07 AI &amp; Intelligent Systems</x:v>
      </x:c>
      <x:c r="C60" s="32" t="str">
        <x:v>Prebuilt Cognitive AI Services</x:v>
      </x:c>
      <x:c r="D60" s="32" t="str">
        <x:v>Platform</x:v>
      </x:c>
      <x:c r="E60" s="32" t="str">
        <x:v>What business outcome, scale, control, integration and operating model justify choosing conversational bot platform?</x:v>
      </x:c>
      <x:c r="F60" s="32" t="str">
        <x:v>Amazon Lex</x:v>
      </x:c>
      <x:c r="G60" s="32" t="str">
        <x:v>Azure AI Bot Service
Azure Language</x:v>
      </x:c>
      <x:c r="H60" s="32" t="str">
        <x:v>Conversational Agents (Dialogflow CX)
Dialogflow ES</x:v>
      </x:c>
      <x:c r="I60" s="32" t="n">
        <x:v>4</x:v>
      </x:c>
      <x:c r="J60" s="32" t="n">
        <x:v>3</x:v>
      </x:c>
      <x:c r="K60" s="32" t="n">
        <x:v>4.3</x:v>
      </x:c>
      <x:c r="L60" s="32" t="n">
        <x:v>4.3</x:v>
      </x:c>
      <x:c r="M60" s="32" t="n">
        <x:v>3.5</x:v>
      </x:c>
      <x:c r="N60" s="32" t="n">
        <x:v>4.5</x:v>
      </x:c>
      <x:c r="O60" s="32" t="n">
        <x:v>3.7</x:v>
      </x:c>
      <x:c r="P60" s="32" t="n">
        <x:v>3.9</x:v>
      </x:c>
      <x:c r="Q60" s="32" t="n">
        <x:v>2.9</x:v>
      </x:c>
      <x:c r="R60" s="32" t="n">
        <x:v>4.4</x:v>
      </x:c>
      <x:c r="S60" s="32" t="n">
        <x:v>4.4</x:v>
      </x:c>
      <x:c r="T60" s="32" t="n">
        <x:v>3.5</x:v>
      </x:c>
      <x:c r="U60" s="32" t="n">
        <x:v>4.3</x:v>
      </x:c>
      <x:c r="V60" s="32" t="n">
        <x:v>3.7</x:v>
      </x:c>
      <x:c r="W60" s="32" t="n">
        <x:v>3.9</x:v>
      </x:c>
      <x:c r="X60" s="32" t="n">
        <x:v>2.9</x:v>
      </x:c>
      <x:c r="Y60" s="32" t="n">
        <x:v>4.3</x:v>
      </x:c>
      <x:c r="Z60" s="32" t="n">
        <x:v>4.6</x:v>
      </x:c>
      <x:c r="AA60" s="32" t="n">
        <x:v>3.5</x:v>
      </x:c>
      <x:c r="AB60" s="32" t="n">
        <x:v>4.2</x:v>
      </x:c>
      <x:c r="AC60" s="32" t="n">
        <x:v>3.8</x:v>
      </x:c>
      <x:c r="AD60" s="32" t="n">
        <x:f>ROUND((I60*'Criteria &amp; Scoring'!$B$5+J60*'Criteria &amp; Scoring'!$B$6+K60*'Criteria &amp; Scoring'!$B$7+L60*'Criteria &amp; Scoring'!$B$8+M60*'Criteria &amp; Scoring'!$B$9+N60*'Criteria &amp; Scoring'!$B$10+O60*'Criteria &amp; Scoring'!$B$11)/SUM('Criteria &amp; Scoring'!$B$5:$B$11),2)</x:f>
        <x:v>3.88</x:v>
      </x:c>
      <x:c r="AE60" s="32" t="n">
        <x:f>ROUND((P60*'Criteria &amp; Scoring'!$B$5+Q60*'Criteria &amp; Scoring'!$B$6+R60*'Criteria &amp; Scoring'!$B$7+S60*'Criteria &amp; Scoring'!$B$8+T60*'Criteria &amp; Scoring'!$B$9+U60*'Criteria &amp; Scoring'!$B$10+V60*'Criteria &amp; Scoring'!$B$11)/SUM('Criteria &amp; Scoring'!$B$5:$B$11),2)</x:f>
        <x:v>3.84</x:v>
      </x:c>
      <x:c r="AF60" s="32" t="n">
        <x:f>ROUND((W60*'Criteria &amp; Scoring'!$B$5+X60*'Criteria &amp; Scoring'!$B$6+Y60*'Criteria &amp; Scoring'!$B$7+Z60*'Criteria &amp; Scoring'!$B$8+AA60*'Criteria &amp; Scoring'!$B$9+AB60*'Criteria &amp; Scoring'!$B$10+AC60*'Criteria &amp; Scoring'!$B$11)/SUM('Criteria &amp; Scoring'!$B$5:$B$11),2)</x:f>
        <x:v>3.85</x:v>
      </x:c>
      <x:c r="AG60" s="32" t="str">
        <x:f>IF(LARGE(AD60:AF60,1)-LARGE(AD60:AF60,2)&lt;0.15,"Context-dependent tie",SUBSTITUTE(INDEX($AD$4:$AF$4,1,MATCH(MAX(AD60:AF60),AD60:AF60,0))," Overall",""))</x:f>
        <x:v>Context-dependent tie</x:v>
      </x:c>
      <x:c r="AH60" s="32" t="str">
        <x:f>IF(AG60="AWS","Start with AWS when infrastructure breadth, native integration and operational maturity are the main differentiators.",IF(AG60="Azure","Start with Azure when Microsoft identity, security, data, productivity or hybrid integration reduces delivery effort.",IF(AG60="GCP","Start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60" s="32" t="str">
        <x:v>Medium</x:v>
      </x:c>
      <x:c r="AJ60" s="32" t="str">
        <x:v>2026-07-12</x:v>
      </x:c>
    </x:row>
    <x:row r="61">
      <x:c r="A61" s="32" t="str">
        <x:v>Agent assistance and conversation analytics</x:v>
      </x:c>
      <x:c r="B61" s="32" t="str">
        <x:v>07 AI &amp; Intelligent Systems</x:v>
      </x:c>
      <x:c r="C61" s="32" t="str">
        <x:v>Agents, RAG &amp; Enterprise Search</x:v>
      </x:c>
      <x:c r="D61" s="32" t="str">
        <x:v>Workload</x:v>
      </x:c>
      <x:c r="E61" s="32" t="str">
        <x:v>What must the system retrieve, reason over, call as tools, govern and observe?</x:v>
      </x:c>
      <x:c r="F61" s="32" t="str">
        <x:v>Amazon Connect
Amazon Q in Connect
Contact Lens</x:v>
      </x:c>
      <x:c r="G61" s="32" t="str">
        <x:v>Dynamics 365 Contact Center
Azure Communication Services
Microsoft Foundry</x:v>
      </x:c>
      <x:c r="H61" s="32" t="str">
        <x:v>Agent Assist
Customer Experience Insights
Google Cloud CCaaS</x:v>
      </x:c>
      <x:c r="I61" s="32" t="n">
        <x:v>3.4</x:v>
      </x:c>
      <x:c r="J61" s="32" t="n">
        <x:v>2.9</x:v>
      </x:c>
      <x:c r="K61" s="32" t="n">
        <x:v>4</x:v>
      </x:c>
      <x:c r="L61" s="32" t="n">
        <x:v>4.3</x:v>
      </x:c>
      <x:c r="M61" s="32" t="n">
        <x:v>3.5</x:v>
      </x:c>
      <x:c r="N61" s="32" t="n">
        <x:v>4.2</x:v>
      </x:c>
      <x:c r="O61" s="32" t="n">
        <x:v>3.6</x:v>
      </x:c>
      <x:c r="P61" s="32" t="n">
        <x:v>3.4</x:v>
      </x:c>
      <x:c r="Q61" s="32" t="n">
        <x:v>2.9</x:v>
      </x:c>
      <x:c r="R61" s="32" t="n">
        <x:v>4.1</x:v>
      </x:c>
      <x:c r="S61" s="32" t="n">
        <x:v>4.4</x:v>
      </x:c>
      <x:c r="T61" s="32" t="n">
        <x:v>3.5</x:v>
      </x:c>
      <x:c r="U61" s="32" t="n">
        <x:v>4.1</x:v>
      </x:c>
      <x:c r="V61" s="32" t="n">
        <x:v>3.7</x:v>
      </x:c>
      <x:c r="W61" s="32" t="n">
        <x:v>3.9</x:v>
      </x:c>
      <x:c r="X61" s="32" t="n">
        <x:v>2.9</x:v>
      </x:c>
      <x:c r="Y61" s="32" t="n">
        <x:v>4.1</x:v>
      </x:c>
      <x:c r="Z61" s="32" t="n">
        <x:v>4.8</x:v>
      </x:c>
      <x:c r="AA61" s="32" t="n">
        <x:v>3.5</x:v>
      </x:c>
      <x:c r="AB61" s="32" t="n">
        <x:v>4</x:v>
      </x:c>
      <x:c r="AC61" s="32" t="n">
        <x:v>3.8</x:v>
      </x:c>
      <x:c r="AD61" s="32" t="n">
        <x:f>ROUND((I61*'Criteria &amp; Scoring'!$B$5+J61*'Criteria &amp; Scoring'!$B$6+K61*'Criteria &amp; Scoring'!$B$7+L61*'Criteria &amp; Scoring'!$B$8+M61*'Criteria &amp; Scoring'!$B$9+N61*'Criteria &amp; Scoring'!$B$10+O61*'Criteria &amp; Scoring'!$B$11)/SUM('Criteria &amp; Scoring'!$B$5:$B$11),2)</x:f>
        <x:v>3.63</x:v>
      </x:c>
      <x:c r="AE61" s="32" t="n">
        <x:f>ROUND((P61*'Criteria &amp; Scoring'!$B$5+Q61*'Criteria &amp; Scoring'!$B$6+R61*'Criteria &amp; Scoring'!$B$7+S61*'Criteria &amp; Scoring'!$B$8+T61*'Criteria &amp; Scoring'!$B$9+U61*'Criteria &amp; Scoring'!$B$10+V61*'Criteria &amp; Scoring'!$B$11)/SUM('Criteria &amp; Scoring'!$B$5:$B$11),2)</x:f>
        <x:v>3.65</x:v>
      </x:c>
      <x:c r="AF61" s="32" t="n">
        <x:f>ROUND((W61*'Criteria &amp; Scoring'!$B$5+X61*'Criteria &amp; Scoring'!$B$6+Y61*'Criteria &amp; Scoring'!$B$7+Z61*'Criteria &amp; Scoring'!$B$8+AA61*'Criteria &amp; Scoring'!$B$9+AB61*'Criteria &amp; Scoring'!$B$10+AC61*'Criteria &amp; Scoring'!$B$11)/SUM('Criteria &amp; Scoring'!$B$5:$B$11),2)</x:f>
        <x:v>3.83</x:v>
      </x:c>
      <x:c r="AG61" s="32" t="str">
        <x:f>IF(LARGE(AD61:AF61,1)-LARGE(AD61:AF61,2)&lt;0.15,"Context-dependent tie",SUBSTITUTE(INDEX($AD$4:$AF$4,1,MATCH(MAX(AD61:AF61),AD61:AF61,0))," Overall",""))</x:f>
        <x:v>GCP</x:v>
      </x:c>
      <x:c r="AH61" s="32" t="str">
        <x:f>IF(AG61="AWS","Start with AWS when infrastructure breadth, native integration and operational maturity are the main differentiators.",IF(AG61="Azure","Start with Azure when Microsoft identity, security, data, productivity or hybrid integration reduces delivery effort.",IF(AG61="GCP","Start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61" s="32" t="str">
        <x:v>Low</x:v>
      </x:c>
      <x:c r="AJ61" s="32" t="str">
        <x:v>2026-07-12</x:v>
      </x:c>
    </x:row>
    <x:row r="62">
      <x:c r="A62" s="32" t="str">
        <x:v>Managed recommendations</x:v>
      </x:c>
      <x:c r="B62" s="32" t="str">
        <x:v>07 AI &amp; Intelligent Systems</x:v>
      </x:c>
      <x:c r="C62" s="32" t="str">
        <x:v>Industry &amp; Applied AI</x:v>
      </x:c>
      <x:c r="D62" s="32" t="str">
        <x:v>Workload</x:v>
      </x:c>
      <x:c r="E62" s="32" t="str">
        <x:v>What business outcome, scale, control, integration and operating model justify choosing managed recommendations?</x:v>
      </x:c>
      <x:c r="F62" s="32" t="str">
        <x:v>Amazon Personalize</x:v>
      </x:c>
      <x:c r="G62" s="32" t="str">
        <x:v>Azure Machine Learning</x:v>
      </x:c>
      <x:c r="H62" s="32" t="str">
        <x:v>Recommendations AI / AI Commerce Search</x:v>
      </x:c>
      <x:c r="I62" s="32" t="n">
        <x:v>3.5</x:v>
      </x:c>
      <x:c r="J62" s="32" t="n">
        <x:v>3</x:v>
      </x:c>
      <x:c r="K62" s="32" t="n">
        <x:v>4.1</x:v>
      </x:c>
      <x:c r="L62" s="32" t="n">
        <x:v>4.3</x:v>
      </x:c>
      <x:c r="M62" s="32" t="n">
        <x:v>3.5</x:v>
      </x:c>
      <x:c r="N62" s="32" t="n">
        <x:v>4.3</x:v>
      </x:c>
      <x:c r="O62" s="32" t="n">
        <x:v>3.7</x:v>
      </x:c>
      <x:c r="P62" s="32" t="n">
        <x:v>3.5</x:v>
      </x:c>
      <x:c r="Q62" s="32" t="n">
        <x:v>3</x:v>
      </x:c>
      <x:c r="R62" s="32" t="n">
        <x:v>4.2</x:v>
      </x:c>
      <x:c r="S62" s="32" t="n">
        <x:v>4.5</x:v>
      </x:c>
      <x:c r="T62" s="32" t="n">
        <x:v>3.5</x:v>
      </x:c>
      <x:c r="U62" s="32" t="n">
        <x:v>4.2</x:v>
      </x:c>
      <x:c r="V62" s="32" t="n">
        <x:v>3.8</x:v>
      </x:c>
      <x:c r="W62" s="32" t="n">
        <x:v>3.4</x:v>
      </x:c>
      <x:c r="X62" s="32" t="n">
        <x:v>2.9</x:v>
      </x:c>
      <x:c r="Y62" s="32" t="n">
        <x:v>4.1</x:v>
      </x:c>
      <x:c r="Z62" s="32" t="n">
        <x:v>4.6</x:v>
      </x:c>
      <x:c r="AA62" s="32" t="n">
        <x:v>3.5</x:v>
      </x:c>
      <x:c r="AB62" s="32" t="n">
        <x:v>4</x:v>
      </x:c>
      <x:c r="AC62" s="32" t="n">
        <x:v>3.8</x:v>
      </x:c>
      <x:c r="AD62" s="32" t="n">
        <x:f>ROUND((I62*'Criteria &amp; Scoring'!$B$5+J62*'Criteria &amp; Scoring'!$B$6+K62*'Criteria &amp; Scoring'!$B$7+L62*'Criteria &amp; Scoring'!$B$8+M62*'Criteria &amp; Scoring'!$B$9+N62*'Criteria &amp; Scoring'!$B$10+O62*'Criteria &amp; Scoring'!$B$11)/SUM('Criteria &amp; Scoring'!$B$5:$B$11),2)</x:f>
        <x:v>3.7</x:v>
      </x:c>
      <x:c r="AE62" s="32" t="n">
        <x:f>ROUND((P62*'Criteria &amp; Scoring'!$B$5+Q62*'Criteria &amp; Scoring'!$B$6+R62*'Criteria &amp; Scoring'!$B$7+S62*'Criteria &amp; Scoring'!$B$8+T62*'Criteria &amp; Scoring'!$B$9+U62*'Criteria &amp; Scoring'!$B$10+V62*'Criteria &amp; Scoring'!$B$11)/SUM('Criteria &amp; Scoring'!$B$5:$B$11),2)</x:f>
        <x:v>3.74</x:v>
      </x:c>
      <x:c r="AF62" s="32" t="n">
        <x:f>ROUND((W62*'Criteria &amp; Scoring'!$B$5+X62*'Criteria &amp; Scoring'!$B$6+Y62*'Criteria &amp; Scoring'!$B$7+Z62*'Criteria &amp; Scoring'!$B$8+AA62*'Criteria &amp; Scoring'!$B$9+AB62*'Criteria &amp; Scoring'!$B$10+AC62*'Criteria &amp; Scoring'!$B$11)/SUM('Criteria &amp; Scoring'!$B$5:$B$11),2)</x:f>
        <x:v>3.68</x:v>
      </x:c>
      <x:c r="AG62" s="32" t="str">
        <x:f>IF(LARGE(AD62:AF62,1)-LARGE(AD62:AF62,2)&lt;0.15,"Context-dependent tie",SUBSTITUTE(INDEX($AD$4:$AF$4,1,MATCH(MAX(AD62:AF62),AD62:AF62,0))," Overall",""))</x:f>
        <x:v>Context-dependent tie</x:v>
      </x:c>
      <x:c r="AH62" s="32" t="str">
        <x:f>IF(AG62="AWS","Start with AWS when infrastructure breadth, native integration and operational maturity are the main differentiators.",IF(AG62="Azure","Start with Azure when Microsoft identity, security, data, productivity or hybrid integration reduces delivery effort.",IF(AG62="GCP","Start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62" s="32" t="str">
        <x:v>Low</x:v>
      </x:c>
      <x:c r="AJ62" s="32" t="str">
        <x:v>2026-07-12</x:v>
      </x:c>
    </x:row>
    <x:row r="63">
      <x:c r="A63" s="32" t="str">
        <x:v>Demand and time-series forecasting</x:v>
      </x:c>
      <x:c r="B63" s="32" t="str">
        <x:v>07 AI &amp; Intelligent Systems</x:v>
      </x:c>
      <x:c r="C63" s="32" t="str">
        <x:v>Industry &amp; Applied AI</x:v>
      </x:c>
      <x:c r="D63" s="32" t="str">
        <x:v>Workload</x:v>
      </x:c>
      <x:c r="E63" s="32" t="str">
        <x:v>What business outcome, scale, control, integration and operating model justify choosing demand and time-series forecasting?</x:v>
      </x:c>
      <x:c r="F63" s="32" t="str">
        <x:v>Amazon SageMaker AI
Amazon Forecast legacy</x:v>
      </x:c>
      <x:c r="G63" s="32" t="str">
        <x:v>Azure Machine Learning
Azure Databricks</x:v>
      </x:c>
      <x:c r="H63" s="32" t="str">
        <x:v>Vertex AI
BigQuery ML</x:v>
      </x:c>
      <x:c r="I63" s="32" t="n">
        <x:v>2.8</x:v>
      </x:c>
      <x:c r="J63" s="32" t="n">
        <x:v>2.6</x:v>
      </x:c>
      <x:c r="K63" s="32" t="n">
        <x:v>3.7</x:v>
      </x:c>
      <x:c r="L63" s="32" t="n">
        <x:v>4</x:v>
      </x:c>
      <x:c r="M63" s="32" t="n">
        <x:v>3.3</x:v>
      </x:c>
      <x:c r="N63" s="32" t="n">
        <x:v>3.8</x:v>
      </x:c>
      <x:c r="O63" s="32" t="n">
        <x:v>3.5</x:v>
      </x:c>
      <x:c r="P63" s="32" t="n">
        <x:v>3.4</x:v>
      </x:c>
      <x:c r="Q63" s="32" t="n">
        <x:v>2.9</x:v>
      </x:c>
      <x:c r="R63" s="32" t="n">
        <x:v>4.1</x:v>
      </x:c>
      <x:c r="S63" s="32" t="n">
        <x:v>4.4</x:v>
      </x:c>
      <x:c r="T63" s="32" t="n">
        <x:v>3.5</x:v>
      </x:c>
      <x:c r="U63" s="32" t="n">
        <x:v>4.1</x:v>
      </x:c>
      <x:c r="V63" s="32" t="n">
        <x:v>3.7</x:v>
      </x:c>
      <x:c r="W63" s="32" t="n">
        <x:v>3.4</x:v>
      </x:c>
      <x:c r="X63" s="32" t="n">
        <x:v>2.9</x:v>
      </x:c>
      <x:c r="Y63" s="32" t="n">
        <x:v>4.1</x:v>
      </x:c>
      <x:c r="Z63" s="32" t="n">
        <x:v>4.6</x:v>
      </x:c>
      <x:c r="AA63" s="32" t="n">
        <x:v>3.5</x:v>
      </x:c>
      <x:c r="AB63" s="32" t="n">
        <x:v>4</x:v>
      </x:c>
      <x:c r="AC63" s="32" t="n">
        <x:v>3.8</x:v>
      </x:c>
      <x:c r="AD63" s="32" t="n">
        <x:f>ROUND((I63*'Criteria &amp; Scoring'!$B$5+J63*'Criteria &amp; Scoring'!$B$6+K63*'Criteria &amp; Scoring'!$B$7+L63*'Criteria &amp; Scoring'!$B$8+M63*'Criteria &amp; Scoring'!$B$9+N63*'Criteria &amp; Scoring'!$B$10+O63*'Criteria &amp; Scoring'!$B$11)/SUM('Criteria &amp; Scoring'!$B$5:$B$11),2)</x:f>
        <x:v>3.26</x:v>
      </x:c>
      <x:c r="AE63" s="32" t="n">
        <x:f>ROUND((P63*'Criteria &amp; Scoring'!$B$5+Q63*'Criteria &amp; Scoring'!$B$6+R63*'Criteria &amp; Scoring'!$B$7+S63*'Criteria &amp; Scoring'!$B$8+T63*'Criteria &amp; Scoring'!$B$9+U63*'Criteria &amp; Scoring'!$B$10+V63*'Criteria &amp; Scoring'!$B$11)/SUM('Criteria &amp; Scoring'!$B$5:$B$11),2)</x:f>
        <x:v>3.65</x:v>
      </x:c>
      <x:c r="AF63" s="32" t="n">
        <x:f>ROUND((W63*'Criteria &amp; Scoring'!$B$5+X63*'Criteria &amp; Scoring'!$B$6+Y63*'Criteria &amp; Scoring'!$B$7+Z63*'Criteria &amp; Scoring'!$B$8+AA63*'Criteria &amp; Scoring'!$B$9+AB63*'Criteria &amp; Scoring'!$B$10+AC63*'Criteria &amp; Scoring'!$B$11)/SUM('Criteria &amp; Scoring'!$B$5:$B$11),2)</x:f>
        <x:v>3.68</x:v>
      </x:c>
      <x:c r="AG63" s="32" t="str">
        <x:f>IF(LARGE(AD63:AF63,1)-LARGE(AD63:AF63,2)&lt;0.15,"Context-dependent tie",SUBSTITUTE(INDEX($AD$4:$AF$4,1,MATCH(MAX(AD63:AF63),AD63:AF63,0))," Overall",""))</x:f>
        <x:v>Context-dependent tie</x:v>
      </x:c>
      <x:c r="AH63" s="32" t="str">
        <x:f>IF(AG63="AWS","Start with AWS when infrastructure breadth, native integration and operational maturity are the main differentiators.",IF(AG63="Azure","Start with Azure when Microsoft identity, security, data, productivity or hybrid integration reduces delivery effort.",IF(AG63="GCP","Start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63" s="32" t="str">
        <x:v>Low</x:v>
      </x:c>
      <x:c r="AJ63" s="32" t="str">
        <x:v>2026-07-12</x:v>
      </x:c>
    </x:row>
    <x:row r="64">
      <x:c r="A64" s="32" t="str">
        <x:v>Fraud detection</x:v>
      </x:c>
      <x:c r="B64" s="32" t="str">
        <x:v>07 AI &amp; Intelligent Systems</x:v>
      </x:c>
      <x:c r="C64" s="32" t="str">
        <x:v>Industry &amp; Applied AI</x:v>
      </x:c>
      <x:c r="D64" s="32" t="str">
        <x:v>Workload</x:v>
      </x:c>
      <x:c r="E64" s="32" t="str">
        <x:v>What business outcome, scale, control, integration and operating model justify choosing fraud detection?</x:v>
      </x:c>
      <x:c r="F64" s="32" t="str">
        <x:v>Amazon Fraud Detector
SageMaker AI</x:v>
      </x:c>
      <x:c r="G64" s="32" t="str">
        <x:v>Azure Machine Learning
Microsoft Fabric</x:v>
      </x:c>
      <x:c r="H64" s="32" t="str">
        <x:v>Anti Money Laundering AI
Vertex AI</x:v>
      </x:c>
      <x:c r="I64" s="32" t="n">
        <x:v>3.4</x:v>
      </x:c>
      <x:c r="J64" s="32" t="n">
        <x:v>2.9</x:v>
      </x:c>
      <x:c r="K64" s="32" t="n">
        <x:v>4</x:v>
      </x:c>
      <x:c r="L64" s="32" t="n">
        <x:v>4.3</x:v>
      </x:c>
      <x:c r="M64" s="32" t="n">
        <x:v>3.5</x:v>
      </x:c>
      <x:c r="N64" s="32" t="n">
        <x:v>4.2</x:v>
      </x:c>
      <x:c r="O64" s="32" t="n">
        <x:v>3.6</x:v>
      </x:c>
      <x:c r="P64" s="32" t="n">
        <x:v>3.4</x:v>
      </x:c>
      <x:c r="Q64" s="32" t="n">
        <x:v>2.9</x:v>
      </x:c>
      <x:c r="R64" s="32" t="n">
        <x:v>4.1</x:v>
      </x:c>
      <x:c r="S64" s="32" t="n">
        <x:v>4.4</x:v>
      </x:c>
      <x:c r="T64" s="32" t="n">
        <x:v>3.5</x:v>
      </x:c>
      <x:c r="U64" s="32" t="n">
        <x:v>4.1</x:v>
      </x:c>
      <x:c r="V64" s="32" t="n">
        <x:v>3.7</x:v>
      </x:c>
      <x:c r="W64" s="32" t="n">
        <x:v>3.4</x:v>
      </x:c>
      <x:c r="X64" s="32" t="n">
        <x:v>2.9</x:v>
      </x:c>
      <x:c r="Y64" s="32" t="n">
        <x:v>4.1</x:v>
      </x:c>
      <x:c r="Z64" s="32" t="n">
        <x:v>4.6</x:v>
      </x:c>
      <x:c r="AA64" s="32" t="n">
        <x:v>3.5</x:v>
      </x:c>
      <x:c r="AB64" s="32" t="n">
        <x:v>4</x:v>
      </x:c>
      <x:c r="AC64" s="32" t="n">
        <x:v>3.8</x:v>
      </x:c>
      <x:c r="AD64" s="32" t="n">
        <x:f>ROUND((I64*'Criteria &amp; Scoring'!$B$5+J64*'Criteria &amp; Scoring'!$B$6+K64*'Criteria &amp; Scoring'!$B$7+L64*'Criteria &amp; Scoring'!$B$8+M64*'Criteria &amp; Scoring'!$B$9+N64*'Criteria &amp; Scoring'!$B$10+O64*'Criteria &amp; Scoring'!$B$11)/SUM('Criteria &amp; Scoring'!$B$5:$B$11),2)</x:f>
        <x:v>3.63</x:v>
      </x:c>
      <x:c r="AE64" s="32" t="n">
        <x:f>ROUND((P64*'Criteria &amp; Scoring'!$B$5+Q64*'Criteria &amp; Scoring'!$B$6+R64*'Criteria &amp; Scoring'!$B$7+S64*'Criteria &amp; Scoring'!$B$8+T64*'Criteria &amp; Scoring'!$B$9+U64*'Criteria &amp; Scoring'!$B$10+V64*'Criteria &amp; Scoring'!$B$11)/SUM('Criteria &amp; Scoring'!$B$5:$B$11),2)</x:f>
        <x:v>3.65</x:v>
      </x:c>
      <x:c r="AF64" s="32" t="n">
        <x:f>ROUND((W64*'Criteria &amp; Scoring'!$B$5+X64*'Criteria &amp; Scoring'!$B$6+Y64*'Criteria &amp; Scoring'!$B$7+Z64*'Criteria &amp; Scoring'!$B$8+AA64*'Criteria &amp; Scoring'!$B$9+AB64*'Criteria &amp; Scoring'!$B$10+AC64*'Criteria &amp; Scoring'!$B$11)/SUM('Criteria &amp; Scoring'!$B$5:$B$11),2)</x:f>
        <x:v>3.68</x:v>
      </x:c>
      <x:c r="AG64" s="32" t="str">
        <x:f>IF(LARGE(AD64:AF64,1)-LARGE(AD64:AF64,2)&lt;0.15,"Context-dependent tie",SUBSTITUTE(INDEX($AD$4:$AF$4,1,MATCH(MAX(AD64:AF64),AD64:AF64,0))," Overall",""))</x:f>
        <x:v>Context-dependent tie</x:v>
      </x:c>
      <x:c r="AH64" s="32" t="str">
        <x:f>IF(AG64="AWS","Start with AWS when infrastructure breadth, native integration and operational maturity are the main differentiators.",IF(AG64="Azure","Start with Azure when Microsoft identity, security, data, productivity or hybrid integration reduces delivery effort.",IF(AG64="GCP","Start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64" s="32" t="str">
        <x:v>Low</x:v>
      </x:c>
      <x:c r="AJ64" s="32" t="str">
        <x:v>2026-07-12</x:v>
      </x:c>
    </x:row>
    <x:row r="65">
      <x:c r="A65" s="32" t="str">
        <x:v>Anomaly and metric detection</x:v>
      </x:c>
      <x:c r="B65" s="32" t="str">
        <x:v>07 AI &amp; Intelligent Systems</x:v>
      </x:c>
      <x:c r="C65" s="32" t="str">
        <x:v>Industry &amp; Applied AI</x:v>
      </x:c>
      <x:c r="D65" s="32" t="str">
        <x:v>Workload</x:v>
      </x:c>
      <x:c r="E65" s="32" t="str">
        <x:v>What business outcome, scale, control, integration and operating model justify choosing anomaly and metric detection?</x:v>
      </x:c>
      <x:c r="F65" s="32" t="str">
        <x:v>Amazon Lookout for Equipment
Amazon DevOps Guru</x:v>
      </x:c>
      <x:c r="G65" s="32" t="str">
        <x:v>Azure Machine Learning
Azure Monitor</x:v>
      </x:c>
      <x:c r="H65" s="32" t="str">
        <x:v>Vertex AI
Cloud Monitoring</x:v>
      </x:c>
      <x:c r="I65" s="32" t="n">
        <x:v>3.4</x:v>
      </x:c>
      <x:c r="J65" s="32" t="n">
        <x:v>2.9</x:v>
      </x:c>
      <x:c r="K65" s="32" t="n">
        <x:v>4</x:v>
      </x:c>
      <x:c r="L65" s="32" t="n">
        <x:v>4.3</x:v>
      </x:c>
      <x:c r="M65" s="32" t="n">
        <x:v>3.5</x:v>
      </x:c>
      <x:c r="N65" s="32" t="n">
        <x:v>4.2</x:v>
      </x:c>
      <x:c r="O65" s="32" t="n">
        <x:v>3.6</x:v>
      </x:c>
      <x:c r="P65" s="32" t="n">
        <x:v>3.4</x:v>
      </x:c>
      <x:c r="Q65" s="32" t="n">
        <x:v>2.9</x:v>
      </x:c>
      <x:c r="R65" s="32" t="n">
        <x:v>4.1</x:v>
      </x:c>
      <x:c r="S65" s="32" t="n">
        <x:v>4.4</x:v>
      </x:c>
      <x:c r="T65" s="32" t="n">
        <x:v>3.5</x:v>
      </x:c>
      <x:c r="U65" s="32" t="n">
        <x:v>4.1</x:v>
      </x:c>
      <x:c r="V65" s="32" t="n">
        <x:v>3.7</x:v>
      </x:c>
      <x:c r="W65" s="32" t="n">
        <x:v>3.4</x:v>
      </x:c>
      <x:c r="X65" s="32" t="n">
        <x:v>2.9</x:v>
      </x:c>
      <x:c r="Y65" s="32" t="n">
        <x:v>4.1</x:v>
      </x:c>
      <x:c r="Z65" s="32" t="n">
        <x:v>4.6</x:v>
      </x:c>
      <x:c r="AA65" s="32" t="n">
        <x:v>3.5</x:v>
      </x:c>
      <x:c r="AB65" s="32" t="n">
        <x:v>4</x:v>
      </x:c>
      <x:c r="AC65" s="32" t="n">
        <x:v>3.8</x:v>
      </x:c>
      <x:c r="AD65" s="32" t="n">
        <x:f>ROUND((I65*'Criteria &amp; Scoring'!$B$5+J65*'Criteria &amp; Scoring'!$B$6+K65*'Criteria &amp; Scoring'!$B$7+L65*'Criteria &amp; Scoring'!$B$8+M65*'Criteria &amp; Scoring'!$B$9+N65*'Criteria &amp; Scoring'!$B$10+O65*'Criteria &amp; Scoring'!$B$11)/SUM('Criteria &amp; Scoring'!$B$5:$B$11),2)</x:f>
        <x:v>3.63</x:v>
      </x:c>
      <x:c r="AE65" s="32" t="n">
        <x:f>ROUND((P65*'Criteria &amp; Scoring'!$B$5+Q65*'Criteria &amp; Scoring'!$B$6+R65*'Criteria &amp; Scoring'!$B$7+S65*'Criteria &amp; Scoring'!$B$8+T65*'Criteria &amp; Scoring'!$B$9+U65*'Criteria &amp; Scoring'!$B$10+V65*'Criteria &amp; Scoring'!$B$11)/SUM('Criteria &amp; Scoring'!$B$5:$B$11),2)</x:f>
        <x:v>3.65</x:v>
      </x:c>
      <x:c r="AF65" s="32" t="n">
        <x:f>ROUND((W65*'Criteria &amp; Scoring'!$B$5+X65*'Criteria &amp; Scoring'!$B$6+Y65*'Criteria &amp; Scoring'!$B$7+Z65*'Criteria &amp; Scoring'!$B$8+AA65*'Criteria &amp; Scoring'!$B$9+AB65*'Criteria &amp; Scoring'!$B$10+AC65*'Criteria &amp; Scoring'!$B$11)/SUM('Criteria &amp; Scoring'!$B$5:$B$11),2)</x:f>
        <x:v>3.68</x:v>
      </x:c>
      <x:c r="AG65" s="32" t="str">
        <x:f>IF(LARGE(AD65:AF65,1)-LARGE(AD65:AF65,2)&lt;0.15,"Context-dependent tie",SUBSTITUTE(INDEX($AD$4:$AF$4,1,MATCH(MAX(AD65:AF65),AD65:AF65,0))," Overall",""))</x:f>
        <x:v>Context-dependent tie</x:v>
      </x:c>
      <x:c r="AH65" s="32" t="str">
        <x:f>IF(AG65="AWS","Start with AWS when infrastructure breadth, native integration and operational maturity are the main differentiators.",IF(AG65="Azure","Start with Azure when Microsoft identity, security, data, productivity or hybrid integration reduces delivery effort.",IF(AG65="GCP","Start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65" s="32" t="str">
        <x:v>Low</x:v>
      </x:c>
      <x:c r="AJ65" s="32" t="str">
        <x:v>2026-07-12</x:v>
      </x:c>
    </x:row>
    <x:row r="66">
      <x:c r="A66" s="32" t="str">
        <x:v>Healthcare data and AI</x:v>
      </x:c>
      <x:c r="B66" s="32" t="str">
        <x:v>07 AI &amp; Intelligent Systems</x:v>
      </x:c>
      <x:c r="C66" s="32" t="str">
        <x:v>Industry &amp; Applied AI</x:v>
      </x:c>
      <x:c r="D66" s="32" t="str">
        <x:v>Workload</x:v>
      </x:c>
      <x:c r="E66" s="32" t="str">
        <x:v>What business outcome, scale, control, integration and operating model justify choosing healthcare data and ai?</x:v>
      </x:c>
      <x:c r="F66" s="32" t="str">
        <x:v>AWS HealthLake
AWS HealthScribe
Amazon Comprehend Medical</x:v>
      </x:c>
      <x:c r="G66" s="32" t="str">
        <x:v>Azure Health Data Services
Microsoft Cloud for Healthcare</x:v>
      </x:c>
      <x:c r="H66" s="32" t="str">
        <x:v>Cloud Healthcare API
Healthcare Data Engine</x:v>
      </x:c>
      <x:c r="I66" s="32" t="n">
        <x:v>3.9</x:v>
      </x:c>
      <x:c r="J66" s="32" t="n">
        <x:v>2.9</x:v>
      </x:c>
      <x:c r="K66" s="32" t="n">
        <x:v>4.2</x:v>
      </x:c>
      <x:c r="L66" s="32" t="n">
        <x:v>4.3</x:v>
      </x:c>
      <x:c r="M66" s="32" t="n">
        <x:v>3.5</x:v>
      </x:c>
      <x:c r="N66" s="32" t="n">
        <x:v>4.4</x:v>
      </x:c>
      <x:c r="O66" s="32" t="n">
        <x:v>3.6</x:v>
      </x:c>
      <x:c r="P66" s="32" t="n">
        <x:v>3.9</x:v>
      </x:c>
      <x:c r="Q66" s="32" t="n">
        <x:v>2.9</x:v>
      </x:c>
      <x:c r="R66" s="32" t="n">
        <x:v>4.4</x:v>
      </x:c>
      <x:c r="S66" s="32" t="n">
        <x:v>4.4</x:v>
      </x:c>
      <x:c r="T66" s="32" t="n">
        <x:v>3.5</x:v>
      </x:c>
      <x:c r="U66" s="32" t="n">
        <x:v>4.3</x:v>
      </x:c>
      <x:c r="V66" s="32" t="n">
        <x:v>3.7</x:v>
      </x:c>
      <x:c r="W66" s="32" t="n">
        <x:v>3.9</x:v>
      </x:c>
      <x:c r="X66" s="32" t="n">
        <x:v>2.9</x:v>
      </x:c>
      <x:c r="Y66" s="32" t="n">
        <x:v>4.3</x:v>
      </x:c>
      <x:c r="Z66" s="32" t="n">
        <x:v>4.6</x:v>
      </x:c>
      <x:c r="AA66" s="32" t="n">
        <x:v>3.5</x:v>
      </x:c>
      <x:c r="AB66" s="32" t="n">
        <x:v>4.2</x:v>
      </x:c>
      <x:c r="AC66" s="32" t="n">
        <x:v>3.8</x:v>
      </x:c>
      <x:c r="AD66" s="32" t="n">
        <x:f>ROUND((I66*'Criteria &amp; Scoring'!$B$5+J66*'Criteria &amp; Scoring'!$B$6+K66*'Criteria &amp; Scoring'!$B$7+L66*'Criteria &amp; Scoring'!$B$8+M66*'Criteria &amp; Scoring'!$B$9+N66*'Criteria &amp; Scoring'!$B$10+O66*'Criteria &amp; Scoring'!$B$11)/SUM('Criteria &amp; Scoring'!$B$5:$B$11),2)</x:f>
        <x:v>3.8</x:v>
      </x:c>
      <x:c r="AE66" s="32" t="n">
        <x:f>ROUND((P66*'Criteria &amp; Scoring'!$B$5+Q66*'Criteria &amp; Scoring'!$B$6+R66*'Criteria &amp; Scoring'!$B$7+S66*'Criteria &amp; Scoring'!$B$8+T66*'Criteria &amp; Scoring'!$B$9+U66*'Criteria &amp; Scoring'!$B$10+V66*'Criteria &amp; Scoring'!$B$11)/SUM('Criteria &amp; Scoring'!$B$5:$B$11),2)</x:f>
        <x:v>3.84</x:v>
      </x:c>
      <x:c r="AF66" s="32" t="n">
        <x:f>ROUND((W66*'Criteria &amp; Scoring'!$B$5+X66*'Criteria &amp; Scoring'!$B$6+Y66*'Criteria &amp; Scoring'!$B$7+Z66*'Criteria &amp; Scoring'!$B$8+AA66*'Criteria &amp; Scoring'!$B$9+AB66*'Criteria &amp; Scoring'!$B$10+AC66*'Criteria &amp; Scoring'!$B$11)/SUM('Criteria &amp; Scoring'!$B$5:$B$11),2)</x:f>
        <x:v>3.85</x:v>
      </x:c>
      <x:c r="AG66" s="32" t="str">
        <x:f>IF(LARGE(AD66:AF66,1)-LARGE(AD66:AF66,2)&lt;0.15,"Context-dependent tie",SUBSTITUTE(INDEX($AD$4:$AF$4,1,MATCH(MAX(AD66:AF66),AD66:AF66,0))," Overall",""))</x:f>
        <x:v>Context-dependent tie</x:v>
      </x:c>
      <x:c r="AH66" s="32" t="str">
        <x:f>IF(AG66="AWS","Start with AWS when infrastructure breadth, native integration and operational maturity are the main differentiators.",IF(AG66="Azure","Start with Azure when Microsoft identity, security, data, productivity or hybrid integration reduces delivery effort.",IF(AG66="GCP","Start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66" s="32" t="str">
        <x:v>Medium</x:v>
      </x:c>
      <x:c r="AJ66" s="32" t="str">
        <x:v>2026-07-12</x:v>
      </x:c>
    </x:row>
    <x:row r="67">
      <x:c r="A67" s="32" t="str">
        <x:v>AI coding assistant</x:v>
      </x:c>
      <x:c r="B67" s="32" t="str">
        <x:v>07 AI &amp; Intelligent Systems</x:v>
      </x:c>
      <x:c r="C67" s="32" t="str">
        <x:v>Industry &amp; Applied AI</x:v>
      </x:c>
      <x:c r="D67" s="32" t="str">
        <x:v>Workload</x:v>
      </x:c>
      <x:c r="E67" s="32" t="str">
        <x:v>What business outcome, scale, control, integration and operating model justify choosing ai coding assistant?</x:v>
      </x:c>
      <x:c r="F67" s="32" t="str">
        <x:v>Amazon Q Developer
Kiro</x:v>
      </x:c>
      <x:c r="G67" s="32" t="str">
        <x:v>GitHub Copilot</x:v>
      </x:c>
      <x:c r="H67" s="32" t="str">
        <x:v>Gemini Code Assist</x:v>
      </x:c>
      <x:c r="I67" s="32" t="n">
        <x:v>3.9</x:v>
      </x:c>
      <x:c r="J67" s="32" t="n">
        <x:v>2.9</x:v>
      </x:c>
      <x:c r="K67" s="32" t="n">
        <x:v>4.2</x:v>
      </x:c>
      <x:c r="L67" s="32" t="n">
        <x:v>4.3</x:v>
      </x:c>
      <x:c r="M67" s="32" t="n">
        <x:v>3.5</x:v>
      </x:c>
      <x:c r="N67" s="32" t="n">
        <x:v>4.4</x:v>
      </x:c>
      <x:c r="O67" s="32" t="n">
        <x:v>3.6</x:v>
      </x:c>
      <x:c r="P67" s="32" t="n">
        <x:v>4</x:v>
      </x:c>
      <x:c r="Q67" s="32" t="n">
        <x:v>3</x:v>
      </x:c>
      <x:c r="R67" s="32" t="n">
        <x:v>4.5</x:v>
      </x:c>
      <x:c r="S67" s="32" t="n">
        <x:v>4.5</x:v>
      </x:c>
      <x:c r="T67" s="32" t="n">
        <x:v>3.5</x:v>
      </x:c>
      <x:c r="U67" s="32" t="n">
        <x:v>4.4</x:v>
      </x:c>
      <x:c r="V67" s="32" t="n">
        <x:v>3.8</x:v>
      </x:c>
      <x:c r="W67" s="32" t="n">
        <x:v>4</x:v>
      </x:c>
      <x:c r="X67" s="32" t="n">
        <x:v>3</x:v>
      </x:c>
      <x:c r="Y67" s="32" t="n">
        <x:v>4.4</x:v>
      </x:c>
      <x:c r="Z67" s="32" t="n">
        <x:v>4.7</x:v>
      </x:c>
      <x:c r="AA67" s="32" t="n">
        <x:v>3.5</x:v>
      </x:c>
      <x:c r="AB67" s="32" t="n">
        <x:v>4.3</x:v>
      </x:c>
      <x:c r="AC67" s="32" t="n">
        <x:v>3.9</x:v>
      </x:c>
      <x:c r="AD67" s="32" t="n">
        <x:f>ROUND((I67*'Criteria &amp; Scoring'!$B$5+J67*'Criteria &amp; Scoring'!$B$6+K67*'Criteria &amp; Scoring'!$B$7+L67*'Criteria &amp; Scoring'!$B$8+M67*'Criteria &amp; Scoring'!$B$9+N67*'Criteria &amp; Scoring'!$B$10+O67*'Criteria &amp; Scoring'!$B$11)/SUM('Criteria &amp; Scoring'!$B$5:$B$11),2)</x:f>
        <x:v>3.8</x:v>
      </x:c>
      <x:c r="AE67" s="32" t="n">
        <x:f>ROUND((P67*'Criteria &amp; Scoring'!$B$5+Q67*'Criteria &amp; Scoring'!$B$6+R67*'Criteria &amp; Scoring'!$B$7+S67*'Criteria &amp; Scoring'!$B$8+T67*'Criteria &amp; Scoring'!$B$9+U67*'Criteria &amp; Scoring'!$B$10+V67*'Criteria &amp; Scoring'!$B$11)/SUM('Criteria &amp; Scoring'!$B$5:$B$11),2)</x:f>
        <x:v>3.93</x:v>
      </x:c>
      <x:c r="AF67" s="32" t="n">
        <x:f>ROUND((W67*'Criteria &amp; Scoring'!$B$5+X67*'Criteria &amp; Scoring'!$B$6+Y67*'Criteria &amp; Scoring'!$B$7+Z67*'Criteria &amp; Scoring'!$B$8+AA67*'Criteria &amp; Scoring'!$B$9+AB67*'Criteria &amp; Scoring'!$B$10+AC67*'Criteria &amp; Scoring'!$B$11)/SUM('Criteria &amp; Scoring'!$B$5:$B$11),2)</x:f>
        <x:v>3.94</x:v>
      </x:c>
      <x:c r="AG67" s="32" t="str">
        <x:f>IF(LARGE(AD67:AF67,1)-LARGE(AD67:AF67,2)&lt;0.15,"Context-dependent tie",SUBSTITUTE(INDEX($AD$4:$AF$4,1,MATCH(MAX(AD67:AF67),AD67:AF67,0))," Overall",""))</x:f>
        <x:v>Context-dependent tie</x:v>
      </x:c>
      <x:c r="AH67" s="32" t="str">
        <x:f>IF(AG67="AWS","Start with AWS when infrastructure breadth, native integration and operational maturity are the main differentiators.",IF(AG67="Azure","Start with Azure when Microsoft identity, security, data, productivity or hybrid integration reduces delivery effort.",IF(AG67="GCP","Start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67" s="32" t="str">
        <x:v>Medium</x:v>
      </x:c>
      <x:c r="AJ67" s="32" t="str">
        <x:v>2026-07-12</x:v>
      </x:c>
    </x:row>
    <x:row r="68">
      <x:c r="A68" s="32" t="str">
        <x:v>Enterprise AI assistant</x:v>
      </x:c>
      <x:c r="B68" s="32" t="str">
        <x:v>07 AI &amp; Intelligent Systems</x:v>
      </x:c>
      <x:c r="C68" s="32" t="str">
        <x:v>Industry &amp; Applied AI</x:v>
      </x:c>
      <x:c r="D68" s="32" t="str">
        <x:v>Workload</x:v>
      </x:c>
      <x:c r="E68" s="32" t="str">
        <x:v>What business outcome, scale, control, integration and operating model justify choosing enterprise ai assistant?</x:v>
      </x:c>
      <x:c r="F68" s="32" t="str">
        <x:v>Amazon Q Business</x:v>
      </x:c>
      <x:c r="G68" s="32" t="str">
        <x:v>Microsoft 365 Copilot
Azure Copilot</x:v>
      </x:c>
      <x:c r="H68" s="32" t="str">
        <x:v>Gemini Enterprise
Gemini Cloud Assist</x:v>
      </x:c>
      <x:c r="I68" s="32" t="n">
        <x:v>3.5</x:v>
      </x:c>
      <x:c r="J68" s="32" t="n">
        <x:v>3</x:v>
      </x:c>
      <x:c r="K68" s="32" t="n">
        <x:v>4.1</x:v>
      </x:c>
      <x:c r="L68" s="32" t="n">
        <x:v>4.3</x:v>
      </x:c>
      <x:c r="M68" s="32" t="n">
        <x:v>3.5</x:v>
      </x:c>
      <x:c r="N68" s="32" t="n">
        <x:v>4.3</x:v>
      </x:c>
      <x:c r="O68" s="32" t="n">
        <x:v>3.7</x:v>
      </x:c>
      <x:c r="P68" s="32" t="n">
        <x:v>3.4</x:v>
      </x:c>
      <x:c r="Q68" s="32" t="n">
        <x:v>2.9</x:v>
      </x:c>
      <x:c r="R68" s="32" t="n">
        <x:v>4.1</x:v>
      </x:c>
      <x:c r="S68" s="32" t="n">
        <x:v>4.4</x:v>
      </x:c>
      <x:c r="T68" s="32" t="n">
        <x:v>3.5</x:v>
      </x:c>
      <x:c r="U68" s="32" t="n">
        <x:v>4.1</x:v>
      </x:c>
      <x:c r="V68" s="32" t="n">
        <x:v>3.7</x:v>
      </x:c>
      <x:c r="W68" s="32" t="n">
        <x:v>3.4</x:v>
      </x:c>
      <x:c r="X68" s="32" t="n">
        <x:v>2.9</x:v>
      </x:c>
      <x:c r="Y68" s="32" t="n">
        <x:v>4.1</x:v>
      </x:c>
      <x:c r="Z68" s="32" t="n">
        <x:v>4.6</x:v>
      </x:c>
      <x:c r="AA68" s="32" t="n">
        <x:v>3.5</x:v>
      </x:c>
      <x:c r="AB68" s="32" t="n">
        <x:v>4</x:v>
      </x:c>
      <x:c r="AC68" s="32" t="n">
        <x:v>3.8</x:v>
      </x:c>
      <x:c r="AD68" s="32" t="n">
        <x:f>ROUND((I68*'Criteria &amp; Scoring'!$B$5+J68*'Criteria &amp; Scoring'!$B$6+K68*'Criteria &amp; Scoring'!$B$7+L68*'Criteria &amp; Scoring'!$B$8+M68*'Criteria &amp; Scoring'!$B$9+N68*'Criteria &amp; Scoring'!$B$10+O68*'Criteria &amp; Scoring'!$B$11)/SUM('Criteria &amp; Scoring'!$B$5:$B$11),2)</x:f>
        <x:v>3.7</x:v>
      </x:c>
      <x:c r="AE68" s="32" t="n">
        <x:f>ROUND((P68*'Criteria &amp; Scoring'!$B$5+Q68*'Criteria &amp; Scoring'!$B$6+R68*'Criteria &amp; Scoring'!$B$7+S68*'Criteria &amp; Scoring'!$B$8+T68*'Criteria &amp; Scoring'!$B$9+U68*'Criteria &amp; Scoring'!$B$10+V68*'Criteria &amp; Scoring'!$B$11)/SUM('Criteria &amp; Scoring'!$B$5:$B$11),2)</x:f>
        <x:v>3.65</x:v>
      </x:c>
      <x:c r="AF68" s="32" t="n">
        <x:f>ROUND((W68*'Criteria &amp; Scoring'!$B$5+X68*'Criteria &amp; Scoring'!$B$6+Y68*'Criteria &amp; Scoring'!$B$7+Z68*'Criteria &amp; Scoring'!$B$8+AA68*'Criteria &amp; Scoring'!$B$9+AB68*'Criteria &amp; Scoring'!$B$10+AC68*'Criteria &amp; Scoring'!$B$11)/SUM('Criteria &amp; Scoring'!$B$5:$B$11),2)</x:f>
        <x:v>3.68</x:v>
      </x:c>
      <x:c r="AG68" s="32" t="str">
        <x:f>IF(LARGE(AD68:AF68,1)-LARGE(AD68:AF68,2)&lt;0.15,"Context-dependent tie",SUBSTITUTE(INDEX($AD$4:$AF$4,1,MATCH(MAX(AD68:AF68),AD68:AF68,0))," Overall",""))</x:f>
        <x:v>Context-dependent tie</x:v>
      </x:c>
      <x:c r="AH68" s="32" t="str">
        <x:f>IF(AG68="AWS","Start with AWS when infrastructure breadth, native integration and operational maturity are the main differentiators.",IF(AG68="Azure","Start with Azure when Microsoft identity, security, data, productivity or hybrid integration reduces delivery effort.",IF(AG68="GCP","Start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68" s="32" t="str">
        <x:v>Low</x:v>
      </x:c>
      <x:c r="AJ68" s="32" t="str">
        <x:v>2026-07-12</x:v>
      </x:c>
    </x:row>
    <x:row r="69">
      <x:c r="A69" s="32" t="str">
        <x:v>Image generation</x:v>
      </x:c>
      <x:c r="B69" s="32" t="str">
        <x:v>07 AI &amp; Intelligent Systems</x:v>
      </x:c>
      <x:c r="C69" s="32" t="str">
        <x:v>Foundation Models &amp; GenAI</x:v>
      </x:c>
      <x:c r="D69" s="32" t="str">
        <x:v>Workload</x:v>
      </x:c>
      <x:c r="E69" s="32" t="str">
        <x:v>Do you need model choice, provider-native models, customisation, enterprise controls, or lowest operational effort?</x:v>
      </x:c>
      <x:c r="F69" s="32" t="str">
        <x:v>Amazon Nova Canvas
Amazon Titan Image Generator</x:v>
      </x:c>
      <x:c r="G69" s="32" t="str">
        <x:v>Azure OpenAI image models
Foundry Models</x:v>
      </x:c>
      <x:c r="H69" s="32" t="str">
        <x:v>Imagen on Vertex AI</x:v>
      </x:c>
      <x:c r="I69" s="32" t="n">
        <x:v>3.9</x:v>
      </x:c>
      <x:c r="J69" s="32" t="n">
        <x:v>2.9</x:v>
      </x:c>
      <x:c r="K69" s="32" t="n">
        <x:v>4.4</x:v>
      </x:c>
      <x:c r="L69" s="32" t="n">
        <x:v>4.3</x:v>
      </x:c>
      <x:c r="M69" s="32" t="n">
        <x:v>3.5</x:v>
      </x:c>
      <x:c r="N69" s="32" t="n">
        <x:v>4.4</x:v>
      </x:c>
      <x:c r="O69" s="32" t="n">
        <x:v>3.6</x:v>
      </x:c>
      <x:c r="P69" s="32" t="n">
        <x:v>4.2</x:v>
      </x:c>
      <x:c r="Q69" s="32" t="n">
        <x:v>2.9</x:v>
      </x:c>
      <x:c r="R69" s="32" t="n">
        <x:v>4.4</x:v>
      </x:c>
      <x:c r="S69" s="32" t="n">
        <x:v>4.4</x:v>
      </x:c>
      <x:c r="T69" s="32" t="n">
        <x:v>3.5</x:v>
      </x:c>
      <x:c r="U69" s="32" t="n">
        <x:v>4.3</x:v>
      </x:c>
      <x:c r="V69" s="32" t="n">
        <x:v>3.7</x:v>
      </x:c>
      <x:c r="W69" s="32" t="n">
        <x:v>4.5</x:v>
      </x:c>
      <x:c r="X69" s="32" t="n">
        <x:v>3.4</x:v>
      </x:c>
      <x:c r="Y69" s="32" t="n">
        <x:v>4.4</x:v>
      </x:c>
      <x:c r="Z69" s="32" t="n">
        <x:v>4.9</x:v>
      </x:c>
      <x:c r="AA69" s="32" t="n">
        <x:v>3.5</x:v>
      </x:c>
      <x:c r="AB69" s="32" t="n">
        <x:v>4.3</x:v>
      </x:c>
      <x:c r="AC69" s="32" t="n">
        <x:v>3.9</x:v>
      </x:c>
      <x:c r="AD69" s="32" t="n">
        <x:f>ROUND((I69*'Criteria &amp; Scoring'!$B$5+J69*'Criteria &amp; Scoring'!$B$6+K69*'Criteria &amp; Scoring'!$B$7+L69*'Criteria &amp; Scoring'!$B$8+M69*'Criteria &amp; Scoring'!$B$9+N69*'Criteria &amp; Scoring'!$B$10+O69*'Criteria &amp; Scoring'!$B$11)/SUM('Criteria &amp; Scoring'!$B$5:$B$11),2)</x:f>
        <x:v>3.83</x:v>
      </x:c>
      <x:c r="AE69" s="32" t="n">
        <x:f>ROUND((P69*'Criteria &amp; Scoring'!$B$5+Q69*'Criteria &amp; Scoring'!$B$6+R69*'Criteria &amp; Scoring'!$B$7+S69*'Criteria &amp; Scoring'!$B$8+T69*'Criteria &amp; Scoring'!$B$9+U69*'Criteria &amp; Scoring'!$B$10+V69*'Criteria &amp; Scoring'!$B$11)/SUM('Criteria &amp; Scoring'!$B$5:$B$11),2)</x:f>
        <x:v>3.92</x:v>
      </x:c>
      <x:c r="AF69" s="32" t="n">
        <x:f>ROUND((W69*'Criteria &amp; Scoring'!$B$5+X69*'Criteria &amp; Scoring'!$B$6+Y69*'Criteria &amp; Scoring'!$B$7+Z69*'Criteria &amp; Scoring'!$B$8+AA69*'Criteria &amp; Scoring'!$B$9+AB69*'Criteria &amp; Scoring'!$B$10+AC69*'Criteria &amp; Scoring'!$B$11)/SUM('Criteria &amp; Scoring'!$B$5:$B$11),2)</x:f>
        <x:v>4.18</x:v>
      </x:c>
      <x:c r="AG69" s="32" t="str">
        <x:f>IF(LARGE(AD69:AF69,1)-LARGE(AD69:AF69,2)&lt;0.15,"Context-dependent tie",SUBSTITUTE(INDEX($AD$4:$AF$4,1,MATCH(MAX(AD69:AF69),AD69:AF69,0))," Overall",""))</x:f>
        <x:v>GCP</x:v>
      </x:c>
      <x:c r="AH69" s="32" t="str">
        <x:f>IF(AG69="AWS","Start with AWS when infrastructure breadth, native integration and operational maturity are the main differentiators.",IF(AG69="Azure","Start with Azure when Microsoft identity, security, data, productivity or hybrid integration reduces delivery effort.",IF(AG69="GCP","Start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69" s="32" t="str">
        <x:v>Medium</x:v>
      </x:c>
      <x:c r="AJ69" s="32" t="str">
        <x:v>2026-07-12</x:v>
      </x:c>
    </x:row>
    <x:row r="70">
      <x:c r="A70" s="32" t="str">
        <x:v>General-purpose virtual machines</x:v>
      </x:c>
      <x:c r="B70" s="32" t="str">
        <x:v>04 Compute, Containers &amp; Runtime</x:v>
      </x:c>
      <x:c r="C70" s="32" t="str">
        <x:v>Virtual Machines &amp; Core Compute</x:v>
      </x:c>
      <x:c r="D70" s="32" t="str">
        <x:v>Workload</x:v>
      </x:c>
      <x:c r="E70" s="32" t="str">
        <x:v>How much OS, network and hardware control is required, and who will operate it?</x:v>
      </x:c>
      <x:c r="F70" s="32" t="str">
        <x:v>Amazon EC2</x:v>
      </x:c>
      <x:c r="G70" s="32" t="str">
        <x:v>Azure Virtual Machines
Linux Virtual Machines</x:v>
      </x:c>
      <x:c r="H70" s="32" t="str">
        <x:v>Compute Engine</x:v>
      </x:c>
      <x:c r="I70" s="32" t="n">
        <x:v>4.5</x:v>
      </x:c>
      <x:c r="J70" s="32" t="n">
        <x:v>3</x:v>
      </x:c>
      <x:c r="K70" s="32" t="n">
        <x:v>4.6</x:v>
      </x:c>
      <x:c r="L70" s="32" t="n">
        <x:v>4.3</x:v>
      </x:c>
      <x:c r="M70" s="32" t="n">
        <x:v>4.2</x:v>
      </x:c>
      <x:c r="N70" s="32" t="n">
        <x:v>4.8</x:v>
      </x:c>
      <x:c r="O70" s="32" t="n">
        <x:v>3.7</x:v>
      </x:c>
      <x:c r="P70" s="32" t="n">
        <x:v>4</x:v>
      </x:c>
      <x:c r="Q70" s="32" t="n">
        <x:v>2.9</x:v>
      </x:c>
      <x:c r="R70" s="32" t="n">
        <x:v>4.5</x:v>
      </x:c>
      <x:c r="S70" s="32" t="n">
        <x:v>4.4</x:v>
      </x:c>
      <x:c r="T70" s="32" t="n">
        <x:v>4.1</x:v>
      </x:c>
      <x:c r="U70" s="32" t="n">
        <x:v>4.4</x:v>
      </x:c>
      <x:c r="V70" s="32" t="n">
        <x:v>3.7</x:v>
      </x:c>
      <x:c r="W70" s="32" t="n">
        <x:v>4.2</x:v>
      </x:c>
      <x:c r="X70" s="32" t="n">
        <x:v>3</x:v>
      </x:c>
      <x:c r="Y70" s="32" t="n">
        <x:v>4.2</x:v>
      </x:c>
      <x:c r="Z70" s="32" t="n">
        <x:v>4.7</x:v>
      </x:c>
      <x:c r="AA70" s="32" t="n">
        <x:v>4.2</x:v>
      </x:c>
      <x:c r="AB70" s="32" t="n">
        <x:v>4.4</x:v>
      </x:c>
      <x:c r="AC70" s="32" t="n">
        <x:v>3.9</x:v>
      </x:c>
      <x:c r="AD70" s="32" t="n">
        <x:f>ROUND((I70*'Criteria &amp; Scoring'!$B$5+J70*'Criteria &amp; Scoring'!$B$6+K70*'Criteria &amp; Scoring'!$B$7+L70*'Criteria &amp; Scoring'!$B$8+M70*'Criteria &amp; Scoring'!$B$9+N70*'Criteria &amp; Scoring'!$B$10+O70*'Criteria &amp; Scoring'!$B$11)/SUM('Criteria &amp; Scoring'!$B$5:$B$11),2)</x:f>
        <x:v>4.14</x:v>
      </x:c>
      <x:c r="AE70" s="32" t="n">
        <x:f>ROUND((P70*'Criteria &amp; Scoring'!$B$5+Q70*'Criteria &amp; Scoring'!$B$6+R70*'Criteria &amp; Scoring'!$B$7+S70*'Criteria &amp; Scoring'!$B$8+T70*'Criteria &amp; Scoring'!$B$9+U70*'Criteria &amp; Scoring'!$B$10+V70*'Criteria &amp; Scoring'!$B$11)/SUM('Criteria &amp; Scoring'!$B$5:$B$11),2)</x:f>
        <x:v>3.95</x:v>
      </x:c>
      <x:c r="AF70" s="32" t="n">
        <x:f>ROUND((W70*'Criteria &amp; Scoring'!$B$5+X70*'Criteria &amp; Scoring'!$B$6+Y70*'Criteria &amp; Scoring'!$B$7+Z70*'Criteria &amp; Scoring'!$B$8+AA70*'Criteria &amp; Scoring'!$B$9+AB70*'Criteria &amp; Scoring'!$B$10+AC70*'Criteria &amp; Scoring'!$B$11)/SUM('Criteria &amp; Scoring'!$B$5:$B$11),2)</x:f>
        <x:v>4.04</x:v>
      </x:c>
      <x:c r="AG70" s="32" t="str">
        <x:f>IF(LARGE(AD70:AF70,1)-LARGE(AD70:AF70,2)&lt;0.15,"Context-dependent tie",SUBSTITUTE(INDEX($AD$4:$AF$4,1,MATCH(MAX(AD70:AF70),AD70:AF70,0))," Overall",""))</x:f>
        <x:v>Context-dependent tie</x:v>
      </x:c>
      <x:c r="AH70" s="32" t="str">
        <x:f>IF(AG70="AWS","Start with AWS when infrastructure breadth, native integration and operational maturity are the main differentiators.",IF(AG70="Azure","Start with Azure when Microsoft identity, security, data, productivity or hybrid integration reduces delivery effort.",IF(AG70="GCP","Start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70" s="32" t="str">
        <x:v>High</x:v>
      </x:c>
      <x:c r="AJ70" s="32" t="str">
        <x:v>2026-07-12</x:v>
      </x:c>
    </x:row>
    <x:row r="71">
      <x:c r="A71" s="32" t="str">
        <x:v>Virtual-machine autoscaling</x:v>
      </x:c>
      <x:c r="B71" s="32" t="str">
        <x:v>04 Compute, Containers &amp; Runtime</x:v>
      </x:c>
      <x:c r="C71" s="32" t="str">
        <x:v>Virtual Machines &amp; Core Compute</x:v>
      </x:c>
      <x:c r="D71" s="32" t="str">
        <x:v>Workload</x:v>
      </x:c>
      <x:c r="E71" s="32" t="str">
        <x:v>How much OS, network and hardware control is required, and who will operate it?</x:v>
      </x:c>
      <x:c r="F71" s="32" t="str">
        <x:v>Amazon EC2 Auto Scaling</x:v>
      </x:c>
      <x:c r="G71" s="32" t="str">
        <x:v>Virtual Machine Scale Sets</x:v>
      </x:c>
      <x:c r="H71" s="32" t="str">
        <x:v>Managed instance groups</x:v>
      </x:c>
      <x:c r="I71" s="32" t="n">
        <x:v>4.5</x:v>
      </x:c>
      <x:c r="J71" s="32" t="n">
        <x:v>3</x:v>
      </x:c>
      <x:c r="K71" s="32" t="n">
        <x:v>4.6</x:v>
      </x:c>
      <x:c r="L71" s="32" t="n">
        <x:v>4.3</x:v>
      </x:c>
      <x:c r="M71" s="32" t="n">
        <x:v>4.2</x:v>
      </x:c>
      <x:c r="N71" s="32" t="n">
        <x:v>4.8</x:v>
      </x:c>
      <x:c r="O71" s="32" t="n">
        <x:v>3.7</x:v>
      </x:c>
      <x:c r="P71" s="32" t="n">
        <x:v>4.2</x:v>
      </x:c>
      <x:c r="Q71" s="32" t="n">
        <x:v>3</x:v>
      </x:c>
      <x:c r="R71" s="32" t="n">
        <x:v>4.5</x:v>
      </x:c>
      <x:c r="S71" s="32" t="n">
        <x:v>4.5</x:v>
      </x:c>
      <x:c r="T71" s="32" t="n">
        <x:v>4.2</x:v>
      </x:c>
      <x:c r="U71" s="32" t="n">
        <x:v>4.5</x:v>
      </x:c>
      <x:c r="V71" s="32" t="n">
        <x:v>3.8</x:v>
      </x:c>
      <x:c r="W71" s="32" t="n">
        <x:v>4.2</x:v>
      </x:c>
      <x:c r="X71" s="32" t="n">
        <x:v>3</x:v>
      </x:c>
      <x:c r="Y71" s="32" t="n">
        <x:v>4.2</x:v>
      </x:c>
      <x:c r="Z71" s="32" t="n">
        <x:v>4.7</x:v>
      </x:c>
      <x:c r="AA71" s="32" t="n">
        <x:v>4.2</x:v>
      </x:c>
      <x:c r="AB71" s="32" t="n">
        <x:v>4.4</x:v>
      </x:c>
      <x:c r="AC71" s="32" t="n">
        <x:v>3.9</x:v>
      </x:c>
      <x:c r="AD71" s="32" t="n">
        <x:f>ROUND((I71*'Criteria &amp; Scoring'!$B$5+J71*'Criteria &amp; Scoring'!$B$6+K71*'Criteria &amp; Scoring'!$B$7+L71*'Criteria &amp; Scoring'!$B$8+M71*'Criteria &amp; Scoring'!$B$9+N71*'Criteria &amp; Scoring'!$B$10+O71*'Criteria &amp; Scoring'!$B$11)/SUM('Criteria &amp; Scoring'!$B$5:$B$11),2)</x:f>
        <x:v>4.14</x:v>
      </x:c>
      <x:c r="AE71" s="32" t="n">
        <x:f>ROUND((P71*'Criteria &amp; Scoring'!$B$5+Q71*'Criteria &amp; Scoring'!$B$6+R71*'Criteria &amp; Scoring'!$B$7+S71*'Criteria &amp; Scoring'!$B$8+T71*'Criteria &amp; Scoring'!$B$9+U71*'Criteria &amp; Scoring'!$B$10+V71*'Criteria &amp; Scoring'!$B$11)/SUM('Criteria &amp; Scoring'!$B$5:$B$11),2)</x:f>
        <x:v>4.06</x:v>
      </x:c>
      <x:c r="AF71" s="32" t="n">
        <x:f>ROUND((W71*'Criteria &amp; Scoring'!$B$5+X71*'Criteria &amp; Scoring'!$B$6+Y71*'Criteria &amp; Scoring'!$B$7+Z71*'Criteria &amp; Scoring'!$B$8+AA71*'Criteria &amp; Scoring'!$B$9+AB71*'Criteria &amp; Scoring'!$B$10+AC71*'Criteria &amp; Scoring'!$B$11)/SUM('Criteria &amp; Scoring'!$B$5:$B$11),2)</x:f>
        <x:v>4.04</x:v>
      </x:c>
      <x:c r="AG71" s="32" t="str">
        <x:f>IF(LARGE(AD71:AF71,1)-LARGE(AD71:AF71,2)&lt;0.15,"Context-dependent tie",SUBSTITUTE(INDEX($AD$4:$AF$4,1,MATCH(MAX(AD71:AF71),AD71:AF71,0))," Overall",""))</x:f>
        <x:v>Context-dependent tie</x:v>
      </x:c>
      <x:c r="AH71" s="32" t="str">
        <x:f>IF(AG71="AWS","Start with AWS when infrastructure breadth, native integration and operational maturity are the main differentiators.",IF(AG71="Azure","Start with Azure when Microsoft identity, security, data, productivity or hybrid integration reduces delivery effort.",IF(AG71="GCP","Start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71" s="32" t="str">
        <x:v>High</x:v>
      </x:c>
      <x:c r="AJ71" s="32" t="str">
        <x:v>2026-07-12</x:v>
      </x:c>
    </x:row>
    <x:row r="72">
      <x:c r="A72" s="32" t="str">
        <x:v>Interruptible compute</x:v>
      </x:c>
      <x:c r="B72" s="32" t="str">
        <x:v>04 Compute, Containers &amp; Runtime</x:v>
      </x:c>
      <x:c r="C72" s="32" t="str">
        <x:v>Virtual Machines &amp; Core Compute</x:v>
      </x:c>
      <x:c r="D72" s="32" t="str">
        <x:v>Workload</x:v>
      </x:c>
      <x:c r="E72" s="32" t="str">
        <x:v>How much OS, network and hardware control is required, and who will operate it?</x:v>
      </x:c>
      <x:c r="F72" s="32" t="str">
        <x:v>Amazon EC2 Spot Instances</x:v>
      </x:c>
      <x:c r="G72" s="32" t="str">
        <x:v>Azure Spot Virtual Machines</x:v>
      </x:c>
      <x:c r="H72" s="32" t="str">
        <x:v>Spot VMs</x:v>
      </x:c>
      <x:c r="I72" s="32" t="n">
        <x:v>4.5</x:v>
      </x:c>
      <x:c r="J72" s="32" t="n">
        <x:v>3</x:v>
      </x:c>
      <x:c r="K72" s="32" t="n">
        <x:v>4.6</x:v>
      </x:c>
      <x:c r="L72" s="32" t="n">
        <x:v>4.3</x:v>
      </x:c>
      <x:c r="M72" s="32" t="n">
        <x:v>4.2</x:v>
      </x:c>
      <x:c r="N72" s="32" t="n">
        <x:v>4.8</x:v>
      </x:c>
      <x:c r="O72" s="32" t="n">
        <x:v>3.7</x:v>
      </x:c>
      <x:c r="P72" s="32" t="n">
        <x:v>4.2</x:v>
      </x:c>
      <x:c r="Q72" s="32" t="n">
        <x:v>3</x:v>
      </x:c>
      <x:c r="R72" s="32" t="n">
        <x:v>4.5</x:v>
      </x:c>
      <x:c r="S72" s="32" t="n">
        <x:v>4.5</x:v>
      </x:c>
      <x:c r="T72" s="32" t="n">
        <x:v>4.2</x:v>
      </x:c>
      <x:c r="U72" s="32" t="n">
        <x:v>4.5</x:v>
      </x:c>
      <x:c r="V72" s="32" t="n">
        <x:v>3.8</x:v>
      </x:c>
      <x:c r="W72" s="32" t="n">
        <x:v>4.2</x:v>
      </x:c>
      <x:c r="X72" s="32" t="n">
        <x:v>3</x:v>
      </x:c>
      <x:c r="Y72" s="32" t="n">
        <x:v>4.2</x:v>
      </x:c>
      <x:c r="Z72" s="32" t="n">
        <x:v>4.7</x:v>
      </x:c>
      <x:c r="AA72" s="32" t="n">
        <x:v>4.2</x:v>
      </x:c>
      <x:c r="AB72" s="32" t="n">
        <x:v>4.4</x:v>
      </x:c>
      <x:c r="AC72" s="32" t="n">
        <x:v>3.9</x:v>
      </x:c>
      <x:c r="AD72" s="32" t="n">
        <x:f>ROUND((I72*'Criteria &amp; Scoring'!$B$5+J72*'Criteria &amp; Scoring'!$B$6+K72*'Criteria &amp; Scoring'!$B$7+L72*'Criteria &amp; Scoring'!$B$8+M72*'Criteria &amp; Scoring'!$B$9+N72*'Criteria &amp; Scoring'!$B$10+O72*'Criteria &amp; Scoring'!$B$11)/SUM('Criteria &amp; Scoring'!$B$5:$B$11),2)</x:f>
        <x:v>4.14</x:v>
      </x:c>
      <x:c r="AE72" s="32" t="n">
        <x:f>ROUND((P72*'Criteria &amp; Scoring'!$B$5+Q72*'Criteria &amp; Scoring'!$B$6+R72*'Criteria &amp; Scoring'!$B$7+S72*'Criteria &amp; Scoring'!$B$8+T72*'Criteria &amp; Scoring'!$B$9+U72*'Criteria &amp; Scoring'!$B$10+V72*'Criteria &amp; Scoring'!$B$11)/SUM('Criteria &amp; Scoring'!$B$5:$B$11),2)</x:f>
        <x:v>4.06</x:v>
      </x:c>
      <x:c r="AF72" s="32" t="n">
        <x:f>ROUND((W72*'Criteria &amp; Scoring'!$B$5+X72*'Criteria &amp; Scoring'!$B$6+Y72*'Criteria &amp; Scoring'!$B$7+Z72*'Criteria &amp; Scoring'!$B$8+AA72*'Criteria &amp; Scoring'!$B$9+AB72*'Criteria &amp; Scoring'!$B$10+AC72*'Criteria &amp; Scoring'!$B$11)/SUM('Criteria &amp; Scoring'!$B$5:$B$11),2)</x:f>
        <x:v>4.04</x:v>
      </x:c>
      <x:c r="AG72" s="32" t="str">
        <x:f>IF(LARGE(AD72:AF72,1)-LARGE(AD72:AF72,2)&lt;0.15,"Context-dependent tie",SUBSTITUTE(INDEX($AD$4:$AF$4,1,MATCH(MAX(AD72:AF72),AD72:AF72,0))," Overall",""))</x:f>
        <x:v>Context-dependent tie</x:v>
      </x:c>
      <x:c r="AH72" s="32" t="str">
        <x:f>IF(AG72="AWS","Start with AWS when infrastructure breadth, native integration and operational maturity are the main differentiators.",IF(AG72="Azure","Start with Azure when Microsoft identity, security, data, productivity or hybrid integration reduces delivery effort.",IF(AG72="GCP","Start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72" s="32" t="str">
        <x:v>High</x:v>
      </x:c>
      <x:c r="AJ72" s="32" t="str">
        <x:v>2026-07-12</x:v>
      </x:c>
    </x:row>
    <x:row r="73">
      <x:c r="A73" s="32" t="str">
        <x:v>Dedicated hosts</x:v>
      </x:c>
      <x:c r="B73" s="32" t="str">
        <x:v>04 Compute, Containers &amp; Runtime</x:v>
      </x:c>
      <x:c r="C73" s="32" t="str">
        <x:v>Virtual Machines &amp; Core Compute</x:v>
      </x:c>
      <x:c r="D73" s="32" t="str">
        <x:v>Workload</x:v>
      </x:c>
      <x:c r="E73" s="32" t="str">
        <x:v>How much OS, network and hardware control is required, and who will operate it?</x:v>
      </x:c>
      <x:c r="F73" s="32" t="str">
        <x:v>Amazon EC2 Dedicated Hosts</x:v>
      </x:c>
      <x:c r="G73" s="32" t="str">
        <x:v>Azure Dedicated Host</x:v>
      </x:c>
      <x:c r="H73" s="32" t="str">
        <x:v>Sole-tenant nodes</x:v>
      </x:c>
      <x:c r="I73" s="32" t="n">
        <x:v>4.5</x:v>
      </x:c>
      <x:c r="J73" s="32" t="n">
        <x:v>3</x:v>
      </x:c>
      <x:c r="K73" s="32" t="n">
        <x:v>4.6</x:v>
      </x:c>
      <x:c r="L73" s="32" t="n">
        <x:v>4.3</x:v>
      </x:c>
      <x:c r="M73" s="32" t="n">
        <x:v>4.2</x:v>
      </x:c>
      <x:c r="N73" s="32" t="n">
        <x:v>4.8</x:v>
      </x:c>
      <x:c r="O73" s="32" t="n">
        <x:v>3.7</x:v>
      </x:c>
      <x:c r="P73" s="32" t="n">
        <x:v>4.2</x:v>
      </x:c>
      <x:c r="Q73" s="32" t="n">
        <x:v>3</x:v>
      </x:c>
      <x:c r="R73" s="32" t="n">
        <x:v>4.5</x:v>
      </x:c>
      <x:c r="S73" s="32" t="n">
        <x:v>4.5</x:v>
      </x:c>
      <x:c r="T73" s="32" t="n">
        <x:v>4.2</x:v>
      </x:c>
      <x:c r="U73" s="32" t="n">
        <x:v>4.5</x:v>
      </x:c>
      <x:c r="V73" s="32" t="n">
        <x:v>3.8</x:v>
      </x:c>
      <x:c r="W73" s="32" t="n">
        <x:v>4.2</x:v>
      </x:c>
      <x:c r="X73" s="32" t="n">
        <x:v>3</x:v>
      </x:c>
      <x:c r="Y73" s="32" t="n">
        <x:v>4.2</x:v>
      </x:c>
      <x:c r="Z73" s="32" t="n">
        <x:v>4.7</x:v>
      </x:c>
      <x:c r="AA73" s="32" t="n">
        <x:v>4.2</x:v>
      </x:c>
      <x:c r="AB73" s="32" t="n">
        <x:v>4.4</x:v>
      </x:c>
      <x:c r="AC73" s="32" t="n">
        <x:v>3.9</x:v>
      </x:c>
      <x:c r="AD73" s="32" t="n">
        <x:f>ROUND((I73*'Criteria &amp; Scoring'!$B$5+J73*'Criteria &amp; Scoring'!$B$6+K73*'Criteria &amp; Scoring'!$B$7+L73*'Criteria &amp; Scoring'!$B$8+M73*'Criteria &amp; Scoring'!$B$9+N73*'Criteria &amp; Scoring'!$B$10+O73*'Criteria &amp; Scoring'!$B$11)/SUM('Criteria &amp; Scoring'!$B$5:$B$11),2)</x:f>
        <x:v>4.14</x:v>
      </x:c>
      <x:c r="AE73" s="32" t="n">
        <x:f>ROUND((P73*'Criteria &amp; Scoring'!$B$5+Q73*'Criteria &amp; Scoring'!$B$6+R73*'Criteria &amp; Scoring'!$B$7+S73*'Criteria &amp; Scoring'!$B$8+T73*'Criteria &amp; Scoring'!$B$9+U73*'Criteria &amp; Scoring'!$B$10+V73*'Criteria &amp; Scoring'!$B$11)/SUM('Criteria &amp; Scoring'!$B$5:$B$11),2)</x:f>
        <x:v>4.06</x:v>
      </x:c>
      <x:c r="AF73" s="32" t="n">
        <x:f>ROUND((W73*'Criteria &amp; Scoring'!$B$5+X73*'Criteria &amp; Scoring'!$B$6+Y73*'Criteria &amp; Scoring'!$B$7+Z73*'Criteria &amp; Scoring'!$B$8+AA73*'Criteria &amp; Scoring'!$B$9+AB73*'Criteria &amp; Scoring'!$B$10+AC73*'Criteria &amp; Scoring'!$B$11)/SUM('Criteria &amp; Scoring'!$B$5:$B$11),2)</x:f>
        <x:v>4.04</x:v>
      </x:c>
      <x:c r="AG73" s="32" t="str">
        <x:f>IF(LARGE(AD73:AF73,1)-LARGE(AD73:AF73,2)&lt;0.15,"Context-dependent tie",SUBSTITUTE(INDEX($AD$4:$AF$4,1,MATCH(MAX(AD73:AF73),AD73:AF73,0))," Overall",""))</x:f>
        <x:v>Context-dependent tie</x:v>
      </x:c>
      <x:c r="AH73" s="32" t="str">
        <x:f>IF(AG73="AWS","Start with AWS when infrastructure breadth, native integration and operational maturity are the main differentiators.",IF(AG73="Azure","Start with Azure when Microsoft identity, security, data, productivity or hybrid integration reduces delivery effort.",IF(AG73="GCP","Start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73" s="32" t="str">
        <x:v>High</x:v>
      </x:c>
      <x:c r="AJ73" s="32" t="str">
        <x:v>2026-07-12</x:v>
      </x:c>
    </x:row>
    <x:row r="74">
      <x:c r="A74" s="32" t="str">
        <x:v>Machine image builder</x:v>
      </x:c>
      <x:c r="B74" s="32" t="str">
        <x:v>04 Compute, Containers &amp; Runtime</x:v>
      </x:c>
      <x:c r="C74" s="32" t="str">
        <x:v>Virtual Machines &amp; Core Compute</x:v>
      </x:c>
      <x:c r="D74" s="32" t="str">
        <x:v>Workload</x:v>
      </x:c>
      <x:c r="E74" s="32" t="str">
        <x:v>How much OS, network and hardware control is required, and who will operate it?</x:v>
      </x:c>
      <x:c r="F74" s="32" t="str">
        <x:v>EC2 Image Builder</x:v>
      </x:c>
      <x:c r="G74" s="32" t="str">
        <x:v>Azure VM Image Builder
Azure Compute Gallery</x:v>
      </x:c>
      <x:c r="H74" s="32" t="str">
        <x:v>Image Builder</x:v>
      </x:c>
      <x:c r="I74" s="32" t="n">
        <x:v>4.3</x:v>
      </x:c>
      <x:c r="J74" s="32" t="n">
        <x:v>3</x:v>
      </x:c>
      <x:c r="K74" s="32" t="n">
        <x:v>4.5</x:v>
      </x:c>
      <x:c r="L74" s="32" t="n">
        <x:v>4.3</x:v>
      </x:c>
      <x:c r="M74" s="32" t="n">
        <x:v>4.2</x:v>
      </x:c>
      <x:c r="N74" s="32" t="n">
        <x:v>4.7</x:v>
      </x:c>
      <x:c r="O74" s="32" t="n">
        <x:v>3.7</x:v>
      </x:c>
      <x:c r="P74" s="32" t="n">
        <x:v>3.9</x:v>
      </x:c>
      <x:c r="Q74" s="32" t="n">
        <x:v>2.9</x:v>
      </x:c>
      <x:c r="R74" s="32" t="n">
        <x:v>4.4</x:v>
      </x:c>
      <x:c r="S74" s="32" t="n">
        <x:v>4.4</x:v>
      </x:c>
      <x:c r="T74" s="32" t="n">
        <x:v>4.1</x:v>
      </x:c>
      <x:c r="U74" s="32" t="n">
        <x:v>4.3</x:v>
      </x:c>
      <x:c r="V74" s="32" t="n">
        <x:v>3.7</x:v>
      </x:c>
      <x:c r="W74" s="32" t="n">
        <x:v>4</x:v>
      </x:c>
      <x:c r="X74" s="32" t="n">
        <x:v>3</x:v>
      </x:c>
      <x:c r="Y74" s="32" t="n">
        <x:v>4.2</x:v>
      </x:c>
      <x:c r="Z74" s="32" t="n">
        <x:v>4.7</x:v>
      </x:c>
      <x:c r="AA74" s="32" t="n">
        <x:v>4.2</x:v>
      </x:c>
      <x:c r="AB74" s="32" t="n">
        <x:v>4.3</x:v>
      </x:c>
      <x:c r="AC74" s="32" t="n">
        <x:v>3.9</x:v>
      </x:c>
      <x:c r="AD74" s="32" t="n">
        <x:f>ROUND((I74*'Criteria &amp; Scoring'!$B$5+J74*'Criteria &amp; Scoring'!$B$6+K74*'Criteria &amp; Scoring'!$B$7+L74*'Criteria &amp; Scoring'!$B$8+M74*'Criteria &amp; Scoring'!$B$9+N74*'Criteria &amp; Scoring'!$B$10+O74*'Criteria &amp; Scoring'!$B$11)/SUM('Criteria &amp; Scoring'!$B$5:$B$11),2)</x:f>
        <x:v>4.07</x:v>
      </x:c>
      <x:c r="AE74" s="32" t="n">
        <x:f>ROUND((P74*'Criteria &amp; Scoring'!$B$5+Q74*'Criteria &amp; Scoring'!$B$6+R74*'Criteria &amp; Scoring'!$B$7+S74*'Criteria &amp; Scoring'!$B$8+T74*'Criteria &amp; Scoring'!$B$9+U74*'Criteria &amp; Scoring'!$B$10+V74*'Criteria &amp; Scoring'!$B$11)/SUM('Criteria &amp; Scoring'!$B$5:$B$11),2)</x:f>
        <x:v>3.9</x:v>
      </x:c>
      <x:c r="AF74" s="32" t="n">
        <x:f>ROUND((W74*'Criteria &amp; Scoring'!$B$5+X74*'Criteria &amp; Scoring'!$B$6+Y74*'Criteria &amp; Scoring'!$B$7+Z74*'Criteria &amp; Scoring'!$B$8+AA74*'Criteria &amp; Scoring'!$B$9+AB74*'Criteria &amp; Scoring'!$B$10+AC74*'Criteria &amp; Scoring'!$B$11)/SUM('Criteria &amp; Scoring'!$B$5:$B$11),2)</x:f>
        <x:v>3.98</x:v>
      </x:c>
      <x:c r="AG74" s="32" t="str">
        <x:f>IF(LARGE(AD74:AF74,1)-LARGE(AD74:AF74,2)&lt;0.15,"Context-dependent tie",SUBSTITUTE(INDEX($AD$4:$AF$4,1,MATCH(MAX(AD74:AF74),AD74:AF74,0))," Overall",""))</x:f>
        <x:v>Context-dependent tie</x:v>
      </x:c>
      <x:c r="AH74" s="32" t="str">
        <x:f>IF(AG74="AWS","Start with AWS when infrastructure breadth, native integration and operational maturity are the main differentiators.",IF(AG74="Azure","Start with Azure when Microsoft identity, security, data, productivity or hybrid integration reduces delivery effort.",IF(AG74="GCP","Start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74" s="32" t="str">
        <x:v>Medium</x:v>
      </x:c>
      <x:c r="AJ74" s="32" t="str">
        <x:v>2026-07-12</x:v>
      </x:c>
    </x:row>
    <x:row r="75">
      <x:c r="A75" s="32" t="str">
        <x:v>Simplified virtual server hosting</x:v>
      </x:c>
      <x:c r="B75" s="32" t="str">
        <x:v>04 Compute, Containers &amp; Runtime</x:v>
      </x:c>
      <x:c r="C75" s="32" t="str">
        <x:v>Virtual Machines &amp; Core Compute</x:v>
      </x:c>
      <x:c r="D75" s="32" t="str">
        <x:v>Workload</x:v>
      </x:c>
      <x:c r="E75" s="32" t="str">
        <x:v>How much OS, network and hardware control is required, and who will operate it?</x:v>
      </x:c>
      <x:c r="F75" s="32" t="str">
        <x:v>Amazon Lightsail</x:v>
      </x:c>
      <x:c r="G75" s="32" t="str">
        <x:v>Azure App Service / Virtual Machines</x:v>
      </x:c>
      <x:c r="H75" s="32" t="str">
        <x:v>Compute Engine / Cloud Run</x:v>
      </x:c>
      <x:c r="I75" s="32" t="n">
        <x:v>3.9</x:v>
      </x:c>
      <x:c r="J75" s="32" t="n">
        <x:v>3</x:v>
      </x:c>
      <x:c r="K75" s="32" t="n">
        <x:v>4.3</x:v>
      </x:c>
      <x:c r="L75" s="32" t="n">
        <x:v>4.3</x:v>
      </x:c>
      <x:c r="M75" s="32" t="n">
        <x:v>4.2</x:v>
      </x:c>
      <x:c r="N75" s="32" t="n">
        <x:v>4.4</x:v>
      </x:c>
      <x:c r="O75" s="32" t="n">
        <x:v>3.7</x:v>
      </x:c>
      <x:c r="P75" s="32" t="n">
        <x:v>3.4</x:v>
      </x:c>
      <x:c r="Q75" s="32" t="n">
        <x:v>2.9</x:v>
      </x:c>
      <x:c r="R75" s="32" t="n">
        <x:v>4.1</x:v>
      </x:c>
      <x:c r="S75" s="32" t="n">
        <x:v>4.4</x:v>
      </x:c>
      <x:c r="T75" s="32" t="n">
        <x:v>4.1</x:v>
      </x:c>
      <x:c r="U75" s="32" t="n">
        <x:v>4.1</x:v>
      </x:c>
      <x:c r="V75" s="32" t="n">
        <x:v>3.7</x:v>
      </x:c>
      <x:c r="W75" s="32" t="n">
        <x:v>3.4</x:v>
      </x:c>
      <x:c r="X75" s="32" t="n">
        <x:v>2.9</x:v>
      </x:c>
      <x:c r="Y75" s="32" t="n">
        <x:v>3.8</x:v>
      </x:c>
      <x:c r="Z75" s="32" t="n">
        <x:v>4.6</x:v>
      </x:c>
      <x:c r="AA75" s="32" t="n">
        <x:v>4.1</x:v>
      </x:c>
      <x:c r="AB75" s="32" t="n">
        <x:v>4</x:v>
      </x:c>
      <x:c r="AC75" s="32" t="n">
        <x:v>3.8</x:v>
      </x:c>
      <x:c r="AD75" s="32" t="n">
        <x:f>ROUND((I75*'Criteria &amp; Scoring'!$B$5+J75*'Criteria &amp; Scoring'!$B$6+K75*'Criteria &amp; Scoring'!$B$7+L75*'Criteria &amp; Scoring'!$B$8+M75*'Criteria &amp; Scoring'!$B$9+N75*'Criteria &amp; Scoring'!$B$10+O75*'Criteria &amp; Scoring'!$B$11)/SUM('Criteria &amp; Scoring'!$B$5:$B$11),2)</x:f>
        <x:v>3.91</x:v>
      </x:c>
      <x:c r="AE75" s="32" t="n">
        <x:f>ROUND((P75*'Criteria &amp; Scoring'!$B$5+Q75*'Criteria &amp; Scoring'!$B$6+R75*'Criteria &amp; Scoring'!$B$7+S75*'Criteria &amp; Scoring'!$B$8+T75*'Criteria &amp; Scoring'!$B$9+U75*'Criteria &amp; Scoring'!$B$10+V75*'Criteria &amp; Scoring'!$B$11)/SUM('Criteria &amp; Scoring'!$B$5:$B$11),2)</x:f>
        <x:v>3.71</x:v>
      </x:c>
      <x:c r="AF75" s="32" t="n">
        <x:f>ROUND((W75*'Criteria &amp; Scoring'!$B$5+X75*'Criteria &amp; Scoring'!$B$6+Y75*'Criteria &amp; Scoring'!$B$7+Z75*'Criteria &amp; Scoring'!$B$8+AA75*'Criteria &amp; Scoring'!$B$9+AB75*'Criteria &amp; Scoring'!$B$10+AC75*'Criteria &amp; Scoring'!$B$11)/SUM('Criteria &amp; Scoring'!$B$5:$B$11),2)</x:f>
        <x:v>3.69</x:v>
      </x:c>
      <x:c r="AG75" s="32" t="str">
        <x:f>IF(LARGE(AD75:AF75,1)-LARGE(AD75:AF75,2)&lt;0.15,"Context-dependent tie",SUBSTITUTE(INDEX($AD$4:$AF$4,1,MATCH(MAX(AD75:AF75),AD75:AF75,0))," Overall",""))</x:f>
        <x:v>AWS</x:v>
      </x:c>
      <x:c r="AH75" s="32" t="str">
        <x:f>IF(AG75="AWS","Start with AWS when infrastructure breadth, native integration and operational maturity are the main differentiators.",IF(AG75="Azure","Start with Azure when Microsoft identity, security, data, productivity or hybrid integration reduces delivery effort.",IF(AG75="GCP","Start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75" s="32" t="str">
        <x:v>Low</x:v>
      </x:c>
      <x:c r="AJ75" s="32" t="str">
        <x:v>2026-07-12</x:v>
      </x:c>
    </x:row>
    <x:row r="76">
      <x:c r="A76" s="32" t="str">
        <x:v>Managed batch computing</x:v>
      </x:c>
      <x:c r="B76" s="32" t="str">
        <x:v>04 Compute, Containers &amp; Runtime</x:v>
      </x:c>
      <x:c r="C76" s="32" t="str">
        <x:v>Specialised &amp; High-Performance Compute</x:v>
      </x:c>
      <x:c r="D76" s="32" t="str">
        <x:v>Workload</x:v>
      </x:c>
      <x:c r="E76" s="32" t="str">
        <x:v>What business outcome, scale, control, integration and operating model justify choosing managed batch computing?</x:v>
      </x:c>
      <x:c r="F76" s="32" t="str">
        <x:v>AWS Batch</x:v>
      </x:c>
      <x:c r="G76" s="32" t="str">
        <x:v>Azure Batch</x:v>
      </x:c>
      <x:c r="H76" s="32" t="str">
        <x:v>Batch</x:v>
      </x:c>
      <x:c r="I76" s="32" t="n">
        <x:v>4.2</x:v>
      </x:c>
      <x:c r="J76" s="32" t="n">
        <x:v>3</x:v>
      </x:c>
      <x:c r="K76" s="32" t="n">
        <x:v>4.6</x:v>
      </x:c>
      <x:c r="L76" s="32" t="n">
        <x:v>4.3</x:v>
      </x:c>
      <x:c r="M76" s="32" t="n">
        <x:v>3.5</x:v>
      </x:c>
      <x:c r="N76" s="32" t="n">
        <x:v>4.8</x:v>
      </x:c>
      <x:c r="O76" s="32" t="n">
        <x:v>3.7</x:v>
      </x:c>
      <x:c r="P76" s="32" t="n">
        <x:v>4.2</x:v>
      </x:c>
      <x:c r="Q76" s="32" t="n">
        <x:v>3</x:v>
      </x:c>
      <x:c r="R76" s="32" t="n">
        <x:v>4.5</x:v>
      </x:c>
      <x:c r="S76" s="32" t="n">
        <x:v>4.5</x:v>
      </x:c>
      <x:c r="T76" s="32" t="n">
        <x:v>3.5</x:v>
      </x:c>
      <x:c r="U76" s="32" t="n">
        <x:v>4.5</x:v>
      </x:c>
      <x:c r="V76" s="32" t="n">
        <x:v>3.8</x:v>
      </x:c>
      <x:c r="W76" s="32" t="n">
        <x:v>4.2</x:v>
      </x:c>
      <x:c r="X76" s="32" t="n">
        <x:v>3</x:v>
      </x:c>
      <x:c r="Y76" s="32" t="n">
        <x:v>4.2</x:v>
      </x:c>
      <x:c r="Z76" s="32" t="n">
        <x:v>4.7</x:v>
      </x:c>
      <x:c r="AA76" s="32" t="n">
        <x:v>3.5</x:v>
      </x:c>
      <x:c r="AB76" s="32" t="n">
        <x:v>4.4</x:v>
      </x:c>
      <x:c r="AC76" s="32" t="n">
        <x:v>3.9</x:v>
      </x:c>
      <x:c r="AD76" s="32" t="n">
        <x:f>ROUND((I76*'Criteria &amp; Scoring'!$B$5+J76*'Criteria &amp; Scoring'!$B$6+K76*'Criteria &amp; Scoring'!$B$7+L76*'Criteria &amp; Scoring'!$B$8+M76*'Criteria &amp; Scoring'!$B$9+N76*'Criteria &amp; Scoring'!$B$10+O76*'Criteria &amp; Scoring'!$B$11)/SUM('Criteria &amp; Scoring'!$B$5:$B$11),2)</x:f>
        <x:v>4</x:v>
      </x:c>
      <x:c r="AE76" s="32" t="n">
        <x:f>ROUND((P76*'Criteria &amp; Scoring'!$B$5+Q76*'Criteria &amp; Scoring'!$B$6+R76*'Criteria &amp; Scoring'!$B$7+S76*'Criteria &amp; Scoring'!$B$8+T76*'Criteria &amp; Scoring'!$B$9+U76*'Criteria &amp; Scoring'!$B$10+V76*'Criteria &amp; Scoring'!$B$11)/SUM('Criteria &amp; Scoring'!$B$5:$B$11),2)</x:f>
        <x:v>3.99</x:v>
      </x:c>
      <x:c r="AF76" s="32" t="n">
        <x:f>ROUND((W76*'Criteria &amp; Scoring'!$B$5+X76*'Criteria &amp; Scoring'!$B$6+Y76*'Criteria &amp; Scoring'!$B$7+Z76*'Criteria &amp; Scoring'!$B$8+AA76*'Criteria &amp; Scoring'!$B$9+AB76*'Criteria &amp; Scoring'!$B$10+AC76*'Criteria &amp; Scoring'!$B$11)/SUM('Criteria &amp; Scoring'!$B$5:$B$11),2)</x:f>
        <x:v>3.97</x:v>
      </x:c>
      <x:c r="AG76" s="32" t="str">
        <x:f>IF(LARGE(AD76:AF76,1)-LARGE(AD76:AF76,2)&lt;0.15,"Context-dependent tie",SUBSTITUTE(INDEX($AD$4:$AF$4,1,MATCH(MAX(AD76:AF76),AD76:AF76,0))," Overall",""))</x:f>
        <x:v>Context-dependent tie</x:v>
      </x:c>
      <x:c r="AH76" s="32" t="str">
        <x:f>IF(AG76="AWS","Start with AWS when infrastructure breadth, native integration and operational maturity are the main differentiators.",IF(AG76="Azure","Start with Azure when Microsoft identity, security, data, productivity or hybrid integration reduces delivery effort.",IF(AG76="GCP","Start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76" s="32" t="str">
        <x:v>High</x:v>
      </x:c>
      <x:c r="AJ76" s="32" t="str">
        <x:v>2026-07-12</x:v>
      </x:c>
    </x:row>
    <x:row r="77">
      <x:c r="A77" s="32" t="str">
        <x:v>High-performance computing platform</x:v>
      </x:c>
      <x:c r="B77" s="32" t="str">
        <x:v>04 Compute, Containers &amp; Runtime</x:v>
      </x:c>
      <x:c r="C77" s="32" t="str">
        <x:v>Specialised &amp; High-Performance Compute</x:v>
      </x:c>
      <x:c r="D77" s="32" t="str">
        <x:v>Platform</x:v>
      </x:c>
      <x:c r="E77" s="32" t="str">
        <x:v>What business outcome, scale, control, integration and operating model justify choosing high-performance computing platform?</x:v>
      </x:c>
      <x:c r="F77" s="32" t="str">
        <x:v>AWS ParallelCluster
Amazon EC2 HPC</x:v>
      </x:c>
      <x:c r="G77" s="32" t="str">
        <x:v>Azure CycleCloud
Azure HPC</x:v>
      </x:c>
      <x:c r="H77" s="32" t="str">
        <x:v>Cluster Toolkit
Cloud HPC Toolkit</x:v>
      </x:c>
      <x:c r="I77" s="32" t="n">
        <x:v>3.9</x:v>
      </x:c>
      <x:c r="J77" s="32" t="n">
        <x:v>2.9</x:v>
      </x:c>
      <x:c r="K77" s="32" t="n">
        <x:v>4.4</x:v>
      </x:c>
      <x:c r="L77" s="32" t="n">
        <x:v>4.3</x:v>
      </x:c>
      <x:c r="M77" s="32" t="n">
        <x:v>3.5</x:v>
      </x:c>
      <x:c r="N77" s="32" t="n">
        <x:v>4.5</x:v>
      </x:c>
      <x:c r="O77" s="32" t="n">
        <x:v>3.3</x:v>
      </x:c>
      <x:c r="P77" s="32" t="n">
        <x:v>3.9</x:v>
      </x:c>
      <x:c r="Q77" s="32" t="n">
        <x:v>2.9</x:v>
      </x:c>
      <x:c r="R77" s="32" t="n">
        <x:v>4.4</x:v>
      </x:c>
      <x:c r="S77" s="32" t="n">
        <x:v>4.4</x:v>
      </x:c>
      <x:c r="T77" s="32" t="n">
        <x:v>3.5</x:v>
      </x:c>
      <x:c r="U77" s="32" t="n">
        <x:v>4.3</x:v>
      </x:c>
      <x:c r="V77" s="32" t="n">
        <x:v>3.4</x:v>
      </x:c>
      <x:c r="W77" s="32" t="n">
        <x:v>3.9</x:v>
      </x:c>
      <x:c r="X77" s="32" t="n">
        <x:v>2.9</x:v>
      </x:c>
      <x:c r="Y77" s="32" t="n">
        <x:v>4.1</x:v>
      </x:c>
      <x:c r="Z77" s="32" t="n">
        <x:v>4.6</x:v>
      </x:c>
      <x:c r="AA77" s="32" t="n">
        <x:v>3.5</x:v>
      </x:c>
      <x:c r="AB77" s="32" t="n">
        <x:v>4.2</x:v>
      </x:c>
      <x:c r="AC77" s="32" t="n">
        <x:v>3.4</x:v>
      </x:c>
      <x:c r="AD77" s="32" t="n">
        <x:f>ROUND((I77*'Criteria &amp; Scoring'!$B$5+J77*'Criteria &amp; Scoring'!$B$6+K77*'Criteria &amp; Scoring'!$B$7+L77*'Criteria &amp; Scoring'!$B$8+M77*'Criteria &amp; Scoring'!$B$9+N77*'Criteria &amp; Scoring'!$B$10+O77*'Criteria &amp; Scoring'!$B$11)/SUM('Criteria &amp; Scoring'!$B$5:$B$11),2)</x:f>
        <x:v>3.83</x:v>
      </x:c>
      <x:c r="AE77" s="32" t="n">
        <x:f>ROUND((P77*'Criteria &amp; Scoring'!$B$5+Q77*'Criteria &amp; Scoring'!$B$6+R77*'Criteria &amp; Scoring'!$B$7+S77*'Criteria &amp; Scoring'!$B$8+T77*'Criteria &amp; Scoring'!$B$9+U77*'Criteria &amp; Scoring'!$B$10+V77*'Criteria &amp; Scoring'!$B$11)/SUM('Criteria &amp; Scoring'!$B$5:$B$11),2)</x:f>
        <x:v>3.83</x:v>
      </x:c>
      <x:c r="AF77" s="32" t="n">
        <x:f>ROUND((W77*'Criteria &amp; Scoring'!$B$5+X77*'Criteria &amp; Scoring'!$B$6+Y77*'Criteria &amp; Scoring'!$B$7+Z77*'Criteria &amp; Scoring'!$B$8+AA77*'Criteria &amp; Scoring'!$B$9+AB77*'Criteria &amp; Scoring'!$B$10+AC77*'Criteria &amp; Scoring'!$B$11)/SUM('Criteria &amp; Scoring'!$B$5:$B$11),2)</x:f>
        <x:v>3.8</x:v>
      </x:c>
      <x:c r="AG77" s="32" t="str">
        <x:f>IF(LARGE(AD77:AF77,1)-LARGE(AD77:AF77,2)&lt;0.15,"Context-dependent tie",SUBSTITUTE(INDEX($AD$4:$AF$4,1,MATCH(MAX(AD77:AF77),AD77:AF77,0))," Overall",""))</x:f>
        <x:v>Context-dependent tie</x:v>
      </x:c>
      <x:c r="AH77" s="32" t="str">
        <x:f>IF(AG77="AWS","Start with AWS when infrastructure breadth, native integration and operational maturity are the main differentiators.",IF(AG77="Azure","Start with Azure when Microsoft identity, security, data, productivity or hybrid integration reduces delivery effort.",IF(AG77="GCP","Start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77" s="32" t="str">
        <x:v>Medium</x:v>
      </x:c>
      <x:c r="AJ77" s="32" t="str">
        <x:v>2026-07-12</x:v>
      </x:c>
    </x:row>
    <x:row r="78">
      <x:c r="A78" s="32" t="str">
        <x:v>Functions as a service</x:v>
      </x:c>
      <x:c r="B78" s="32" t="str">
        <x:v>04 Compute, Containers &amp; Runtime</x:v>
      </x:c>
      <x:c r="C78" s="32" t="str">
        <x:v>Serverless Compute</x:v>
      </x:c>
      <x:c r="D78" s="32" t="str">
        <x:v>Workload</x:v>
      </x:c>
      <x:c r="E78" s="32" t="str">
        <x:v>Is the workload event-driven and stateless, and can it tolerate runtime, duration and platform constraints?</x:v>
      </x:c>
      <x:c r="F78" s="32" t="str">
        <x:v>AWS Lambda</x:v>
      </x:c>
      <x:c r="G78" s="32" t="str">
        <x:v>Azure Functions</x:v>
      </x:c>
      <x:c r="H78" s="32" t="str">
        <x:v>Cloud Run functions</x:v>
      </x:c>
      <x:c r="I78" s="32" t="n">
        <x:v>4.5</x:v>
      </x:c>
      <x:c r="J78" s="32" t="n">
        <x:v>3.2</x:v>
      </x:c>
      <x:c r="K78" s="32" t="n">
        <x:v>4.6</x:v>
      </x:c>
      <x:c r="L78" s="32" t="n">
        <x:v>4.3</x:v>
      </x:c>
      <x:c r="M78" s="32" t="n">
        <x:v>3.1</x:v>
      </x:c>
      <x:c r="N78" s="32" t="n">
        <x:v>4.8</x:v>
      </x:c>
      <x:c r="O78" s="32" t="n">
        <x:v>4</x:v>
      </x:c>
      <x:c r="P78" s="32" t="n">
        <x:v>4.2</x:v>
      </x:c>
      <x:c r="Q78" s="32" t="n">
        <x:v>3</x:v>
      </x:c>
      <x:c r="R78" s="32" t="n">
        <x:v>4.5</x:v>
      </x:c>
      <x:c r="S78" s="32" t="n">
        <x:v>4.5</x:v>
      </x:c>
      <x:c r="T78" s="32" t="n">
        <x:v>3.1</x:v>
      </x:c>
      <x:c r="U78" s="32" t="n">
        <x:v>4.5</x:v>
      </x:c>
      <x:c r="V78" s="32" t="n">
        <x:v>4.1</x:v>
      </x:c>
      <x:c r="W78" s="32" t="n">
        <x:v>4.2</x:v>
      </x:c>
      <x:c r="X78" s="32" t="n">
        <x:v>3.4</x:v>
      </x:c>
      <x:c r="Y78" s="32" t="n">
        <x:v>4.2</x:v>
      </x:c>
      <x:c r="Z78" s="32" t="n">
        <x:v>4.7</x:v>
      </x:c>
      <x:c r="AA78" s="32" t="n">
        <x:v>3.1</x:v>
      </x:c>
      <x:c r="AB78" s="32" t="n">
        <x:v>4.7</x:v>
      </x:c>
      <x:c r="AC78" s="32" t="n">
        <x:v>4.2</x:v>
      </x:c>
      <x:c r="AD78" s="32" t="n">
        <x:f>ROUND((I78*'Criteria &amp; Scoring'!$B$5+J78*'Criteria &amp; Scoring'!$B$6+K78*'Criteria &amp; Scoring'!$B$7+L78*'Criteria &amp; Scoring'!$B$8+M78*'Criteria &amp; Scoring'!$B$9+N78*'Criteria &amp; Scoring'!$B$10+O78*'Criteria &amp; Scoring'!$B$11)/SUM('Criteria &amp; Scoring'!$B$5:$B$11),2)</x:f>
        <x:v>4.09</x:v>
      </x:c>
      <x:c r="AE78" s="32" t="n">
        <x:f>ROUND((P78*'Criteria &amp; Scoring'!$B$5+Q78*'Criteria &amp; Scoring'!$B$6+R78*'Criteria &amp; Scoring'!$B$7+S78*'Criteria &amp; Scoring'!$B$8+T78*'Criteria &amp; Scoring'!$B$9+U78*'Criteria &amp; Scoring'!$B$10+V78*'Criteria &amp; Scoring'!$B$11)/SUM('Criteria &amp; Scoring'!$B$5:$B$11),2)</x:f>
        <x:v>3.97</x:v>
      </x:c>
      <x:c r="AF78" s="32" t="n">
        <x:f>ROUND((W78*'Criteria &amp; Scoring'!$B$5+X78*'Criteria &amp; Scoring'!$B$6+Y78*'Criteria &amp; Scoring'!$B$7+Z78*'Criteria &amp; Scoring'!$B$8+AA78*'Criteria &amp; Scoring'!$B$9+AB78*'Criteria &amp; Scoring'!$B$10+AC78*'Criteria &amp; Scoring'!$B$11)/SUM('Criteria &amp; Scoring'!$B$5:$B$11),2)</x:f>
        <x:v>4.06</x:v>
      </x:c>
      <x:c r="AG78" s="32" t="str">
        <x:f>IF(LARGE(AD78:AF78,1)-LARGE(AD78:AF78,2)&lt;0.15,"Context-dependent tie",SUBSTITUTE(INDEX($AD$4:$AF$4,1,MATCH(MAX(AD78:AF78),AD78:AF78,0))," Overall",""))</x:f>
        <x:v>Context-dependent tie</x:v>
      </x:c>
      <x:c r="AH78" s="32" t="str">
        <x:f>IF(AG78="AWS","Start with AWS when infrastructure breadth, native integration and operational maturity are the main differentiators.",IF(AG78="Azure","Start with Azure when Microsoft identity, security, data, productivity or hybrid integration reduces delivery effort.",IF(AG78="GCP","Start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78" s="32" t="str">
        <x:v>High</x:v>
      </x:c>
      <x:c r="AJ78" s="32" t="str">
        <x:v>2026-07-12</x:v>
      </x:c>
    </x:row>
    <x:row r="79">
      <x:c r="A79" s="32" t="str">
        <x:v>Managed web application platform</x:v>
      </x:c>
      <x:c r="B79" s="32" t="str">
        <x:v>04 Compute, Containers &amp; Runtime</x:v>
      </x:c>
      <x:c r="C79" s="32" t="str">
        <x:v>Managed Application Platforms</x:v>
      </x:c>
      <x:c r="D79" s="32" t="str">
        <x:v>Platform</x:v>
      </x:c>
      <x:c r="E79" s="32" t="str">
        <x:v>What business outcome, scale, control, integration and operating model justify choosing managed web application platform?</x:v>
      </x:c>
      <x:c r="F79" s="32" t="str">
        <x:v>AWS Elastic Beanstalk
AWS App Runner</x:v>
      </x:c>
      <x:c r="G79" s="32" t="str">
        <x:v>Azure App Service</x:v>
      </x:c>
      <x:c r="H79" s="32" t="str">
        <x:v>App Engine
Cloud Run</x:v>
      </x:c>
      <x:c r="I79" s="32" t="n">
        <x:v>3.9</x:v>
      </x:c>
      <x:c r="J79" s="32" t="n">
        <x:v>2.9</x:v>
      </x:c>
      <x:c r="K79" s="32" t="n">
        <x:v>4.2</x:v>
      </x:c>
      <x:c r="L79" s="32" t="n">
        <x:v>4.3</x:v>
      </x:c>
      <x:c r="M79" s="32" t="n">
        <x:v>3.5</x:v>
      </x:c>
      <x:c r="N79" s="32" t="n">
        <x:v>4.4</x:v>
      </x:c>
      <x:c r="O79" s="32" t="n">
        <x:v>3.6</x:v>
      </x:c>
      <x:c r="P79" s="32" t="n">
        <x:v>4</x:v>
      </x:c>
      <x:c r="Q79" s="32" t="n">
        <x:v>3.1</x:v>
      </x:c>
      <x:c r="R79" s="32" t="n">
        <x:v>4.5</x:v>
      </x:c>
      <x:c r="S79" s="32" t="n">
        <x:v>4.5</x:v>
      </x:c>
      <x:c r="T79" s="32" t="n">
        <x:v>3.5</x:v>
      </x:c>
      <x:c r="U79" s="32" t="n">
        <x:v>4.4</x:v>
      </x:c>
      <x:c r="V79" s="32" t="n">
        <x:v>3.8</x:v>
      </x:c>
      <x:c r="W79" s="32" t="n">
        <x:v>3.9</x:v>
      </x:c>
      <x:c r="X79" s="32" t="n">
        <x:v>2.9</x:v>
      </x:c>
      <x:c r="Y79" s="32" t="n">
        <x:v>4.1</x:v>
      </x:c>
      <x:c r="Z79" s="32" t="n">
        <x:v>4.6</x:v>
      </x:c>
      <x:c r="AA79" s="32" t="n">
        <x:v>3.5</x:v>
      </x:c>
      <x:c r="AB79" s="32" t="n">
        <x:v>4.2</x:v>
      </x:c>
      <x:c r="AC79" s="32" t="n">
        <x:v>3.8</x:v>
      </x:c>
      <x:c r="AD79" s="32" t="n">
        <x:f>ROUND((I79*'Criteria &amp; Scoring'!$B$5+J79*'Criteria &amp; Scoring'!$B$6+K79*'Criteria &amp; Scoring'!$B$7+L79*'Criteria &amp; Scoring'!$B$8+M79*'Criteria &amp; Scoring'!$B$9+N79*'Criteria &amp; Scoring'!$B$10+O79*'Criteria &amp; Scoring'!$B$11)/SUM('Criteria &amp; Scoring'!$B$5:$B$11),2)</x:f>
        <x:v>3.8</x:v>
      </x:c>
      <x:c r="AE79" s="32" t="n">
        <x:f>ROUND((P79*'Criteria &amp; Scoring'!$B$5+Q79*'Criteria &amp; Scoring'!$B$6+R79*'Criteria &amp; Scoring'!$B$7+S79*'Criteria &amp; Scoring'!$B$8+T79*'Criteria &amp; Scoring'!$B$9+U79*'Criteria &amp; Scoring'!$B$10+V79*'Criteria &amp; Scoring'!$B$11)/SUM('Criteria &amp; Scoring'!$B$5:$B$11),2)</x:f>
        <x:v>3.95</x:v>
      </x:c>
      <x:c r="AF79" s="32" t="n">
        <x:f>ROUND((W79*'Criteria &amp; Scoring'!$B$5+X79*'Criteria &amp; Scoring'!$B$6+Y79*'Criteria &amp; Scoring'!$B$7+Z79*'Criteria &amp; Scoring'!$B$8+AA79*'Criteria &amp; Scoring'!$B$9+AB79*'Criteria &amp; Scoring'!$B$10+AC79*'Criteria &amp; Scoring'!$B$11)/SUM('Criteria &amp; Scoring'!$B$5:$B$11),2)</x:f>
        <x:v>3.82</x:v>
      </x:c>
      <x:c r="AG79" s="32" t="str">
        <x:f>IF(LARGE(AD79:AF79,1)-LARGE(AD79:AF79,2)&lt;0.15,"Context-dependent tie",SUBSTITUTE(INDEX($AD$4:$AF$4,1,MATCH(MAX(AD79:AF79),AD79:AF79,0))," Overall",""))</x:f>
        <x:v>Context-dependent tie</x:v>
      </x:c>
      <x:c r="AH79" s="32" t="str">
        <x:f>IF(AG79="AWS","Start with AWS when infrastructure breadth, native integration and operational maturity are the main differentiators.",IF(AG79="Azure","Start with Azure when Microsoft identity, security, data, productivity or hybrid integration reduces delivery effort.",IF(AG79="GCP","Start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79" s="32" t="str">
        <x:v>Medium</x:v>
      </x:c>
      <x:c r="AJ79" s="32" t="str">
        <x:v>2026-07-12</x:v>
      </x:c>
    </x:row>
    <x:row r="80">
      <x:c r="A80" s="32" t="str">
        <x:v>Static web application hosting</x:v>
      </x:c>
      <x:c r="B80" s="32" t="str">
        <x:v>04 Compute, Containers &amp; Runtime</x:v>
      </x:c>
      <x:c r="C80" s="32" t="str">
        <x:v>Managed Application Platforms</x:v>
      </x:c>
      <x:c r="D80" s="32" t="str">
        <x:v>Workload</x:v>
      </x:c>
      <x:c r="E80" s="32" t="str">
        <x:v>What business outcome, scale, control, integration and operating model justify choosing static web application hosting?</x:v>
      </x:c>
      <x:c r="F80" s="32" t="str">
        <x:v>AWS Amplify Hosting
Amazon S3
Amazon CloudFront</x:v>
      </x:c>
      <x:c r="G80" s="32" t="str">
        <x:v>Azure Static Web Apps</x:v>
      </x:c>
      <x:c r="H80" s="32" t="str">
        <x:v>Firebase Hosting
Cloud Storage
Cloud CDN</x:v>
      </x:c>
      <x:c r="I80" s="32" t="n">
        <x:v>3.9</x:v>
      </x:c>
      <x:c r="J80" s="32" t="n">
        <x:v>3.9</x:v>
      </x:c>
      <x:c r="K80" s="32" t="n">
        <x:v>4.2</x:v>
      </x:c>
      <x:c r="L80" s="32" t="n">
        <x:v>4.3</x:v>
      </x:c>
      <x:c r="M80" s="32" t="n">
        <x:v>3.5</x:v>
      </x:c>
      <x:c r="N80" s="32" t="n">
        <x:v>4.4</x:v>
      </x:c>
      <x:c r="O80" s="32" t="n">
        <x:v>4</x:v>
      </x:c>
      <x:c r="P80" s="32" t="n">
        <x:v>4</x:v>
      </x:c>
      <x:c r="Q80" s="32" t="n">
        <x:v>4.1</x:v>
      </x:c>
      <x:c r="R80" s="32" t="n">
        <x:v>4.5</x:v>
      </x:c>
      <x:c r="S80" s="32" t="n">
        <x:v>4.5</x:v>
      </x:c>
      <x:c r="T80" s="32" t="n">
        <x:v>3.5</x:v>
      </x:c>
      <x:c r="U80" s="32" t="n">
        <x:v>4.4</x:v>
      </x:c>
      <x:c r="V80" s="32" t="n">
        <x:v>4.1</x:v>
      </x:c>
      <x:c r="W80" s="32" t="n">
        <x:v>3.9</x:v>
      </x:c>
      <x:c r="X80" s="32" t="n">
        <x:v>3.9</x:v>
      </x:c>
      <x:c r="Y80" s="32" t="n">
        <x:v>4.1</x:v>
      </x:c>
      <x:c r="Z80" s="32" t="n">
        <x:v>4.6</x:v>
      </x:c>
      <x:c r="AA80" s="32" t="n">
        <x:v>3.5</x:v>
      </x:c>
      <x:c r="AB80" s="32" t="n">
        <x:v>4.2</x:v>
      </x:c>
      <x:c r="AC80" s="32" t="n">
        <x:v>4.1</x:v>
      </x:c>
      <x:c r="AD80" s="32" t="n">
        <x:f>ROUND((I80*'Criteria &amp; Scoring'!$B$5+J80*'Criteria &amp; Scoring'!$B$6+K80*'Criteria &amp; Scoring'!$B$7+L80*'Criteria &amp; Scoring'!$B$8+M80*'Criteria &amp; Scoring'!$B$9+N80*'Criteria &amp; Scoring'!$B$10+O80*'Criteria &amp; Scoring'!$B$11)/SUM('Criteria &amp; Scoring'!$B$5:$B$11),2)</x:f>
        <x:v>4.02</x:v>
      </x:c>
      <x:c r="AE80" s="32" t="n">
        <x:f>ROUND((P80*'Criteria &amp; Scoring'!$B$5+Q80*'Criteria &amp; Scoring'!$B$6+R80*'Criteria &amp; Scoring'!$B$7+S80*'Criteria &amp; Scoring'!$B$8+T80*'Criteria &amp; Scoring'!$B$9+U80*'Criteria &amp; Scoring'!$B$10+V80*'Criteria &amp; Scoring'!$B$11)/SUM('Criteria &amp; Scoring'!$B$5:$B$11),2)</x:f>
        <x:v>4.16</x:v>
      </x:c>
      <x:c r="AF80" s="32" t="n">
        <x:f>ROUND((W80*'Criteria &amp; Scoring'!$B$5+X80*'Criteria &amp; Scoring'!$B$6+Y80*'Criteria &amp; Scoring'!$B$7+Z80*'Criteria &amp; Scoring'!$B$8+AA80*'Criteria &amp; Scoring'!$B$9+AB80*'Criteria &amp; Scoring'!$B$10+AC80*'Criteria &amp; Scoring'!$B$11)/SUM('Criteria &amp; Scoring'!$B$5:$B$11),2)</x:f>
        <x:v>4.03</x:v>
      </x:c>
      <x:c r="AG80" s="32" t="str">
        <x:f>IF(LARGE(AD80:AF80,1)-LARGE(AD80:AF80,2)&lt;0.15,"Context-dependent tie",SUBSTITUTE(INDEX($AD$4:$AF$4,1,MATCH(MAX(AD80:AF80),AD80:AF80,0))," Overall",""))</x:f>
        <x:v>Context-dependent tie</x:v>
      </x:c>
      <x:c r="AH80" s="32" t="str">
        <x:f>IF(AG80="AWS","Start with AWS when infrastructure breadth, native integration and operational maturity are the main differentiators.",IF(AG80="Azure","Start with Azure when Microsoft identity, security, data, productivity or hybrid integration reduces delivery effort.",IF(AG80="GCP","Start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80" s="32" t="str">
        <x:v>Medium</x:v>
      </x:c>
      <x:c r="AJ80" s="32" t="str">
        <x:v>2026-07-12</x:v>
      </x:c>
    </x:row>
    <x:row r="81">
      <x:c r="A81" s="32" t="str">
        <x:v>Serverless container instances</x:v>
      </x:c>
      <x:c r="B81" s="32" t="str">
        <x:v>04 Compute, Containers &amp; Runtime</x:v>
      </x:c>
      <x:c r="C81" s="32" t="str">
        <x:v>Containers &amp; Kubernetes</x:v>
      </x:c>
      <x:c r="D81" s="32" t="str">
        <x:v>Workload</x:v>
      </x:c>
      <x:c r="E81" s="32" t="str">
        <x:v>Do you need Kubernetes-specific control, or would a simpler serverless container platform meet the requirement?</x:v>
      </x:c>
      <x:c r="F81" s="32" t="str">
        <x:v>AWS Fargate
Amazon ECS</x:v>
      </x:c>
      <x:c r="G81" s="32" t="str">
        <x:v>Azure Container Instances</x:v>
      </x:c>
      <x:c r="H81" s="32" t="str">
        <x:v>Cloud Run</x:v>
      </x:c>
      <x:c r="I81" s="32" t="n">
        <x:v>4.3</x:v>
      </x:c>
      <x:c r="J81" s="32" t="n">
        <x:v>2.2</x:v>
      </x:c>
      <x:c r="K81" s="32" t="n">
        <x:v>4.2</x:v>
      </x:c>
      <x:c r="L81" s="32" t="n">
        <x:v>4.3</x:v>
      </x:c>
      <x:c r="M81" s="32" t="n">
        <x:v>3.8</x:v>
      </x:c>
      <x:c r="N81" s="32" t="n">
        <x:v>4.5</x:v>
      </x:c>
      <x:c r="O81" s="32" t="n">
        <x:v>3.6</x:v>
      </x:c>
      <x:c r="P81" s="32" t="n">
        <x:v>4.2</x:v>
      </x:c>
      <x:c r="Q81" s="32" t="n">
        <x:v>2</x:v>
      </x:c>
      <x:c r="R81" s="32" t="n">
        <x:v>4.5</x:v>
      </x:c>
      <x:c r="S81" s="32" t="n">
        <x:v>4.5</x:v>
      </x:c>
      <x:c r="T81" s="32" t="n">
        <x:v>3.8</x:v>
      </x:c>
      <x:c r="U81" s="32" t="n">
        <x:v>4.4</x:v>
      </x:c>
      <x:c r="V81" s="32" t="n">
        <x:v>3.8</x:v>
      </x:c>
      <x:c r="W81" s="32" t="n">
        <x:v>4.7</x:v>
      </x:c>
      <x:c r="X81" s="32" t="n">
        <x:v>2.4</x:v>
      </x:c>
      <x:c r="Y81" s="32" t="n">
        <x:v>4.4</x:v>
      </x:c>
      <x:c r="Z81" s="32" t="n">
        <x:v>4.7</x:v>
      </x:c>
      <x:c r="AA81" s="32" t="n">
        <x:v>4.1</x:v>
      </x:c>
      <x:c r="AB81" s="32" t="n">
        <x:v>4.6</x:v>
      </x:c>
      <x:c r="AC81" s="32" t="n">
        <x:v>3.8</x:v>
      </x:c>
      <x:c r="AD81" s="32" t="n">
        <x:f>ROUND((I81*'Criteria &amp; Scoring'!$B$5+J81*'Criteria &amp; Scoring'!$B$6+K81*'Criteria &amp; Scoring'!$B$7+L81*'Criteria &amp; Scoring'!$B$8+M81*'Criteria &amp; Scoring'!$B$9+N81*'Criteria &amp; Scoring'!$B$10+O81*'Criteria &amp; Scoring'!$B$11)/SUM('Criteria &amp; Scoring'!$B$5:$B$11),2)</x:f>
        <x:v>3.8</x:v>
      </x:c>
      <x:c r="AE81" s="32" t="n">
        <x:f>ROUND((P81*'Criteria &amp; Scoring'!$B$5+Q81*'Criteria &amp; Scoring'!$B$6+R81*'Criteria &amp; Scoring'!$B$7+S81*'Criteria &amp; Scoring'!$B$8+T81*'Criteria &amp; Scoring'!$B$9+U81*'Criteria &amp; Scoring'!$B$10+V81*'Criteria &amp; Scoring'!$B$11)/SUM('Criteria &amp; Scoring'!$B$5:$B$11),2)</x:f>
        <x:v>3.81</x:v>
      </x:c>
      <x:c r="AF81" s="32" t="n">
        <x:f>ROUND((W81*'Criteria &amp; Scoring'!$B$5+X81*'Criteria &amp; Scoring'!$B$6+Y81*'Criteria &amp; Scoring'!$B$7+Z81*'Criteria &amp; Scoring'!$B$8+AA81*'Criteria &amp; Scoring'!$B$9+AB81*'Criteria &amp; Scoring'!$B$10+AC81*'Criteria &amp; Scoring'!$B$11)/SUM('Criteria &amp; Scoring'!$B$5:$B$11),2)</x:f>
        <x:v>4.08</x:v>
      </x:c>
      <x:c r="AG81" s="32" t="str">
        <x:f>IF(LARGE(AD81:AF81,1)-LARGE(AD81:AF81,2)&lt;0.15,"Context-dependent tie",SUBSTITUTE(INDEX($AD$4:$AF$4,1,MATCH(MAX(AD81:AF81),AD81:AF81,0))," Overall",""))</x:f>
        <x:v>GCP</x:v>
      </x:c>
      <x:c r="AH81" s="32" t="str">
        <x:f>IF(AG81="AWS","Start with AWS when infrastructure breadth, native integration and operational maturity are the main differentiators.",IF(AG81="Azure","Start with Azure when Microsoft identity, security, data, productivity or hybrid integration reduces delivery effort.",IF(AG81="GCP","Start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81" s="32" t="str">
        <x:v>Medium</x:v>
      </x:c>
      <x:c r="AJ81" s="32" t="str">
        <x:v>2026-07-12</x:v>
      </x:c>
    </x:row>
    <x:row r="82">
      <x:c r="A82" s="32" t="str">
        <x:v>Serverless container application platform</x:v>
      </x:c>
      <x:c r="B82" s="32" t="str">
        <x:v>04 Compute, Containers &amp; Runtime</x:v>
      </x:c>
      <x:c r="C82" s="32" t="str">
        <x:v>Containers &amp; Kubernetes</x:v>
      </x:c>
      <x:c r="D82" s="32" t="str">
        <x:v>Platform</x:v>
      </x:c>
      <x:c r="E82" s="32" t="str">
        <x:v>Do you need Kubernetes-specific control, or would a simpler serverless container platform meet the requirement?</x:v>
      </x:c>
      <x:c r="F82" s="32" t="str">
        <x:v>AWS App Runner
AWS Fargate</x:v>
      </x:c>
      <x:c r="G82" s="32" t="str">
        <x:v>Azure Container Apps</x:v>
      </x:c>
      <x:c r="H82" s="32" t="str">
        <x:v>Cloud Run</x:v>
      </x:c>
      <x:c r="I82" s="32" t="n">
        <x:v>4.3</x:v>
      </x:c>
      <x:c r="J82" s="32" t="n">
        <x:v>2.2</x:v>
      </x:c>
      <x:c r="K82" s="32" t="n">
        <x:v>4.2</x:v>
      </x:c>
      <x:c r="L82" s="32" t="n">
        <x:v>4.3</x:v>
      </x:c>
      <x:c r="M82" s="32" t="n">
        <x:v>3.8</x:v>
      </x:c>
      <x:c r="N82" s="32" t="n">
        <x:v>4.5</x:v>
      </x:c>
      <x:c r="O82" s="32" t="n">
        <x:v>3.6</x:v>
      </x:c>
      <x:c r="P82" s="32" t="n">
        <x:v>4.2</x:v>
      </x:c>
      <x:c r="Q82" s="32" t="n">
        <x:v>2.1</x:v>
      </x:c>
      <x:c r="R82" s="32" t="n">
        <x:v>4.5</x:v>
      </x:c>
      <x:c r="S82" s="32" t="n">
        <x:v>4.5</x:v>
      </x:c>
      <x:c r="T82" s="32" t="n">
        <x:v>3.8</x:v>
      </x:c>
      <x:c r="U82" s="32" t="n">
        <x:v>4.4</x:v>
      </x:c>
      <x:c r="V82" s="32" t="n">
        <x:v>3.8</x:v>
      </x:c>
      <x:c r="W82" s="32" t="n">
        <x:v>4.7</x:v>
      </x:c>
      <x:c r="X82" s="32" t="n">
        <x:v>2.4</x:v>
      </x:c>
      <x:c r="Y82" s="32" t="n">
        <x:v>4.4</x:v>
      </x:c>
      <x:c r="Z82" s="32" t="n">
        <x:v>4.7</x:v>
      </x:c>
      <x:c r="AA82" s="32" t="n">
        <x:v>4.1</x:v>
      </x:c>
      <x:c r="AB82" s="32" t="n">
        <x:v>4.6</x:v>
      </x:c>
      <x:c r="AC82" s="32" t="n">
        <x:v>3.8</x:v>
      </x:c>
      <x:c r="AD82" s="32" t="n">
        <x:f>ROUND((I82*'Criteria &amp; Scoring'!$B$5+J82*'Criteria &amp; Scoring'!$B$6+K82*'Criteria &amp; Scoring'!$B$7+L82*'Criteria &amp; Scoring'!$B$8+M82*'Criteria &amp; Scoring'!$B$9+N82*'Criteria &amp; Scoring'!$B$10+O82*'Criteria &amp; Scoring'!$B$11)/SUM('Criteria &amp; Scoring'!$B$5:$B$11),2)</x:f>
        <x:v>3.8</x:v>
      </x:c>
      <x:c r="AE82" s="32" t="n">
        <x:f>ROUND((P82*'Criteria &amp; Scoring'!$B$5+Q82*'Criteria &amp; Scoring'!$B$6+R82*'Criteria &amp; Scoring'!$B$7+S82*'Criteria &amp; Scoring'!$B$8+T82*'Criteria &amp; Scoring'!$B$9+U82*'Criteria &amp; Scoring'!$B$10+V82*'Criteria &amp; Scoring'!$B$11)/SUM('Criteria &amp; Scoring'!$B$5:$B$11),2)</x:f>
        <x:v>3.83</x:v>
      </x:c>
      <x:c r="AF82" s="32" t="n">
        <x:f>ROUND((W82*'Criteria &amp; Scoring'!$B$5+X82*'Criteria &amp; Scoring'!$B$6+Y82*'Criteria &amp; Scoring'!$B$7+Z82*'Criteria &amp; Scoring'!$B$8+AA82*'Criteria &amp; Scoring'!$B$9+AB82*'Criteria &amp; Scoring'!$B$10+AC82*'Criteria &amp; Scoring'!$B$11)/SUM('Criteria &amp; Scoring'!$B$5:$B$11),2)</x:f>
        <x:v>4.08</x:v>
      </x:c>
      <x:c r="AG82" s="32" t="str">
        <x:f>IF(LARGE(AD82:AF82,1)-LARGE(AD82:AF82,2)&lt;0.15,"Context-dependent tie",SUBSTITUTE(INDEX($AD$4:$AF$4,1,MATCH(MAX(AD82:AF82),AD82:AF82,0))," Overall",""))</x:f>
        <x:v>GCP</x:v>
      </x:c>
      <x:c r="AH82" s="32" t="str">
        <x:f>IF(AG82="AWS","Start with AWS when infrastructure breadth, native integration and operational maturity are the main differentiators.",IF(AG82="Azure","Start with Azure when Microsoft identity, security, data, productivity or hybrid integration reduces delivery effort.",IF(AG82="GCP","Start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82" s="32" t="str">
        <x:v>Medium</x:v>
      </x:c>
      <x:c r="AJ82" s="32" t="str">
        <x:v>2026-07-12</x:v>
      </x:c>
    </x:row>
    <x:row r="83">
      <x:c r="A83" s="32" t="str">
        <x:v>Managed Kubernetes</x:v>
      </x:c>
      <x:c r="B83" s="32" t="str">
        <x:v>04 Compute, Containers &amp; Runtime</x:v>
      </x:c>
      <x:c r="C83" s="32" t="str">
        <x:v>Containers &amp; Kubernetes</x:v>
      </x:c>
      <x:c r="D83" s="32" t="str">
        <x:v>Platform</x:v>
      </x:c>
      <x:c r="E83" s="32" t="str">
        <x:v>Do you need Kubernetes-specific control, or would a simpler serverless container platform meet the requirement?</x:v>
      </x:c>
      <x:c r="F83" s="32" t="str">
        <x:v>Amazon Elastic Kubernetes Service</x:v>
      </x:c>
      <x:c r="G83" s="32" t="str">
        <x:v>Azure Kubernetes Service</x:v>
      </x:c>
      <x:c r="H83" s="32" t="str">
        <x:v>Google Kubernetes Engine</x:v>
      </x:c>
      <x:c r="I83" s="32" t="n">
        <x:v>4.4</x:v>
      </x:c>
      <x:c r="J83" s="32" t="n">
        <x:v>2</x:v>
      </x:c>
      <x:c r="K83" s="32" t="n">
        <x:v>4.4</x:v>
      </x:c>
      <x:c r="L83" s="32" t="n">
        <x:v>4.3</x:v>
      </x:c>
      <x:c r="M83" s="32" t="n">
        <x:v>4.2</x:v>
      </x:c>
      <x:c r="N83" s="32" t="n">
        <x:v>4.6</x:v>
      </x:c>
      <x:c r="O83" s="32" t="n">
        <x:v>3.4</x:v>
      </x:c>
      <x:c r="P83" s="32" t="n">
        <x:v>4.4</x:v>
      </x:c>
      <x:c r="Q83" s="32" t="n">
        <x:v>2</x:v>
      </x:c>
      <x:c r="R83" s="32" t="n">
        <x:v>4.5</x:v>
      </x:c>
      <x:c r="S83" s="32" t="n">
        <x:v>4.5</x:v>
      </x:c>
      <x:c r="T83" s="32" t="n">
        <x:v>4.2</x:v>
      </x:c>
      <x:c r="U83" s="32" t="n">
        <x:v>4.5</x:v>
      </x:c>
      <x:c r="V83" s="32" t="n">
        <x:v>3.5</x:v>
      </x:c>
      <x:c r="W83" s="32" t="n">
        <x:v>4.9</x:v>
      </x:c>
      <x:c r="X83" s="32" t="n">
        <x:v>2.4</x:v>
      </x:c>
      <x:c r="Y83" s="32" t="n">
        <x:v>4.5</x:v>
      </x:c>
      <x:c r="Z83" s="32" t="n">
        <x:v>4.7</x:v>
      </x:c>
      <x:c r="AA83" s="32" t="n">
        <x:v>4.4</x:v>
      </x:c>
      <x:c r="AB83" s="32" t="n">
        <x:v>4.7</x:v>
      </x:c>
      <x:c r="AC83" s="32" t="n">
        <x:v>3.5</x:v>
      </x:c>
      <x:c r="AD83" s="32" t="n">
        <x:f>ROUND((I83*'Criteria &amp; Scoring'!$B$5+J83*'Criteria &amp; Scoring'!$B$6+K83*'Criteria &amp; Scoring'!$B$7+L83*'Criteria &amp; Scoring'!$B$8+M83*'Criteria &amp; Scoring'!$B$9+N83*'Criteria &amp; Scoring'!$B$10+O83*'Criteria &amp; Scoring'!$B$11)/SUM('Criteria &amp; Scoring'!$B$5:$B$11),2)</x:f>
        <x:v>3.86</x:v>
      </x:c>
      <x:c r="AE83" s="32" t="n">
        <x:f>ROUND((P83*'Criteria &amp; Scoring'!$B$5+Q83*'Criteria &amp; Scoring'!$B$6+R83*'Criteria &amp; Scoring'!$B$7+S83*'Criteria &amp; Scoring'!$B$8+T83*'Criteria &amp; Scoring'!$B$9+U83*'Criteria &amp; Scoring'!$B$10+V83*'Criteria &amp; Scoring'!$B$11)/SUM('Criteria &amp; Scoring'!$B$5:$B$11),2)</x:f>
        <x:v>3.89</x:v>
      </x:c>
      <x:c r="AF83" s="32" t="n">
        <x:f>ROUND((W83*'Criteria &amp; Scoring'!$B$5+X83*'Criteria &amp; Scoring'!$B$6+Y83*'Criteria &amp; Scoring'!$B$7+Z83*'Criteria &amp; Scoring'!$B$8+AA83*'Criteria &amp; Scoring'!$B$9+AB83*'Criteria &amp; Scoring'!$B$10+AC83*'Criteria &amp; Scoring'!$B$11)/SUM('Criteria &amp; Scoring'!$B$5:$B$11),2)</x:f>
        <x:v>4.17</x:v>
      </x:c>
      <x:c r="AG83" s="32" t="str">
        <x:f>IF(LARGE(AD83:AF83,1)-LARGE(AD83:AF83,2)&lt;0.15,"Context-dependent tie",SUBSTITUTE(INDEX($AD$4:$AF$4,1,MATCH(MAX(AD83:AF83),AD83:AF83,0))," Overall",""))</x:f>
        <x:v>GCP</x:v>
      </x:c>
      <x:c r="AH83" s="32" t="str">
        <x:f>IF(AG83="AWS","Start with AWS when infrastructure breadth, native integration and operational maturity are the main differentiators.",IF(AG83="Azure","Start with Azure when Microsoft identity, security, data, productivity or hybrid integration reduces delivery effort.",IF(AG83="GCP","Start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83" s="32" t="str">
        <x:v>High</x:v>
      </x:c>
      <x:c r="AJ83" s="32" t="str">
        <x:v>2026-07-12</x:v>
      </x:c>
    </x:row>
    <x:row r="84">
      <x:c r="A84" s="32" t="str">
        <x:v>Container image registry</x:v>
      </x:c>
      <x:c r="B84" s="32" t="str">
        <x:v>04 Compute, Containers &amp; Runtime</x:v>
      </x:c>
      <x:c r="C84" s="32" t="str">
        <x:v>Containers &amp; Kubernetes</x:v>
      </x:c>
      <x:c r="D84" s="32" t="str">
        <x:v>Workload</x:v>
      </x:c>
      <x:c r="E84" s="32" t="str">
        <x:v>Do you need Kubernetes-specific control, or would a simpler serverless container platform meet the requirement?</x:v>
      </x:c>
      <x:c r="F84" s="32" t="str">
        <x:v>Amazon Elastic Container Registry</x:v>
      </x:c>
      <x:c r="G84" s="32" t="str">
        <x:v>Azure Container Registry</x:v>
      </x:c>
      <x:c r="H84" s="32" t="str">
        <x:v>Artifact Registry</x:v>
      </x:c>
      <x:c r="I84" s="32" t="n">
        <x:v>4.4</x:v>
      </x:c>
      <x:c r="J84" s="32" t="n">
        <x:v>2</x:v>
      </x:c>
      <x:c r="K84" s="32" t="n">
        <x:v>4.4</x:v>
      </x:c>
      <x:c r="L84" s="32" t="n">
        <x:v>4.3</x:v>
      </x:c>
      <x:c r="M84" s="32" t="n">
        <x:v>4.2</x:v>
      </x:c>
      <x:c r="N84" s="32" t="n">
        <x:v>4.6</x:v>
      </x:c>
      <x:c r="O84" s="32" t="n">
        <x:v>3.4</x:v>
      </x:c>
      <x:c r="P84" s="32" t="n">
        <x:v>4.4</x:v>
      </x:c>
      <x:c r="Q84" s="32" t="n">
        <x:v>2</x:v>
      </x:c>
      <x:c r="R84" s="32" t="n">
        <x:v>4.5</x:v>
      </x:c>
      <x:c r="S84" s="32" t="n">
        <x:v>4.5</x:v>
      </x:c>
      <x:c r="T84" s="32" t="n">
        <x:v>4.2</x:v>
      </x:c>
      <x:c r="U84" s="32" t="n">
        <x:v>4.5</x:v>
      </x:c>
      <x:c r="V84" s="32" t="n">
        <x:v>3.5</x:v>
      </x:c>
      <x:c r="W84" s="32" t="n">
        <x:v>4.9</x:v>
      </x:c>
      <x:c r="X84" s="32" t="n">
        <x:v>2.4</x:v>
      </x:c>
      <x:c r="Y84" s="32" t="n">
        <x:v>4.5</x:v>
      </x:c>
      <x:c r="Z84" s="32" t="n">
        <x:v>4.7</x:v>
      </x:c>
      <x:c r="AA84" s="32" t="n">
        <x:v>4.4</x:v>
      </x:c>
      <x:c r="AB84" s="32" t="n">
        <x:v>4.7</x:v>
      </x:c>
      <x:c r="AC84" s="32" t="n">
        <x:v>3.5</x:v>
      </x:c>
      <x:c r="AD84" s="32" t="n">
        <x:f>ROUND((I84*'Criteria &amp; Scoring'!$B$5+J84*'Criteria &amp; Scoring'!$B$6+K84*'Criteria &amp; Scoring'!$B$7+L84*'Criteria &amp; Scoring'!$B$8+M84*'Criteria &amp; Scoring'!$B$9+N84*'Criteria &amp; Scoring'!$B$10+O84*'Criteria &amp; Scoring'!$B$11)/SUM('Criteria &amp; Scoring'!$B$5:$B$11),2)</x:f>
        <x:v>3.86</x:v>
      </x:c>
      <x:c r="AE84" s="32" t="n">
        <x:f>ROUND((P84*'Criteria &amp; Scoring'!$B$5+Q84*'Criteria &amp; Scoring'!$B$6+R84*'Criteria &amp; Scoring'!$B$7+S84*'Criteria &amp; Scoring'!$B$8+T84*'Criteria &amp; Scoring'!$B$9+U84*'Criteria &amp; Scoring'!$B$10+V84*'Criteria &amp; Scoring'!$B$11)/SUM('Criteria &amp; Scoring'!$B$5:$B$11),2)</x:f>
        <x:v>3.89</x:v>
      </x:c>
      <x:c r="AF84" s="32" t="n">
        <x:f>ROUND((W84*'Criteria &amp; Scoring'!$B$5+X84*'Criteria &amp; Scoring'!$B$6+Y84*'Criteria &amp; Scoring'!$B$7+Z84*'Criteria &amp; Scoring'!$B$8+AA84*'Criteria &amp; Scoring'!$B$9+AB84*'Criteria &amp; Scoring'!$B$10+AC84*'Criteria &amp; Scoring'!$B$11)/SUM('Criteria &amp; Scoring'!$B$5:$B$11),2)</x:f>
        <x:v>4.17</x:v>
      </x:c>
      <x:c r="AG84" s="32" t="str">
        <x:f>IF(LARGE(AD84:AF84,1)-LARGE(AD84:AF84,2)&lt;0.15,"Context-dependent tie",SUBSTITUTE(INDEX($AD$4:$AF$4,1,MATCH(MAX(AD84:AF84),AD84:AF84,0))," Overall",""))</x:f>
        <x:v>GCP</x:v>
      </x:c>
      <x:c r="AH84" s="32" t="str">
        <x:f>IF(AG84="AWS","Start with AWS when infrastructure breadth, native integration and operational maturity are the main differentiators.",IF(AG84="Azure","Start with Azure when Microsoft identity, security, data, productivity or hybrid integration reduces delivery effort.",IF(AG84="GCP","Start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84" s="32" t="str">
        <x:v>High</x:v>
      </x:c>
      <x:c r="AJ84" s="32" t="str">
        <x:v>2026-07-12</x:v>
      </x:c>
    </x:row>
    <x:row r="85">
      <x:c r="A85" s="32" t="str">
        <x:v>Application containerisation</x:v>
      </x:c>
      <x:c r="B85" s="32" t="str">
        <x:v>04 Compute, Containers &amp; Runtime</x:v>
      </x:c>
      <x:c r="C85" s="32" t="str">
        <x:v>Containers &amp; Kubernetes</x:v>
      </x:c>
      <x:c r="D85" s="32" t="str">
        <x:v>Workload</x:v>
      </x:c>
      <x:c r="E85" s="32" t="str">
        <x:v>Do you need Kubernetes-specific control, or would a simpler serverless container platform meet the requirement?</x:v>
      </x:c>
      <x:c r="F85" s="32" t="str">
        <x:v>AWS App2Container</x:v>
      </x:c>
      <x:c r="G85" s="32" t="str">
        <x:v>Azure Migrate: App Containerization</x:v>
      </x:c>
      <x:c r="H85" s="32" t="str">
        <x:v>Migrate to Containers</x:v>
      </x:c>
      <x:c r="I85" s="32" t="n">
        <x:v>4.2</x:v>
      </x:c>
      <x:c r="J85" s="32" t="n">
        <x:v>2</x:v>
      </x:c>
      <x:c r="K85" s="32" t="n">
        <x:v>4.5</x:v>
      </x:c>
      <x:c r="L85" s="32" t="n">
        <x:v>4.3</x:v>
      </x:c>
      <x:c r="M85" s="32" t="n">
        <x:v>4.2</x:v>
      </x:c>
      <x:c r="N85" s="32" t="n">
        <x:v>4.7</x:v>
      </x:c>
      <x:c r="O85" s="32" t="n">
        <x:v>3.4</x:v>
      </x:c>
      <x:c r="P85" s="32" t="n">
        <x:v>4.2</x:v>
      </x:c>
      <x:c r="Q85" s="32" t="n">
        <x:v>2</x:v>
      </x:c>
      <x:c r="R85" s="32" t="n">
        <x:v>4.5</x:v>
      </x:c>
      <x:c r="S85" s="32" t="n">
        <x:v>4.5</x:v>
      </x:c>
      <x:c r="T85" s="32" t="n">
        <x:v>4.2</x:v>
      </x:c>
      <x:c r="U85" s="32" t="n">
        <x:v>4.4</x:v>
      </x:c>
      <x:c r="V85" s="32" t="n">
        <x:v>3.5</x:v>
      </x:c>
      <x:c r="W85" s="32" t="n">
        <x:v>4.7</x:v>
      </x:c>
      <x:c r="X85" s="32" t="n">
        <x:v>2.4</x:v>
      </x:c>
      <x:c r="Y85" s="32" t="n">
        <x:v>4.4</x:v>
      </x:c>
      <x:c r="Z85" s="32" t="n">
        <x:v>4.7</x:v>
      </x:c>
      <x:c r="AA85" s="32" t="n">
        <x:v>4.4</x:v>
      </x:c>
      <x:c r="AB85" s="32" t="n">
        <x:v>4.6</x:v>
      </x:c>
      <x:c r="AC85" s="32" t="n">
        <x:v>3.5</x:v>
      </x:c>
      <x:c r="AD85" s="32" t="n">
        <x:f>ROUND((I85*'Criteria &amp; Scoring'!$B$5+J85*'Criteria &amp; Scoring'!$B$6+K85*'Criteria &amp; Scoring'!$B$7+L85*'Criteria &amp; Scoring'!$B$8+M85*'Criteria &amp; Scoring'!$B$9+N85*'Criteria &amp; Scoring'!$B$10+O85*'Criteria &amp; Scoring'!$B$11)/SUM('Criteria &amp; Scoring'!$B$5:$B$11),2)</x:f>
        <x:v>3.83</x:v>
      </x:c>
      <x:c r="AE85" s="32" t="n">
        <x:f>ROUND((P85*'Criteria &amp; Scoring'!$B$5+Q85*'Criteria &amp; Scoring'!$B$6+R85*'Criteria &amp; Scoring'!$B$7+S85*'Criteria &amp; Scoring'!$B$8+T85*'Criteria &amp; Scoring'!$B$9+U85*'Criteria &amp; Scoring'!$B$10+V85*'Criteria &amp; Scoring'!$B$11)/SUM('Criteria &amp; Scoring'!$B$5:$B$11),2)</x:f>
        <x:v>3.83</x:v>
      </x:c>
      <x:c r="AF85" s="32" t="n">
        <x:f>ROUND((W85*'Criteria &amp; Scoring'!$B$5+X85*'Criteria &amp; Scoring'!$B$6+Y85*'Criteria &amp; Scoring'!$B$7+Z85*'Criteria &amp; Scoring'!$B$8+AA85*'Criteria &amp; Scoring'!$B$9+AB85*'Criteria &amp; Scoring'!$B$10+AC85*'Criteria &amp; Scoring'!$B$11)/SUM('Criteria &amp; Scoring'!$B$5:$B$11),2)</x:f>
        <x:v>4.1</x:v>
      </x:c>
      <x:c r="AG85" s="32" t="str">
        <x:f>IF(LARGE(AD85:AF85,1)-LARGE(AD85:AF85,2)&lt;0.15,"Context-dependent tie",SUBSTITUTE(INDEX($AD$4:$AF$4,1,MATCH(MAX(AD85:AF85),AD85:AF85,0))," Overall",""))</x:f>
        <x:v>GCP</x:v>
      </x:c>
      <x:c r="AH85" s="32" t="str">
        <x:f>IF(AG85="AWS","Start with AWS when infrastructure breadth, native integration and operational maturity are the main differentiators.",IF(AG85="Azure","Start with Azure when Microsoft identity, security, data, productivity or hybrid integration reduces delivery effort.",IF(AG85="GCP","Start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85" s="32" t="str">
        <x:v>Medium</x:v>
      </x:c>
      <x:c r="AJ85" s="32" t="str">
        <x:v>2026-07-12</x:v>
      </x:c>
    </x:row>
    <x:row r="86">
      <x:c r="A86" s="32" t="str">
        <x:v>Cloud-optimised Linux distribution</x:v>
      </x:c>
      <x:c r="B86" s="32" t="str">
        <x:v>04 Compute, Containers &amp; Runtime</x:v>
      </x:c>
      <x:c r="C86" s="32" t="str">
        <x:v>Virtual Machines &amp; Core Compute</x:v>
      </x:c>
      <x:c r="D86" s="32" t="str">
        <x:v>Workload</x:v>
      </x:c>
      <x:c r="E86" s="32" t="str">
        <x:v>How much OS, network and hardware control is required, and who will operate it?</x:v>
      </x:c>
      <x:c r="F86" s="32" t="str">
        <x:v>Amazon Linux 2023</x:v>
      </x:c>
      <x:c r="G86" s="32" t="str">
        <x:v>Azure Linux</x:v>
      </x:c>
      <x:c r="H86" s="32" t="str">
        <x:v>Container-Optimized OS</x:v>
      </x:c>
      <x:c r="I86" s="32" t="n">
        <x:v>4.3</x:v>
      </x:c>
      <x:c r="J86" s="32" t="n">
        <x:v>3</x:v>
      </x:c>
      <x:c r="K86" s="32" t="n">
        <x:v>4.5</x:v>
      </x:c>
      <x:c r="L86" s="32" t="n">
        <x:v>4.3</x:v>
      </x:c>
      <x:c r="M86" s="32" t="n">
        <x:v>4.2</x:v>
      </x:c>
      <x:c r="N86" s="32" t="n">
        <x:v>4.7</x:v>
      </x:c>
      <x:c r="O86" s="32" t="n">
        <x:v>3.7</x:v>
      </x:c>
      <x:c r="P86" s="32" t="n">
        <x:v>4</x:v>
      </x:c>
      <x:c r="Q86" s="32" t="n">
        <x:v>3</x:v>
      </x:c>
      <x:c r="R86" s="32" t="n">
        <x:v>4.5</x:v>
      </x:c>
      <x:c r="S86" s="32" t="n">
        <x:v>4.5</x:v>
      </x:c>
      <x:c r="T86" s="32" t="n">
        <x:v>4.2</x:v>
      </x:c>
      <x:c r="U86" s="32" t="n">
        <x:v>4.4</x:v>
      </x:c>
      <x:c r="V86" s="32" t="n">
        <x:v>3.8</x:v>
      </x:c>
      <x:c r="W86" s="32" t="n">
        <x:v>4</x:v>
      </x:c>
      <x:c r="X86" s="32" t="n">
        <x:v>3</x:v>
      </x:c>
      <x:c r="Y86" s="32" t="n">
        <x:v>4.2</x:v>
      </x:c>
      <x:c r="Z86" s="32" t="n">
        <x:v>4.7</x:v>
      </x:c>
      <x:c r="AA86" s="32" t="n">
        <x:v>4.2</x:v>
      </x:c>
      <x:c r="AB86" s="32" t="n">
        <x:v>4.3</x:v>
      </x:c>
      <x:c r="AC86" s="32" t="n">
        <x:v>3.9</x:v>
      </x:c>
      <x:c r="AD86" s="32" t="n">
        <x:f>ROUND((I86*'Criteria &amp; Scoring'!$B$5+J86*'Criteria &amp; Scoring'!$B$6+K86*'Criteria &amp; Scoring'!$B$7+L86*'Criteria &amp; Scoring'!$B$8+M86*'Criteria &amp; Scoring'!$B$9+N86*'Criteria &amp; Scoring'!$B$10+O86*'Criteria &amp; Scoring'!$B$11)/SUM('Criteria &amp; Scoring'!$B$5:$B$11),2)</x:f>
        <x:v>4.07</x:v>
      </x:c>
      <x:c r="AE86" s="32" t="n">
        <x:f>ROUND((P86*'Criteria &amp; Scoring'!$B$5+Q86*'Criteria &amp; Scoring'!$B$6+R86*'Criteria &amp; Scoring'!$B$7+S86*'Criteria &amp; Scoring'!$B$8+T86*'Criteria &amp; Scoring'!$B$9+U86*'Criteria &amp; Scoring'!$B$10+V86*'Criteria &amp; Scoring'!$B$11)/SUM('Criteria &amp; Scoring'!$B$5:$B$11),2)</x:f>
        <x:v>4</x:v>
      </x:c>
      <x:c r="AF86" s="32" t="n">
        <x:f>ROUND((W86*'Criteria &amp; Scoring'!$B$5+X86*'Criteria &amp; Scoring'!$B$6+Y86*'Criteria &amp; Scoring'!$B$7+Z86*'Criteria &amp; Scoring'!$B$8+AA86*'Criteria &amp; Scoring'!$B$9+AB86*'Criteria &amp; Scoring'!$B$10+AC86*'Criteria &amp; Scoring'!$B$11)/SUM('Criteria &amp; Scoring'!$B$5:$B$11),2)</x:f>
        <x:v>3.98</x:v>
      </x:c>
      <x:c r="AG86" s="32" t="str">
        <x:f>IF(LARGE(AD86:AF86,1)-LARGE(AD86:AF86,2)&lt;0.15,"Context-dependent tie",SUBSTITUTE(INDEX($AD$4:$AF$4,1,MATCH(MAX(AD86:AF86),AD86:AF86,0))," Overall",""))</x:f>
        <x:v>Context-dependent tie</x:v>
      </x:c>
      <x:c r="AH86" s="32" t="str">
        <x:f>IF(AG86="AWS","Start with AWS when infrastructure breadth, native integration and operational maturity are the main differentiators.",IF(AG86="Azure","Start with Azure when Microsoft identity, security, data, productivity or hybrid integration reduces delivery effort.",IF(AG86="GCP","Start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86" s="32" t="str">
        <x:v>Medium</x:v>
      </x:c>
      <x:c r="AJ86" s="32" t="str">
        <x:v>2026-07-12</x:v>
      </x:c>
    </x:row>
    <x:row r="87">
      <x:c r="A87" s="32" t="str">
        <x:v>Managed VMware cloud</x:v>
      </x:c>
      <x:c r="B87" s="32" t="str">
        <x:v>04 Compute, Containers &amp; Runtime</x:v>
      </x:c>
      <x:c r="C87" s="32" t="str">
        <x:v>Hybrid, Multicloud &amp; Edge Runtime</x:v>
      </x:c>
      <x:c r="D87" s="32" t="str">
        <x:v>Workload</x:v>
      </x:c>
      <x:c r="E87" s="32" t="str">
        <x:v>What business outcome, scale, control, integration and operating model justify choosing managed vmware cloud?</x:v>
      </x:c>
      <x:c r="F87" s="32" t="str">
        <x:v>VMware Cloud on AWS</x:v>
      </x:c>
      <x:c r="G87" s="32" t="str">
        <x:v>Azure VMware Solution</x:v>
      </x:c>
      <x:c r="H87" s="32" t="str">
        <x:v>Google Cloud VMware Engine</x:v>
      </x:c>
      <x:c r="I87" s="32" t="n">
        <x:v>4.2</x:v>
      </x:c>
      <x:c r="J87" s="32" t="n">
        <x:v>2</x:v>
      </x:c>
      <x:c r="K87" s="32" t="n">
        <x:v>4.4</x:v>
      </x:c>
      <x:c r="L87" s="32" t="n">
        <x:v>4.3</x:v>
      </x:c>
      <x:c r="M87" s="32" t="n">
        <x:v>3.5</x:v>
      </x:c>
      <x:c r="N87" s="32" t="n">
        <x:v>4.6</x:v>
      </x:c>
      <x:c r="O87" s="32" t="n">
        <x:v>3.4</x:v>
      </x:c>
      <x:c r="P87" s="32" t="n">
        <x:v>4.7</x:v>
      </x:c>
      <x:c r="Q87" s="32" t="n">
        <x:v>2.4</x:v>
      </x:c>
      <x:c r="R87" s="32" t="n">
        <x:v>4.8</x:v>
      </x:c>
      <x:c r="S87" s="32" t="n">
        <x:v>4.5</x:v>
      </x:c>
      <x:c r="T87" s="32" t="n">
        <x:v>3.7</x:v>
      </x:c>
      <x:c r="U87" s="32" t="n">
        <x:v>4.7</x:v>
      </x:c>
      <x:c r="V87" s="32" t="n">
        <x:v>3.5</x:v>
      </x:c>
      <x:c r="W87" s="32" t="n">
        <x:v>4.2</x:v>
      </x:c>
      <x:c r="X87" s="32" t="n">
        <x:v>2</x:v>
      </x:c>
      <x:c r="Y87" s="32" t="n">
        <x:v>4.2</x:v>
      </x:c>
      <x:c r="Z87" s="32" t="n">
        <x:v>4.7</x:v>
      </x:c>
      <x:c r="AA87" s="32" t="n">
        <x:v>3.5</x:v>
      </x:c>
      <x:c r="AB87" s="32" t="n">
        <x:v>4.4</x:v>
      </x:c>
      <x:c r="AC87" s="32" t="n">
        <x:v>3.5</x:v>
      </x:c>
      <x:c r="AD87" s="32" t="n">
        <x:f>ROUND((I87*'Criteria &amp; Scoring'!$B$5+J87*'Criteria &amp; Scoring'!$B$6+K87*'Criteria &amp; Scoring'!$B$7+L87*'Criteria &amp; Scoring'!$B$8+M87*'Criteria &amp; Scoring'!$B$9+N87*'Criteria &amp; Scoring'!$B$10+O87*'Criteria &amp; Scoring'!$B$11)/SUM('Criteria &amp; Scoring'!$B$5:$B$11),2)</x:f>
        <x:v>3.74</x:v>
      </x:c>
      <x:c r="AE87" s="32" t="n">
        <x:f>ROUND((P87*'Criteria &amp; Scoring'!$B$5+Q87*'Criteria &amp; Scoring'!$B$6+R87*'Criteria &amp; Scoring'!$B$7+S87*'Criteria &amp; Scoring'!$B$8+T87*'Criteria &amp; Scoring'!$B$9+U87*'Criteria &amp; Scoring'!$B$10+V87*'Criteria &amp; Scoring'!$B$11)/SUM('Criteria &amp; Scoring'!$B$5:$B$11),2)</x:f>
        <x:v>4.07</x:v>
      </x:c>
      <x:c r="AF87" s="32" t="n">
        <x:f>ROUND((W87*'Criteria &amp; Scoring'!$B$5+X87*'Criteria &amp; Scoring'!$B$6+Y87*'Criteria &amp; Scoring'!$B$7+Z87*'Criteria &amp; Scoring'!$B$8+AA87*'Criteria &amp; Scoring'!$B$9+AB87*'Criteria &amp; Scoring'!$B$10+AC87*'Criteria &amp; Scoring'!$B$11)/SUM('Criteria &amp; Scoring'!$B$5:$B$11),2)</x:f>
        <x:v>3.75</x:v>
      </x:c>
      <x:c r="AG87" s="32" t="str">
        <x:f>IF(LARGE(AD87:AF87,1)-LARGE(AD87:AF87,2)&lt;0.15,"Context-dependent tie",SUBSTITUTE(INDEX($AD$4:$AF$4,1,MATCH(MAX(AD87:AF87),AD87:AF87,0))," Overall",""))</x:f>
        <x:v>Azure</x:v>
      </x:c>
      <x:c r="AH87" s="32" t="str">
        <x:f>IF(AG87="AWS","Start with AWS when infrastructure breadth, native integration and operational maturity are the main differentiators.",IF(AG87="Azure","Start with Azure when Microsoft identity, security, data, productivity or hybrid integration reduces delivery effort.",IF(AG87="GCP","Start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87" s="32" t="str">
        <x:v>High</x:v>
      </x:c>
      <x:c r="AJ87" s="32" t="str">
        <x:v>2026-07-12</x:v>
      </x:c>
    </x:row>
    <x:row r="88">
      <x:c r="A88" s="32" t="str">
        <x:v>SAP workload platform</x:v>
      </x:c>
      <x:c r="B88" s="32" t="str">
        <x:v>04 Compute, Containers &amp; Runtime</x:v>
      </x:c>
      <x:c r="C88" s="32" t="str">
        <x:v>Virtual Machines &amp; Core Compute</x:v>
      </x:c>
      <x:c r="D88" s="32" t="str">
        <x:v>Platform</x:v>
      </x:c>
      <x:c r="E88" s="32" t="str">
        <x:v>How much OS, network and hardware control is required, and who will operate it?</x:v>
      </x:c>
      <x:c r="F88" s="32" t="str">
        <x:v>SAP on AWS</x:v>
      </x:c>
      <x:c r="G88" s="32" t="str">
        <x:v>SAP on Azure</x:v>
      </x:c>
      <x:c r="H88" s="32" t="str">
        <x:v>SAP on Google Cloud</x:v>
      </x:c>
      <x:c r="I88" s="32" t="n">
        <x:v>4.5</x:v>
      </x:c>
      <x:c r="J88" s="32" t="n">
        <x:v>3</x:v>
      </x:c>
      <x:c r="K88" s="32" t="n">
        <x:v>4.6</x:v>
      </x:c>
      <x:c r="L88" s="32" t="n">
        <x:v>4.3</x:v>
      </x:c>
      <x:c r="M88" s="32" t="n">
        <x:v>4.2</x:v>
      </x:c>
      <x:c r="N88" s="32" t="n">
        <x:v>4.8</x:v>
      </x:c>
      <x:c r="O88" s="32" t="n">
        <x:v>3.7</x:v>
      </x:c>
      <x:c r="P88" s="32" t="n">
        <x:v>4.2</x:v>
      </x:c>
      <x:c r="Q88" s="32" t="n">
        <x:v>3</x:v>
      </x:c>
      <x:c r="R88" s="32" t="n">
        <x:v>4.5</x:v>
      </x:c>
      <x:c r="S88" s="32" t="n">
        <x:v>4.5</x:v>
      </x:c>
      <x:c r="T88" s="32" t="n">
        <x:v>4.2</x:v>
      </x:c>
      <x:c r="U88" s="32" t="n">
        <x:v>4.5</x:v>
      </x:c>
      <x:c r="V88" s="32" t="n">
        <x:v>3.8</x:v>
      </x:c>
      <x:c r="W88" s="32" t="n">
        <x:v>4.2</x:v>
      </x:c>
      <x:c r="X88" s="32" t="n">
        <x:v>3</x:v>
      </x:c>
      <x:c r="Y88" s="32" t="n">
        <x:v>4.2</x:v>
      </x:c>
      <x:c r="Z88" s="32" t="n">
        <x:v>4.7</x:v>
      </x:c>
      <x:c r="AA88" s="32" t="n">
        <x:v>4.2</x:v>
      </x:c>
      <x:c r="AB88" s="32" t="n">
        <x:v>4.4</x:v>
      </x:c>
      <x:c r="AC88" s="32" t="n">
        <x:v>3.9</x:v>
      </x:c>
      <x:c r="AD88" s="32" t="n">
        <x:f>ROUND((I88*'Criteria &amp; Scoring'!$B$5+J88*'Criteria &amp; Scoring'!$B$6+K88*'Criteria &amp; Scoring'!$B$7+L88*'Criteria &amp; Scoring'!$B$8+M88*'Criteria &amp; Scoring'!$B$9+N88*'Criteria &amp; Scoring'!$B$10+O88*'Criteria &amp; Scoring'!$B$11)/SUM('Criteria &amp; Scoring'!$B$5:$B$11),2)</x:f>
        <x:v>4.14</x:v>
      </x:c>
      <x:c r="AE88" s="32" t="n">
        <x:f>ROUND((P88*'Criteria &amp; Scoring'!$B$5+Q88*'Criteria &amp; Scoring'!$B$6+R88*'Criteria &amp; Scoring'!$B$7+S88*'Criteria &amp; Scoring'!$B$8+T88*'Criteria &amp; Scoring'!$B$9+U88*'Criteria &amp; Scoring'!$B$10+V88*'Criteria &amp; Scoring'!$B$11)/SUM('Criteria &amp; Scoring'!$B$5:$B$11),2)</x:f>
        <x:v>4.06</x:v>
      </x:c>
      <x:c r="AF88" s="32" t="n">
        <x:f>ROUND((W88*'Criteria &amp; Scoring'!$B$5+X88*'Criteria &amp; Scoring'!$B$6+Y88*'Criteria &amp; Scoring'!$B$7+Z88*'Criteria &amp; Scoring'!$B$8+AA88*'Criteria &amp; Scoring'!$B$9+AB88*'Criteria &amp; Scoring'!$B$10+AC88*'Criteria &amp; Scoring'!$B$11)/SUM('Criteria &amp; Scoring'!$B$5:$B$11),2)</x:f>
        <x:v>4.04</x:v>
      </x:c>
      <x:c r="AG88" s="32" t="str">
        <x:f>IF(LARGE(AD88:AF88,1)-LARGE(AD88:AF88,2)&lt;0.15,"Context-dependent tie",SUBSTITUTE(INDEX($AD$4:$AF$4,1,MATCH(MAX(AD88:AF88),AD88:AF88,0))," Overall",""))</x:f>
        <x:v>Context-dependent tie</x:v>
      </x:c>
      <x:c r="AH88" s="32" t="str">
        <x:f>IF(AG88="AWS","Start with AWS when infrastructure breadth, native integration and operational maturity are the main differentiators.",IF(AG88="Azure","Start with Azure when Microsoft identity, security, data, productivity or hybrid integration reduces delivery effort.",IF(AG88="GCP","Start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88" s="32" t="str">
        <x:v>High</x:v>
      </x:c>
      <x:c r="AJ88" s="32" t="str">
        <x:v>2026-07-12</x:v>
      </x:c>
    </x:row>
    <x:row r="89">
      <x:c r="A89" s="32" t="str">
        <x:v>Managed quantum computing</x:v>
      </x:c>
      <x:c r="B89" s="32" t="str">
        <x:v>04 Compute, Containers &amp; Runtime</x:v>
      </x:c>
      <x:c r="C89" s="32" t="str">
        <x:v>Specialised &amp; High-Performance Compute</x:v>
      </x:c>
      <x:c r="D89" s="32" t="str">
        <x:v>Workload</x:v>
      </x:c>
      <x:c r="E89" s="32" t="str">
        <x:v>What business outcome, scale, control, integration and operating model justify choosing managed quantum computing?</x:v>
      </x:c>
      <x:c r="F89" s="32" t="str">
        <x:v>Amazon Braket</x:v>
      </x:c>
      <x:c r="G89" s="32" t="str">
        <x:v>Azure Quantum</x:v>
      </x:c>
      <x:c r="H89" s="32" t="str">
        <x:v>Quantum AI services and partner access</x:v>
      </x:c>
      <x:c r="I89" s="32" t="n">
        <x:v>3.5</x:v>
      </x:c>
      <x:c r="J89" s="32" t="n">
        <x:v>2</x:v>
      </x:c>
      <x:c r="K89" s="32" t="n">
        <x:v>4.3</x:v>
      </x:c>
      <x:c r="L89" s="32" t="n">
        <x:v>4.3</x:v>
      </x:c>
      <x:c r="M89" s="32" t="n">
        <x:v>3.5</x:v>
      </x:c>
      <x:c r="N89" s="32" t="n">
        <x:v>4.4</x:v>
      </x:c>
      <x:c r="O89" s="32" t="n">
        <x:v>3.7</x:v>
      </x:c>
      <x:c r="P89" s="32" t="n">
        <x:v>3.5</x:v>
      </x:c>
      <x:c r="Q89" s="32" t="n">
        <x:v>2</x:v>
      </x:c>
      <x:c r="R89" s="32" t="n">
        <x:v>4.2</x:v>
      </x:c>
      <x:c r="S89" s="32" t="n">
        <x:v>4.5</x:v>
      </x:c>
      <x:c r="T89" s="32" t="n">
        <x:v>3.5</x:v>
      </x:c>
      <x:c r="U89" s="32" t="n">
        <x:v>4.2</x:v>
      </x:c>
      <x:c r="V89" s="32" t="n">
        <x:v>3.8</x:v>
      </x:c>
      <x:c r="W89" s="32" t="n">
        <x:v>2.8</x:v>
      </x:c>
      <x:c r="X89" s="32" t="n">
        <x:v>1.6</x:v>
      </x:c>
      <x:c r="Y89" s="32" t="n">
        <x:v>3.5</x:v>
      </x:c>
      <x:c r="Z89" s="32" t="n">
        <x:v>4.3</x:v>
      </x:c>
      <x:c r="AA89" s="32" t="n">
        <x:v>3.3</x:v>
      </x:c>
      <x:c r="AB89" s="32" t="n">
        <x:v>3.6</x:v>
      </x:c>
      <x:c r="AC89" s="32" t="n">
        <x:v>3.6</x:v>
      </x:c>
      <x:c r="AD89" s="32" t="n">
        <x:f>ROUND((I89*'Criteria &amp; Scoring'!$B$5+J89*'Criteria &amp; Scoring'!$B$6+K89*'Criteria &amp; Scoring'!$B$7+L89*'Criteria &amp; Scoring'!$B$8+M89*'Criteria &amp; Scoring'!$B$9+N89*'Criteria &amp; Scoring'!$B$10+O89*'Criteria &amp; Scoring'!$B$11)/SUM('Criteria &amp; Scoring'!$B$5:$B$11),2)</x:f>
        <x:v>3.54</x:v>
      </x:c>
      <x:c r="AE89" s="32" t="n">
        <x:f>ROUND((P89*'Criteria &amp; Scoring'!$B$5+Q89*'Criteria &amp; Scoring'!$B$6+R89*'Criteria &amp; Scoring'!$B$7+S89*'Criteria &amp; Scoring'!$B$8+T89*'Criteria &amp; Scoring'!$B$9+U89*'Criteria &amp; Scoring'!$B$10+V89*'Criteria &amp; Scoring'!$B$11)/SUM('Criteria &amp; Scoring'!$B$5:$B$11),2)</x:f>
        <x:v>3.54</x:v>
      </x:c>
      <x:c r="AF89" s="32" t="n">
        <x:f>ROUND((W89*'Criteria &amp; Scoring'!$B$5+X89*'Criteria &amp; Scoring'!$B$6+Y89*'Criteria &amp; Scoring'!$B$7+Z89*'Criteria &amp; Scoring'!$B$8+AA89*'Criteria &amp; Scoring'!$B$9+AB89*'Criteria &amp; Scoring'!$B$10+AC89*'Criteria &amp; Scoring'!$B$11)/SUM('Criteria &amp; Scoring'!$B$5:$B$11),2)</x:f>
        <x:v>3.06</x:v>
      </x:c>
      <x:c r="AG89" s="32" t="str">
        <x:f>IF(LARGE(AD89:AF89,1)-LARGE(AD89:AF89,2)&lt;0.15,"Context-dependent tie",SUBSTITUTE(INDEX($AD$4:$AF$4,1,MATCH(MAX(AD89:AF89),AD89:AF89,0))," Overall",""))</x:f>
        <x:v>Context-dependent tie</x:v>
      </x:c>
      <x:c r="AH89" s="32" t="str">
        <x:f>IF(AG89="AWS","Start with AWS when infrastructure breadth, native integration and operational maturity are the main differentiators.",IF(AG89="Azure","Start with Azure when Microsoft identity, security, data, productivity or hybrid integration reduces delivery effort.",IF(AG89="GCP","Start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89" s="32" t="str">
        <x:v>Low</x:v>
      </x:c>
      <x:c r="AJ89" s="32" t="str">
        <x:v>2026-07-12</x:v>
      </x:c>
    </x:row>
    <x:row r="90">
      <x:c r="A90" s="32" t="str">
        <x:v>Provider edge compute</x:v>
      </x:c>
      <x:c r="B90" s="32" t="str">
        <x:v>04 Compute, Containers &amp; Runtime</x:v>
      </x:c>
      <x:c r="C90" s="32" t="str">
        <x:v>Hybrid, Multicloud &amp; Edge Runtime</x:v>
      </x:c>
      <x:c r="D90" s="32" t="str">
        <x:v>Workload</x:v>
      </x:c>
      <x:c r="E90" s="32" t="str">
        <x:v>What business outcome, scale, control, integration and operating model justify choosing provider edge compute?</x:v>
      </x:c>
      <x:c r="F90" s="32" t="str">
        <x:v>AWS Wavelength
AWS Outposts</x:v>
      </x:c>
      <x:c r="G90" s="32" t="str">
        <x:v>Azure Edge Zones
Azure Stack Edge</x:v>
      </x:c>
      <x:c r="H90" s="32" t="str">
        <x:v>Google Distributed Cloud</x:v>
      </x:c>
      <x:c r="I90" s="32" t="n">
        <x:v>3.9</x:v>
      </x:c>
      <x:c r="J90" s="32" t="n">
        <x:v>1.9</x:v>
      </x:c>
      <x:c r="K90" s="32" t="n">
        <x:v>4.4</x:v>
      </x:c>
      <x:c r="L90" s="32" t="n">
        <x:v>4.3</x:v>
      </x:c>
      <x:c r="M90" s="32" t="n">
        <x:v>3.5</x:v>
      </x:c>
      <x:c r="N90" s="32" t="n">
        <x:v>4.5</x:v>
      </x:c>
      <x:c r="O90" s="32" t="n">
        <x:v>3.3</x:v>
      </x:c>
      <x:c r="P90" s="32" t="n">
        <x:v>4.3</x:v>
      </x:c>
      <x:c r="Q90" s="32" t="n">
        <x:v>2.3</x:v>
      </x:c>
      <x:c r="R90" s="32" t="n">
        <x:v>4.7</x:v>
      </x:c>
      <x:c r="S90" s="32" t="n">
        <x:v>4.4</x:v>
      </x:c>
      <x:c r="T90" s="32" t="n">
        <x:v>3.7</x:v>
      </x:c>
      <x:c r="U90" s="32" t="n">
        <x:v>4.5</x:v>
      </x:c>
      <x:c r="V90" s="32" t="n">
        <x:v>3.4</x:v>
      </x:c>
      <x:c r="W90" s="32" t="n">
        <x:v>4</x:v>
      </x:c>
      <x:c r="X90" s="32" t="n">
        <x:v>2</x:v>
      </x:c>
      <x:c r="Y90" s="32" t="n">
        <x:v>4.2</x:v>
      </x:c>
      <x:c r="Z90" s="32" t="n">
        <x:v>4.7</x:v>
      </x:c>
      <x:c r="AA90" s="32" t="n">
        <x:v>3.5</x:v>
      </x:c>
      <x:c r="AB90" s="32" t="n">
        <x:v>4.3</x:v>
      </x:c>
      <x:c r="AC90" s="32" t="n">
        <x:v>3.5</x:v>
      </x:c>
      <x:c r="AD90" s="32" t="n">
        <x:f>ROUND((I90*'Criteria &amp; Scoring'!$B$5+J90*'Criteria &amp; Scoring'!$B$6+K90*'Criteria &amp; Scoring'!$B$7+L90*'Criteria &amp; Scoring'!$B$8+M90*'Criteria &amp; Scoring'!$B$9+N90*'Criteria &amp; Scoring'!$B$10+O90*'Criteria &amp; Scoring'!$B$11)/SUM('Criteria &amp; Scoring'!$B$5:$B$11),2)</x:f>
        <x:v>3.63</x:v>
      </x:c>
      <x:c r="AE90" s="32" t="n">
        <x:f>ROUND((P90*'Criteria &amp; Scoring'!$B$5+Q90*'Criteria &amp; Scoring'!$B$6+R90*'Criteria &amp; Scoring'!$B$7+S90*'Criteria &amp; Scoring'!$B$8+T90*'Criteria &amp; Scoring'!$B$9+U90*'Criteria &amp; Scoring'!$B$10+V90*'Criteria &amp; Scoring'!$B$11)/SUM('Criteria &amp; Scoring'!$B$5:$B$11),2)</x:f>
        <x:v>3.89</x:v>
      </x:c>
      <x:c r="AF90" s="32" t="n">
        <x:f>ROUND((W90*'Criteria &amp; Scoring'!$B$5+X90*'Criteria &amp; Scoring'!$B$6+Y90*'Criteria &amp; Scoring'!$B$7+Z90*'Criteria &amp; Scoring'!$B$8+AA90*'Criteria &amp; Scoring'!$B$9+AB90*'Criteria &amp; Scoring'!$B$10+AC90*'Criteria &amp; Scoring'!$B$11)/SUM('Criteria &amp; Scoring'!$B$5:$B$11),2)</x:f>
        <x:v>3.69</x:v>
      </x:c>
      <x:c r="AG90" s="32" t="str">
        <x:f>IF(LARGE(AD90:AF90,1)-LARGE(AD90:AF90,2)&lt;0.15,"Context-dependent tie",SUBSTITUTE(INDEX($AD$4:$AF$4,1,MATCH(MAX(AD90:AF90),AD90:AF90,0))," Overall",""))</x:f>
        <x:v>Azure</x:v>
      </x:c>
      <x:c r="AH90" s="32" t="str">
        <x:f>IF(AG90="AWS","Start with AWS when infrastructure breadth, native integration and operational maturity are the main differentiators.",IF(AG90="Azure","Start with Azure when Microsoft identity, security, data, productivity or hybrid integration reduces delivery effort.",IF(AG90="GCP","Start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90" s="32" t="str">
        <x:v>Medium</x:v>
      </x:c>
      <x:c r="AJ90" s="32" t="str">
        <x:v>2026-07-12</x:v>
      </x:c>
    </x:row>
    <x:row r="91">
      <x:c r="A91" s="32" t="str">
        <x:v>On-premises cloud infrastructure</x:v>
      </x:c>
      <x:c r="B91" s="32" t="str">
        <x:v>04 Compute, Containers &amp; Runtime</x:v>
      </x:c>
      <x:c r="C91" s="32" t="str">
        <x:v>Hybrid, Multicloud &amp; Edge Runtime</x:v>
      </x:c>
      <x:c r="D91" s="32" t="str">
        <x:v>Platform</x:v>
      </x:c>
      <x:c r="E91" s="32" t="str">
        <x:v>What business outcome, scale, control, integration and operating model justify choosing on-premises cloud infrastructure?</x:v>
      </x:c>
      <x:c r="F91" s="32" t="str">
        <x:v>AWS Outposts</x:v>
      </x:c>
      <x:c r="G91" s="32" t="str">
        <x:v>Azure Local
Azure Stack Hub</x:v>
      </x:c>
      <x:c r="H91" s="32" t="str">
        <x:v>Google Distributed Cloud connected
Google Distributed Cloud air-gapped</x:v>
      </x:c>
      <x:c r="I91" s="32" t="n">
        <x:v>4</x:v>
      </x:c>
      <x:c r="J91" s="32" t="n">
        <x:v>2</x:v>
      </x:c>
      <x:c r="K91" s="32" t="n">
        <x:v>4.3</x:v>
      </x:c>
      <x:c r="L91" s="32" t="n">
        <x:v>4.3</x:v>
      </x:c>
      <x:c r="M91" s="32" t="n">
        <x:v>3.5</x:v>
      </x:c>
      <x:c r="N91" s="32" t="n">
        <x:v>4.5</x:v>
      </x:c>
      <x:c r="O91" s="32" t="n">
        <x:v>3.4</x:v>
      </x:c>
      <x:c r="P91" s="32" t="n">
        <x:v>4.3</x:v>
      </x:c>
      <x:c r="Q91" s="32" t="n">
        <x:v>2.3</x:v>
      </x:c>
      <x:c r="R91" s="32" t="n">
        <x:v>4.7</x:v>
      </x:c>
      <x:c r="S91" s="32" t="n">
        <x:v>4.4</x:v>
      </x:c>
      <x:c r="T91" s="32" t="n">
        <x:v>3.7</x:v>
      </x:c>
      <x:c r="U91" s="32" t="n">
        <x:v>4.5</x:v>
      </x:c>
      <x:c r="V91" s="32" t="n">
        <x:v>3.4</x:v>
      </x:c>
      <x:c r="W91" s="32" t="n">
        <x:v>3.9</x:v>
      </x:c>
      <x:c r="X91" s="32" t="n">
        <x:v>1.9</x:v>
      </x:c>
      <x:c r="Y91" s="32" t="n">
        <x:v>4.1</x:v>
      </x:c>
      <x:c r="Z91" s="32" t="n">
        <x:v>4.6</x:v>
      </x:c>
      <x:c r="AA91" s="32" t="n">
        <x:v>3.5</x:v>
      </x:c>
      <x:c r="AB91" s="32" t="n">
        <x:v>4.2</x:v>
      </x:c>
      <x:c r="AC91" s="32" t="n">
        <x:v>3.4</x:v>
      </x:c>
      <x:c r="AD91" s="32" t="n">
        <x:f>ROUND((I91*'Criteria &amp; Scoring'!$B$5+J91*'Criteria &amp; Scoring'!$B$6+K91*'Criteria &amp; Scoring'!$B$7+L91*'Criteria &amp; Scoring'!$B$8+M91*'Criteria &amp; Scoring'!$B$9+N91*'Criteria &amp; Scoring'!$B$10+O91*'Criteria &amp; Scoring'!$B$11)/SUM('Criteria &amp; Scoring'!$B$5:$B$11),2)</x:f>
        <x:v>3.66</x:v>
      </x:c>
      <x:c r="AE91" s="32" t="n">
        <x:f>ROUND((P91*'Criteria &amp; Scoring'!$B$5+Q91*'Criteria &amp; Scoring'!$B$6+R91*'Criteria &amp; Scoring'!$B$7+S91*'Criteria &amp; Scoring'!$B$8+T91*'Criteria &amp; Scoring'!$B$9+U91*'Criteria &amp; Scoring'!$B$10+V91*'Criteria &amp; Scoring'!$B$11)/SUM('Criteria &amp; Scoring'!$B$5:$B$11),2)</x:f>
        <x:v>3.89</x:v>
      </x:c>
      <x:c r="AF91" s="32" t="n">
        <x:f>ROUND((W91*'Criteria &amp; Scoring'!$B$5+X91*'Criteria &amp; Scoring'!$B$6+Y91*'Criteria &amp; Scoring'!$B$7+Z91*'Criteria &amp; Scoring'!$B$8+AA91*'Criteria &amp; Scoring'!$B$9+AB91*'Criteria &amp; Scoring'!$B$10+AC91*'Criteria &amp; Scoring'!$B$11)/SUM('Criteria &amp; Scoring'!$B$5:$B$11),2)</x:f>
        <x:v>3.6</x:v>
      </x:c>
      <x:c r="AG91" s="32" t="str">
        <x:f>IF(LARGE(AD91:AF91,1)-LARGE(AD91:AF91,2)&lt;0.15,"Context-dependent tie",SUBSTITUTE(INDEX($AD$4:$AF$4,1,MATCH(MAX(AD91:AF91),AD91:AF91,0))," Overall",""))</x:f>
        <x:v>Azure</x:v>
      </x:c>
      <x:c r="AH91" s="32" t="str">
        <x:f>IF(AG91="AWS","Start with AWS when infrastructure breadth, native integration and operational maturity are the main differentiators.",IF(AG91="Azure","Start with Azure when Microsoft identity, security, data, productivity or hybrid integration reduces delivery effort.",IF(AG91="GCP","Start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91" s="32" t="str">
        <x:v>Medium</x:v>
      </x:c>
      <x:c r="AJ91" s="32" t="str">
        <x:v>2026-07-12</x:v>
      </x:c>
    </x:row>
    <x:row r="92">
      <x:c r="A92" s="32" t="str">
        <x:v>Hybrid and multicloud control plane</x:v>
      </x:c>
      <x:c r="B92" s="32" t="str">
        <x:v>04 Compute, Containers &amp; Runtime</x:v>
      </x:c>
      <x:c r="C92" s="32" t="str">
        <x:v>Hybrid, Multicloud &amp; Edge Runtime</x:v>
      </x:c>
      <x:c r="D92" s="32" t="str">
        <x:v>Workload</x:v>
      </x:c>
      <x:c r="E92" s="32" t="str">
        <x:v>What business outcome, scale, control, integration and operating model justify choosing hybrid and multicloud control plane?</x:v>
      </x:c>
      <x:c r="F92" s="32" t="str">
        <x:v>AWS Systems Manager
Amazon EKS Anywhere</x:v>
      </x:c>
      <x:c r="G92" s="32" t="str">
        <x:v>Azure Arc</x:v>
      </x:c>
      <x:c r="H92" s="32" t="str">
        <x:v>GKE Enterprise
Config Sync
Policy Controller</x:v>
      </x:c>
      <x:c r="I92" s="32" t="n">
        <x:v>3.9</x:v>
      </x:c>
      <x:c r="J92" s="32" t="n">
        <x:v>1.9</x:v>
      </x:c>
      <x:c r="K92" s="32" t="n">
        <x:v>4.2</x:v>
      </x:c>
      <x:c r="L92" s="32" t="n">
        <x:v>4.3</x:v>
      </x:c>
      <x:c r="M92" s="32" t="n">
        <x:v>3.5</x:v>
      </x:c>
      <x:c r="N92" s="32" t="n">
        <x:v>4.4</x:v>
      </x:c>
      <x:c r="O92" s="32" t="n">
        <x:v>3.3</x:v>
      </x:c>
      <x:c r="P92" s="32" t="n">
        <x:v>4.5</x:v>
      </x:c>
      <x:c r="Q92" s="32" t="n">
        <x:v>2.4</x:v>
      </x:c>
      <x:c r="R92" s="32" t="n">
        <x:v>4.8</x:v>
      </x:c>
      <x:c r="S92" s="32" t="n">
        <x:v>4.5</x:v>
      </x:c>
      <x:c r="T92" s="32" t="n">
        <x:v>3.7</x:v>
      </x:c>
      <x:c r="U92" s="32" t="n">
        <x:v>4.6</x:v>
      </x:c>
      <x:c r="V92" s="32" t="n">
        <x:v>3.5</x:v>
      </x:c>
      <x:c r="W92" s="32" t="n">
        <x:v>3.9</x:v>
      </x:c>
      <x:c r="X92" s="32" t="n">
        <x:v>1.9</x:v>
      </x:c>
      <x:c r="Y92" s="32" t="n">
        <x:v>4.1</x:v>
      </x:c>
      <x:c r="Z92" s="32" t="n">
        <x:v>4.6</x:v>
      </x:c>
      <x:c r="AA92" s="32" t="n">
        <x:v>3.5</x:v>
      </x:c>
      <x:c r="AB92" s="32" t="n">
        <x:v>4.2</x:v>
      </x:c>
      <x:c r="AC92" s="32" t="n">
        <x:v>3.4</x:v>
      </x:c>
      <x:c r="AD92" s="32" t="n">
        <x:f>ROUND((I92*'Criteria &amp; Scoring'!$B$5+J92*'Criteria &amp; Scoring'!$B$6+K92*'Criteria &amp; Scoring'!$B$7+L92*'Criteria &amp; Scoring'!$B$8+M92*'Criteria &amp; Scoring'!$B$9+N92*'Criteria &amp; Scoring'!$B$10+O92*'Criteria &amp; Scoring'!$B$11)/SUM('Criteria &amp; Scoring'!$B$5:$B$11),2)</x:f>
        <x:v>3.59</x:v>
      </x:c>
      <x:c r="AE92" s="32" t="n">
        <x:f>ROUND((P92*'Criteria &amp; Scoring'!$B$5+Q92*'Criteria &amp; Scoring'!$B$6+R92*'Criteria &amp; Scoring'!$B$7+S92*'Criteria &amp; Scoring'!$B$8+T92*'Criteria &amp; Scoring'!$B$9+U92*'Criteria &amp; Scoring'!$B$10+V92*'Criteria &amp; Scoring'!$B$11)/SUM('Criteria &amp; Scoring'!$B$5:$B$11),2)</x:f>
        <x:v>4.01</x:v>
      </x:c>
      <x:c r="AF92" s="32" t="n">
        <x:f>ROUND((W92*'Criteria &amp; Scoring'!$B$5+X92*'Criteria &amp; Scoring'!$B$6+Y92*'Criteria &amp; Scoring'!$B$7+Z92*'Criteria &amp; Scoring'!$B$8+AA92*'Criteria &amp; Scoring'!$B$9+AB92*'Criteria &amp; Scoring'!$B$10+AC92*'Criteria &amp; Scoring'!$B$11)/SUM('Criteria &amp; Scoring'!$B$5:$B$11),2)</x:f>
        <x:v>3.6</x:v>
      </x:c>
      <x:c r="AG92" s="32" t="str">
        <x:f>IF(LARGE(AD92:AF92,1)-LARGE(AD92:AF92,2)&lt;0.15,"Context-dependent tie",SUBSTITUTE(INDEX($AD$4:$AF$4,1,MATCH(MAX(AD92:AF92),AD92:AF92,0))," Overall",""))</x:f>
        <x:v>Azure</x:v>
      </x:c>
      <x:c r="AH92" s="32" t="str">
        <x:f>IF(AG92="AWS","Start with AWS when infrastructure breadth, native integration and operational maturity are the main differentiators.",IF(AG92="Azure","Start with Azure when Microsoft identity, security, data, productivity or hybrid integration reduces delivery effort.",IF(AG92="GCP","Start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92" s="32" t="str">
        <x:v>Medium</x:v>
      </x:c>
      <x:c r="AJ92" s="32" t="str">
        <x:v>2026-07-12</x:v>
      </x:c>
    </x:row>
    <x:row r="93">
      <x:c r="A93" s="32" t="str">
        <x:v>Multicloud Kubernetes management</x:v>
      </x:c>
      <x:c r="B93" s="32" t="str">
        <x:v>04 Compute, Containers &amp; Runtime</x:v>
      </x:c>
      <x:c r="C93" s="32" t="str">
        <x:v>Containers &amp; Kubernetes</x:v>
      </x:c>
      <x:c r="D93" s="32" t="str">
        <x:v>Platform</x:v>
      </x:c>
      <x:c r="E93" s="32" t="str">
        <x:v>Do you need Kubernetes-specific control, or would a simpler serverless container platform meet the requirement?</x:v>
      </x:c>
      <x:c r="F93" s="32" t="str">
        <x:v>Amazon EKS Anywhere
Amazon ECS Anywhere</x:v>
      </x:c>
      <x:c r="G93" s="32" t="str">
        <x:v>Azure Kubernetes Fleet Manager
Azure Arc-enabled Kubernetes</x:v>
      </x:c>
      <x:c r="H93" s="32" t="str">
        <x:v>GKE Multi-Cloud
GKE Enterprise</x:v>
      </x:c>
      <x:c r="I93" s="32" t="n">
        <x:v>4</x:v>
      </x:c>
      <x:c r="J93" s="32" t="n">
        <x:v>1</x:v>
      </x:c>
      <x:c r="K93" s="32" t="n">
        <x:v>4.2</x:v>
      </x:c>
      <x:c r="L93" s="32" t="n">
        <x:v>4.3</x:v>
      </x:c>
      <x:c r="M93" s="32" t="n">
        <x:v>4.1</x:v>
      </x:c>
      <x:c r="N93" s="32" t="n">
        <x:v>4.4</x:v>
      </x:c>
      <x:c r="O93" s="32" t="n">
        <x:v>3.3</x:v>
      </x:c>
      <x:c r="P93" s="32" t="n">
        <x:v>4</x:v>
      </x:c>
      <x:c r="Q93" s="32" t="n">
        <x:v>1</x:v>
      </x:c>
      <x:c r="R93" s="32" t="n">
        <x:v>4.4</x:v>
      </x:c>
      <x:c r="S93" s="32" t="n">
        <x:v>4.4</x:v>
      </x:c>
      <x:c r="T93" s="32" t="n">
        <x:v>4.1</x:v>
      </x:c>
      <x:c r="U93" s="32" t="n">
        <x:v>4.3</x:v>
      </x:c>
      <x:c r="V93" s="32" t="n">
        <x:v>3.4</x:v>
      </x:c>
      <x:c r="W93" s="32" t="n">
        <x:v>4.5</x:v>
      </x:c>
      <x:c r="X93" s="32" t="n">
        <x:v>1.3</x:v>
      </x:c>
      <x:c r="Y93" s="32" t="n">
        <x:v>4.3</x:v>
      </x:c>
      <x:c r="Z93" s="32" t="n">
        <x:v>4.6</x:v>
      </x:c>
      <x:c r="AA93" s="32" t="n">
        <x:v>4.4</x:v>
      </x:c>
      <x:c r="AB93" s="32" t="n">
        <x:v>4.5</x:v>
      </x:c>
      <x:c r="AC93" s="32" t="n">
        <x:v>3.4</x:v>
      </x:c>
      <x:c r="AD93" s="32" t="n">
        <x:f>ROUND((I93*'Criteria &amp; Scoring'!$B$5+J93*'Criteria &amp; Scoring'!$B$6+K93*'Criteria &amp; Scoring'!$B$7+L93*'Criteria &amp; Scoring'!$B$8+M93*'Criteria &amp; Scoring'!$B$9+N93*'Criteria &amp; Scoring'!$B$10+O93*'Criteria &amp; Scoring'!$B$11)/SUM('Criteria &amp; Scoring'!$B$5:$B$11),2)</x:f>
        <x:v>3.49</x:v>
      </x:c>
      <x:c r="AE93" s="32" t="n">
        <x:f>ROUND((P93*'Criteria &amp; Scoring'!$B$5+Q93*'Criteria &amp; Scoring'!$B$6+R93*'Criteria &amp; Scoring'!$B$7+S93*'Criteria &amp; Scoring'!$B$8+T93*'Criteria &amp; Scoring'!$B$9+U93*'Criteria &amp; Scoring'!$B$10+V93*'Criteria &amp; Scoring'!$B$11)/SUM('Criteria &amp; Scoring'!$B$5:$B$11),2)</x:f>
        <x:v>3.53</x:v>
      </x:c>
      <x:c r="AF93" s="32" t="n">
        <x:f>ROUND((W93*'Criteria &amp; Scoring'!$B$5+X93*'Criteria &amp; Scoring'!$B$6+Y93*'Criteria &amp; Scoring'!$B$7+Z93*'Criteria &amp; Scoring'!$B$8+AA93*'Criteria &amp; Scoring'!$B$9+AB93*'Criteria &amp; Scoring'!$B$10+AC93*'Criteria &amp; Scoring'!$B$11)/SUM('Criteria &amp; Scoring'!$B$5:$B$11),2)</x:f>
        <x:v>3.78</x:v>
      </x:c>
      <x:c r="AG93" s="32" t="str">
        <x:f>IF(LARGE(AD93:AF93,1)-LARGE(AD93:AF93,2)&lt;0.15,"Context-dependent tie",SUBSTITUTE(INDEX($AD$4:$AF$4,1,MATCH(MAX(AD93:AF93),AD93:AF93,0))," Overall",""))</x:f>
        <x:v>GCP</x:v>
      </x:c>
      <x:c r="AH93" s="32" t="str">
        <x:f>IF(AG93="AWS","Start with AWS when infrastructure breadth, native integration and operational maturity are the main differentiators.",IF(AG93="Azure","Start with Azure when Microsoft identity, security, data, productivity or hybrid integration reduces delivery effort.",IF(AG93="GCP","Start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93" s="32" t="str">
        <x:v>Medium</x:v>
      </x:c>
      <x:c r="AJ93" s="32" t="str">
        <x:v>2026-07-12</x:v>
      </x:c>
    </x:row>
    <x:row r="94">
      <x:c r="A94" s="32" t="str">
        <x:v>Air-gapped cloud platform</x:v>
      </x:c>
      <x:c r="B94" s="32" t="str">
        <x:v>04 Compute, Containers &amp; Runtime</x:v>
      </x:c>
      <x:c r="C94" s="32" t="str">
        <x:v>Hybrid, Multicloud &amp; Edge Runtime</x:v>
      </x:c>
      <x:c r="D94" s="32" t="str">
        <x:v>Platform</x:v>
      </x:c>
      <x:c r="E94" s="32" t="str">
        <x:v>What business outcome, scale, control, integration and operating model justify choosing air-gapped cloud platform?</x:v>
      </x:c>
      <x:c r="F94" s="32" t="str">
        <x:v>AWS Snowball Edge / AWS Outposts variants</x:v>
      </x:c>
      <x:c r="G94" s="32" t="str">
        <x:v>Azure Stack Hub</x:v>
      </x:c>
      <x:c r="H94" s="32" t="str">
        <x:v>Google Distributed Cloud air-gapped</x:v>
      </x:c>
      <x:c r="I94" s="32" t="n">
        <x:v>3.4</x:v>
      </x:c>
      <x:c r="J94" s="32" t="n">
        <x:v>1</x:v>
      </x:c>
      <x:c r="K94" s="32" t="n">
        <x:v>4</x:v>
      </x:c>
      <x:c r="L94" s="32" t="n">
        <x:v>4.3</x:v>
      </x:c>
      <x:c r="M94" s="32" t="n">
        <x:v>3.5</x:v>
      </x:c>
      <x:c r="N94" s="32" t="n">
        <x:v>4.2</x:v>
      </x:c>
      <x:c r="O94" s="32" t="n">
        <x:v>3.3</x:v>
      </x:c>
      <x:c r="P94" s="32" t="n">
        <x:v>4</x:v>
      </x:c>
      <x:c r="Q94" s="32" t="n">
        <x:v>1.4</x:v>
      </x:c>
      <x:c r="R94" s="32" t="n">
        <x:v>4.5</x:v>
      </x:c>
      <x:c r="S94" s="32" t="n">
        <x:v>4.5</x:v>
      </x:c>
      <x:c r="T94" s="32" t="n">
        <x:v>3.7</x:v>
      </x:c>
      <x:c r="U94" s="32" t="n">
        <x:v>4.4</x:v>
      </x:c>
      <x:c r="V94" s="32" t="n">
        <x:v>3.5</x:v>
      </x:c>
      <x:c r="W94" s="32" t="n">
        <x:v>3.5</x:v>
      </x:c>
      <x:c r="X94" s="32" t="n">
        <x:v>1</x:v>
      </x:c>
      <x:c r="Y94" s="32" t="n">
        <x:v>4.2</x:v>
      </x:c>
      <x:c r="Z94" s="32" t="n">
        <x:v>4.7</x:v>
      </x:c>
      <x:c r="AA94" s="32" t="n">
        <x:v>3.5</x:v>
      </x:c>
      <x:c r="AB94" s="32" t="n">
        <x:v>4.1</x:v>
      </x:c>
      <x:c r="AC94" s="32" t="n">
        <x:v>3.5</x:v>
      </x:c>
      <x:c r="AD94" s="32" t="n">
        <x:f>ROUND((I94*'Criteria &amp; Scoring'!$B$5+J94*'Criteria &amp; Scoring'!$B$6+K94*'Criteria &amp; Scoring'!$B$7+L94*'Criteria &amp; Scoring'!$B$8+M94*'Criteria &amp; Scoring'!$B$9+N94*'Criteria &amp; Scoring'!$B$10+O94*'Criteria &amp; Scoring'!$B$11)/SUM('Criteria &amp; Scoring'!$B$5:$B$11),2)</x:f>
        <x:v>3.23</x:v>
      </x:c>
      <x:c r="AE94" s="32" t="n">
        <x:f>ROUND((P94*'Criteria &amp; Scoring'!$B$5+Q94*'Criteria &amp; Scoring'!$B$6+R94*'Criteria &amp; Scoring'!$B$7+S94*'Criteria &amp; Scoring'!$B$8+T94*'Criteria &amp; Scoring'!$B$9+U94*'Criteria &amp; Scoring'!$B$10+V94*'Criteria &amp; Scoring'!$B$11)/SUM('Criteria &amp; Scoring'!$B$5:$B$11),2)</x:f>
        <x:v>3.62</x:v>
      </x:c>
      <x:c r="AF94" s="32" t="n">
        <x:f>ROUND((W94*'Criteria &amp; Scoring'!$B$5+X94*'Criteria &amp; Scoring'!$B$6+Y94*'Criteria &amp; Scoring'!$B$7+Z94*'Criteria &amp; Scoring'!$B$8+AA94*'Criteria &amp; Scoring'!$B$9+AB94*'Criteria &amp; Scoring'!$B$10+AC94*'Criteria &amp; Scoring'!$B$11)/SUM('Criteria &amp; Scoring'!$B$5:$B$11),2)</x:f>
        <x:v>3.35</x:v>
      </x:c>
      <x:c r="AG94" s="32" t="str">
        <x:f>IF(LARGE(AD94:AF94,1)-LARGE(AD94:AF94,2)&lt;0.15,"Context-dependent tie",SUBSTITUTE(INDEX($AD$4:$AF$4,1,MATCH(MAX(AD94:AF94),AD94:AF94,0))," Overall",""))</x:f>
        <x:v>Azure</x:v>
      </x:c>
      <x:c r="AH94" s="32" t="str">
        <x:f>IF(AG94="AWS","Start with AWS when infrastructure breadth, native integration and operational maturity are the main differentiators.",IF(AG94="Azure","Start with Azure when Microsoft identity, security, data, productivity or hybrid integration reduces delivery effort.",IF(AG94="GCP","Start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94" s="32" t="str">
        <x:v>Low</x:v>
      </x:c>
      <x:c r="AJ94" s="32" t="str">
        <x:v>2026-07-12</x:v>
      </x:c>
    </x:row>
    <x:row r="95">
      <x:c r="A95" s="32" t="str">
        <x:v>Cloud edge appliance</x:v>
      </x:c>
      <x:c r="B95" s="32" t="str">
        <x:v>04 Compute, Containers &amp; Runtime</x:v>
      </x:c>
      <x:c r="C95" s="32" t="str">
        <x:v>Hybrid, Multicloud &amp; Edge Runtime</x:v>
      </x:c>
      <x:c r="D95" s="32" t="str">
        <x:v>Workload</x:v>
      </x:c>
      <x:c r="E95" s="32" t="str">
        <x:v>What business outcome, scale, control, integration and operating model justify choosing cloud edge appliance?</x:v>
      </x:c>
      <x:c r="F95" s="32" t="str">
        <x:v>AWS Snow Family</x:v>
      </x:c>
      <x:c r="G95" s="32" t="str">
        <x:v>Azure Stack Edge
Azure Data Box</x:v>
      </x:c>
      <x:c r="H95" s="32" t="str">
        <x:v>Google Distributed Cloud appliance
Transfer Appliance</x:v>
      </x:c>
      <x:c r="I95" s="32" t="n">
        <x:v>4</x:v>
      </x:c>
      <x:c r="J95" s="32" t="n">
        <x:v>2</x:v>
      </x:c>
      <x:c r="K95" s="32" t="n">
        <x:v>4.3</x:v>
      </x:c>
      <x:c r="L95" s="32" t="n">
        <x:v>4.3</x:v>
      </x:c>
      <x:c r="M95" s="32" t="n">
        <x:v>3.5</x:v>
      </x:c>
      <x:c r="N95" s="32" t="n">
        <x:v>4.5</x:v>
      </x:c>
      <x:c r="O95" s="32" t="n">
        <x:v>3.4</x:v>
      </x:c>
      <x:c r="P95" s="32" t="n">
        <x:v>4.3</x:v>
      </x:c>
      <x:c r="Q95" s="32" t="n">
        <x:v>2.3</x:v>
      </x:c>
      <x:c r="R95" s="32" t="n">
        <x:v>4.7</x:v>
      </x:c>
      <x:c r="S95" s="32" t="n">
        <x:v>4.4</x:v>
      </x:c>
      <x:c r="T95" s="32" t="n">
        <x:v>3.7</x:v>
      </x:c>
      <x:c r="U95" s="32" t="n">
        <x:v>4.5</x:v>
      </x:c>
      <x:c r="V95" s="32" t="n">
        <x:v>3.4</x:v>
      </x:c>
      <x:c r="W95" s="32" t="n">
        <x:v>3.9</x:v>
      </x:c>
      <x:c r="X95" s="32" t="n">
        <x:v>1.9</x:v>
      </x:c>
      <x:c r="Y95" s="32" t="n">
        <x:v>4.1</x:v>
      </x:c>
      <x:c r="Z95" s="32" t="n">
        <x:v>4.6</x:v>
      </x:c>
      <x:c r="AA95" s="32" t="n">
        <x:v>3.5</x:v>
      </x:c>
      <x:c r="AB95" s="32" t="n">
        <x:v>4.2</x:v>
      </x:c>
      <x:c r="AC95" s="32" t="n">
        <x:v>3.4</x:v>
      </x:c>
      <x:c r="AD95" s="32" t="n">
        <x:f>ROUND((I95*'Criteria &amp; Scoring'!$B$5+J95*'Criteria &amp; Scoring'!$B$6+K95*'Criteria &amp; Scoring'!$B$7+L95*'Criteria &amp; Scoring'!$B$8+M95*'Criteria &amp; Scoring'!$B$9+N95*'Criteria &amp; Scoring'!$B$10+O95*'Criteria &amp; Scoring'!$B$11)/SUM('Criteria &amp; Scoring'!$B$5:$B$11),2)</x:f>
        <x:v>3.66</x:v>
      </x:c>
      <x:c r="AE95" s="32" t="n">
        <x:f>ROUND((P95*'Criteria &amp; Scoring'!$B$5+Q95*'Criteria &amp; Scoring'!$B$6+R95*'Criteria &amp; Scoring'!$B$7+S95*'Criteria &amp; Scoring'!$B$8+T95*'Criteria &amp; Scoring'!$B$9+U95*'Criteria &amp; Scoring'!$B$10+V95*'Criteria &amp; Scoring'!$B$11)/SUM('Criteria &amp; Scoring'!$B$5:$B$11),2)</x:f>
        <x:v>3.89</x:v>
      </x:c>
      <x:c r="AF95" s="32" t="n">
        <x:f>ROUND((W95*'Criteria &amp; Scoring'!$B$5+X95*'Criteria &amp; Scoring'!$B$6+Y95*'Criteria &amp; Scoring'!$B$7+Z95*'Criteria &amp; Scoring'!$B$8+AA95*'Criteria &amp; Scoring'!$B$9+AB95*'Criteria &amp; Scoring'!$B$10+AC95*'Criteria &amp; Scoring'!$B$11)/SUM('Criteria &amp; Scoring'!$B$5:$B$11),2)</x:f>
        <x:v>3.6</x:v>
      </x:c>
      <x:c r="AG95" s="32" t="str">
        <x:f>IF(LARGE(AD95:AF95,1)-LARGE(AD95:AF95,2)&lt;0.15,"Context-dependent tie",SUBSTITUTE(INDEX($AD$4:$AF$4,1,MATCH(MAX(AD95:AF95),AD95:AF95,0))," Overall",""))</x:f>
        <x:v>Azure</x:v>
      </x:c>
      <x:c r="AH95" s="32" t="str">
        <x:f>IF(AG95="AWS","Start with AWS when infrastructure breadth, native integration and operational maturity are the main differentiators.",IF(AG95="Azure","Start with Azure when Microsoft identity, security, data, productivity or hybrid integration reduces delivery effort.",IF(AG95="GCP","Start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95" s="32" t="str">
        <x:v>Medium</x:v>
      </x:c>
      <x:c r="AJ95" s="32" t="str">
        <x:v>2026-07-12</x:v>
      </x:c>
    </x:row>
    <x:row r="96">
      <x:c r="A96" s="32" t="str">
        <x:v>Virtual private network</x:v>
      </x:c>
      <x:c r="B96" s="32" t="str">
        <x:v>03 Network &amp; Connectivity</x:v>
      </x:c>
      <x:c r="C96" s="32" t="str">
        <x:v>Virtual Networks &amp; Segmentation</x:v>
      </x:c>
      <x:c r="D96" s="32" t="str">
        <x:v>Foundation</x:v>
      </x:c>
      <x:c r="E96" s="32" t="str">
        <x:v>What business outcome, scale, control, integration and operating model justify choosing virtual private network?</x:v>
      </x:c>
      <x:c r="F96" s="32" t="str">
        <x:v>Amazon VPC</x:v>
      </x:c>
      <x:c r="G96" s="32" t="str">
        <x:v>Azure Virtual Network</x:v>
      </x:c>
      <x:c r="H96" s="32" t="str">
        <x:v>Virtual Private Cloud</x:v>
      </x:c>
      <x:c r="I96" s="32" t="n">
        <x:v>4.2</x:v>
      </x:c>
      <x:c r="J96" s="32" t="n">
        <x:v>3</x:v>
      </x:c>
      <x:c r="K96" s="32" t="n">
        <x:v>4.6</x:v>
      </x:c>
      <x:c r="L96" s="32" t="n">
        <x:v>3.9</x:v>
      </x:c>
      <x:c r="M96" s="32" t="n">
        <x:v>3.5</x:v>
      </x:c>
      <x:c r="N96" s="32" t="n">
        <x:v>4.8</x:v>
      </x:c>
      <x:c r="O96" s="32" t="n">
        <x:v>3.7</x:v>
      </x:c>
      <x:c r="P96" s="32" t="n">
        <x:v>4.2</x:v>
      </x:c>
      <x:c r="Q96" s="32" t="n">
        <x:v>3</x:v>
      </x:c>
      <x:c r="R96" s="32" t="n">
        <x:v>4.5</x:v>
      </x:c>
      <x:c r="S96" s="32" t="n">
        <x:v>3.9</x:v>
      </x:c>
      <x:c r="T96" s="32" t="n">
        <x:v>3.5</x:v>
      </x:c>
      <x:c r="U96" s="32" t="n">
        <x:v>4.5</x:v>
      </x:c>
      <x:c r="V96" s="32" t="n">
        <x:v>3.8</x:v>
      </x:c>
      <x:c r="W96" s="32" t="n">
        <x:v>4.2</x:v>
      </x:c>
      <x:c r="X96" s="32" t="n">
        <x:v>3</x:v>
      </x:c>
      <x:c r="Y96" s="32" t="n">
        <x:v>4.5</x:v>
      </x:c>
      <x:c r="Z96" s="32" t="n">
        <x:v>4</x:v>
      </x:c>
      <x:c r="AA96" s="32" t="n">
        <x:v>3.5</x:v>
      </x:c>
      <x:c r="AB96" s="32" t="n">
        <x:v>4.4</x:v>
      </x:c>
      <x:c r="AC96" s="32" t="n">
        <x:v>3.9</x:v>
      </x:c>
      <x:c r="AD96" s="32" t="n">
        <x:f>ROUND((I96*'Criteria &amp; Scoring'!$B$5+J96*'Criteria &amp; Scoring'!$B$6+K96*'Criteria &amp; Scoring'!$B$7+L96*'Criteria &amp; Scoring'!$B$8+M96*'Criteria &amp; Scoring'!$B$9+N96*'Criteria &amp; Scoring'!$B$10+O96*'Criteria &amp; Scoring'!$B$11)/SUM('Criteria &amp; Scoring'!$B$5:$B$11),2)</x:f>
        <x:v>3.94</x:v>
      </x:c>
      <x:c r="AE96" s="32" t="n">
        <x:f>ROUND((P96*'Criteria &amp; Scoring'!$B$5+Q96*'Criteria &amp; Scoring'!$B$6+R96*'Criteria &amp; Scoring'!$B$7+S96*'Criteria &amp; Scoring'!$B$8+T96*'Criteria &amp; Scoring'!$B$9+U96*'Criteria &amp; Scoring'!$B$10+V96*'Criteria &amp; Scoring'!$B$11)/SUM('Criteria &amp; Scoring'!$B$5:$B$11),2)</x:f>
        <x:v>3.9</x:v>
      </x:c>
      <x:c r="AF96" s="32" t="n">
        <x:f>ROUND((W96*'Criteria &amp; Scoring'!$B$5+X96*'Criteria &amp; Scoring'!$B$6+Y96*'Criteria &amp; Scoring'!$B$7+Z96*'Criteria &amp; Scoring'!$B$8+AA96*'Criteria &amp; Scoring'!$B$9+AB96*'Criteria &amp; Scoring'!$B$10+AC96*'Criteria &amp; Scoring'!$B$11)/SUM('Criteria &amp; Scoring'!$B$5:$B$11),2)</x:f>
        <x:v>3.91</x:v>
      </x:c>
      <x:c r="AG96" s="32" t="str">
        <x:f>IF(LARGE(AD96:AF96,1)-LARGE(AD96:AF96,2)&lt;0.15,"Context-dependent tie",SUBSTITUTE(INDEX($AD$4:$AF$4,1,MATCH(MAX(AD96:AF96),AD96:AF96,0))," Overall",""))</x:f>
        <x:v>Context-dependent tie</x:v>
      </x:c>
      <x:c r="AH96" s="32" t="str">
        <x:f>IF(AG96="AWS","Start with AWS when infrastructure breadth, native integration and operational maturity are the main differentiators.",IF(AG96="Azure","Start with Azure when Microsoft identity, security, data, productivity or hybrid integration reduces delivery effort.",IF(AG96="GCP","Start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96" s="32" t="str">
        <x:v>High</x:v>
      </x:c>
      <x:c r="AJ96" s="32" t="str">
        <x:v>2026-07-12</x:v>
      </x:c>
    </x:row>
    <x:row r="97">
      <x:c r="A97" s="32" t="str">
        <x:v>Network security groups</x:v>
      </x:c>
      <x:c r="B97" s="32" t="str">
        <x:v>03 Network &amp; Connectivity</x:v>
      </x:c>
      <x:c r="C97" s="32" t="str">
        <x:v>Virtual Networks &amp; Segmentation</x:v>
      </x:c>
      <x:c r="D97" s="32" t="str">
        <x:v>Workload</x:v>
      </x:c>
      <x:c r="E97" s="32" t="str">
        <x:v>What business outcome, scale, control, integration and operating model justify choosing network security groups?</x:v>
      </x:c>
      <x:c r="F97" s="32" t="str">
        <x:v>Security Groups
Network ACLs</x:v>
      </x:c>
      <x:c r="G97" s="32" t="str">
        <x:v>Network Security Groups
Application Security Groups</x:v>
      </x:c>
      <x:c r="H97" s="32" t="str">
        <x:v>VPC firewall rules
Hierarchical firewall policies</x:v>
      </x:c>
      <x:c r="I97" s="32" t="n">
        <x:v>3.9</x:v>
      </x:c>
      <x:c r="J97" s="32" t="n">
        <x:v>2.9</x:v>
      </x:c>
      <x:c r="K97" s="32" t="n">
        <x:v>4.4</x:v>
      </x:c>
      <x:c r="L97" s="32" t="n">
        <x:v>3.8</x:v>
      </x:c>
      <x:c r="M97" s="32" t="n">
        <x:v>3.5</x:v>
      </x:c>
      <x:c r="N97" s="32" t="n">
        <x:v>4.5</x:v>
      </x:c>
      <x:c r="O97" s="32" t="n">
        <x:v>3.6</x:v>
      </x:c>
      <x:c r="P97" s="32" t="n">
        <x:v>3.9</x:v>
      </x:c>
      <x:c r="Q97" s="32" t="n">
        <x:v>2.9</x:v>
      </x:c>
      <x:c r="R97" s="32" t="n">
        <x:v>4.7</x:v>
      </x:c>
      <x:c r="S97" s="32" t="n">
        <x:v>3.8</x:v>
      </x:c>
      <x:c r="T97" s="32" t="n">
        <x:v>3.5</x:v>
      </x:c>
      <x:c r="U97" s="32" t="n">
        <x:v>4.5</x:v>
      </x:c>
      <x:c r="V97" s="32" t="n">
        <x:v>3.7</x:v>
      </x:c>
      <x:c r="W97" s="32" t="n">
        <x:v>3.9</x:v>
      </x:c>
      <x:c r="X97" s="32" t="n">
        <x:v>2.9</x:v>
      </x:c>
      <x:c r="Y97" s="32" t="n">
        <x:v>4.3</x:v>
      </x:c>
      <x:c r="Z97" s="32" t="n">
        <x:v>3.9</x:v>
      </x:c>
      <x:c r="AA97" s="32" t="n">
        <x:v>3.5</x:v>
      </x:c>
      <x:c r="AB97" s="32" t="n">
        <x:v>4.2</x:v>
      </x:c>
      <x:c r="AC97" s="32" t="n">
        <x:v>3.8</x:v>
      </x:c>
      <x:c r="AD97" s="32" t="n">
        <x:f>ROUND((I97*'Criteria &amp; Scoring'!$B$5+J97*'Criteria &amp; Scoring'!$B$6+K97*'Criteria &amp; Scoring'!$B$7+L97*'Criteria &amp; Scoring'!$B$8+M97*'Criteria &amp; Scoring'!$B$9+N97*'Criteria &amp; Scoring'!$B$10+O97*'Criteria &amp; Scoring'!$B$11)/SUM('Criteria &amp; Scoring'!$B$5:$B$11),2)</x:f>
        <x:v>3.77</x:v>
      </x:c>
      <x:c r="AE97" s="32" t="n">
        <x:f>ROUND((P97*'Criteria &amp; Scoring'!$B$5+Q97*'Criteria &amp; Scoring'!$B$6+R97*'Criteria &amp; Scoring'!$B$7+S97*'Criteria &amp; Scoring'!$B$8+T97*'Criteria &amp; Scoring'!$B$9+U97*'Criteria &amp; Scoring'!$B$10+V97*'Criteria &amp; Scoring'!$B$11)/SUM('Criteria &amp; Scoring'!$B$5:$B$11),2)</x:f>
        <x:v>3.82</x:v>
      </x:c>
      <x:c r="AF97" s="32" t="n">
        <x:f>ROUND((W97*'Criteria &amp; Scoring'!$B$5+X97*'Criteria &amp; Scoring'!$B$6+Y97*'Criteria &amp; Scoring'!$B$7+Z97*'Criteria &amp; Scoring'!$B$8+AA97*'Criteria &amp; Scoring'!$B$9+AB97*'Criteria &amp; Scoring'!$B$10+AC97*'Criteria &amp; Scoring'!$B$11)/SUM('Criteria &amp; Scoring'!$B$5:$B$11),2)</x:f>
        <x:v>3.74</x:v>
      </x:c>
      <x:c r="AG97" s="32" t="str">
        <x:f>IF(LARGE(AD97:AF97,1)-LARGE(AD97:AF97,2)&lt;0.15,"Context-dependent tie",SUBSTITUTE(INDEX($AD$4:$AF$4,1,MATCH(MAX(AD97:AF97),AD97:AF97,0))," Overall",""))</x:f>
        <x:v>Context-dependent tie</x:v>
      </x:c>
      <x:c r="AH97" s="32" t="str">
        <x:f>IF(AG97="AWS","Start with AWS when infrastructure breadth, native integration and operational maturity are the main differentiators.",IF(AG97="Azure","Start with Azure when Microsoft identity, security, data, productivity or hybrid integration reduces delivery effort.",IF(AG97="GCP","Start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97" s="32" t="str">
        <x:v>Medium</x:v>
      </x:c>
      <x:c r="AJ97" s="32" t="str">
        <x:v>2026-07-12</x:v>
      </x:c>
    </x:row>
    <x:row r="98">
      <x:c r="A98" s="32" t="str">
        <x:v>Layer 4 load balancing</x:v>
      </x:c>
      <x:c r="B98" s="32" t="str">
        <x:v>03 Network &amp; Connectivity</x:v>
      </x:c>
      <x:c r="C98" s="32" t="str">
        <x:v>Traffic Management &amp; Content Delivery</x:v>
      </x:c>
      <x:c r="D98" s="32" t="str">
        <x:v>Component</x:v>
      </x:c>
      <x:c r="E98" s="32" t="str">
        <x:v>Is routing regional or global, Layer 4 or Layer 7, and what latency, security and failover behaviour is required?</x:v>
      </x:c>
      <x:c r="F98" s="32" t="str">
        <x:v>Network Load Balancer
Gateway Load Balancer</x:v>
      </x:c>
      <x:c r="G98" s="32" t="str">
        <x:v>Azure Load Balancer</x:v>
      </x:c>
      <x:c r="H98" s="32" t="str">
        <x:v>Cloud Load Balancing</x:v>
      </x:c>
      <x:c r="I98" s="32" t="n">
        <x:v>3.9</x:v>
      </x:c>
      <x:c r="J98" s="32" t="n">
        <x:v>3.9</x:v>
      </x:c>
      <x:c r="K98" s="32" t="n">
        <x:v>4.2</x:v>
      </x:c>
      <x:c r="L98" s="32" t="n">
        <x:v>3.8</x:v>
      </x:c>
      <x:c r="M98" s="32" t="n">
        <x:v>3.5</x:v>
      </x:c>
      <x:c r="N98" s="32" t="n">
        <x:v>4.4</x:v>
      </x:c>
      <x:c r="O98" s="32" t="n">
        <x:v>3.6</x:v>
      </x:c>
      <x:c r="P98" s="32" t="n">
        <x:v>4</x:v>
      </x:c>
      <x:c r="Q98" s="32" t="n">
        <x:v>4</x:v>
      </x:c>
      <x:c r="R98" s="32" t="n">
        <x:v>4.5</x:v>
      </x:c>
      <x:c r="S98" s="32" t="n">
        <x:v>3.9</x:v>
      </x:c>
      <x:c r="T98" s="32" t="n">
        <x:v>3.5</x:v>
      </x:c>
      <x:c r="U98" s="32" t="n">
        <x:v>4.4</x:v>
      </x:c>
      <x:c r="V98" s="32" t="n">
        <x:v>3.8</x:v>
      </x:c>
      <x:c r="W98" s="32" t="n">
        <x:v>4.3</x:v>
      </x:c>
      <x:c r="X98" s="32" t="n">
        <x:v>4</x:v>
      </x:c>
      <x:c r="Y98" s="32" t="n">
        <x:v>4.2</x:v>
      </x:c>
      <x:c r="Z98" s="32" t="n">
        <x:v>4</x:v>
      </x:c>
      <x:c r="AA98" s="32" t="n">
        <x:v>3.5</x:v>
      </x:c>
      <x:c r="AB98" s="32" t="n">
        <x:v>4.3</x:v>
      </x:c>
      <x:c r="AC98" s="32" t="n">
        <x:v>3.9</x:v>
      </x:c>
      <x:c r="AD98" s="32" t="n">
        <x:f>ROUND((I98*'Criteria &amp; Scoring'!$B$5+J98*'Criteria &amp; Scoring'!$B$6+K98*'Criteria &amp; Scoring'!$B$7+L98*'Criteria &amp; Scoring'!$B$8+M98*'Criteria &amp; Scoring'!$B$9+N98*'Criteria &amp; Scoring'!$B$10+O98*'Criteria &amp; Scoring'!$B$11)/SUM('Criteria &amp; Scoring'!$B$5:$B$11),2)</x:f>
        <x:v>3.93</x:v>
      </x:c>
      <x:c r="AE98" s="32" t="n">
        <x:f>ROUND((P98*'Criteria &amp; Scoring'!$B$5+Q98*'Criteria &amp; Scoring'!$B$6+R98*'Criteria &amp; Scoring'!$B$7+S98*'Criteria &amp; Scoring'!$B$8+T98*'Criteria &amp; Scoring'!$B$9+U98*'Criteria &amp; Scoring'!$B$10+V98*'Criteria &amp; Scoring'!$B$11)/SUM('Criteria &amp; Scoring'!$B$5:$B$11),2)</x:f>
        <x:v>4.04</x:v>
      </x:c>
      <x:c r="AF98" s="32" t="n">
        <x:f>ROUND((W98*'Criteria &amp; Scoring'!$B$5+X98*'Criteria &amp; Scoring'!$B$6+Y98*'Criteria &amp; Scoring'!$B$7+Z98*'Criteria &amp; Scoring'!$B$8+AA98*'Criteria &amp; Scoring'!$B$9+AB98*'Criteria &amp; Scoring'!$B$10+AC98*'Criteria &amp; Scoring'!$B$11)/SUM('Criteria &amp; Scoring'!$B$5:$B$11),2)</x:f>
        <x:v>4.08</x:v>
      </x:c>
      <x:c r="AG98" s="32" t="str">
        <x:f>IF(LARGE(AD98:AF98,1)-LARGE(AD98:AF98,2)&lt;0.15,"Context-dependent tie",SUBSTITUTE(INDEX($AD$4:$AF$4,1,MATCH(MAX(AD98:AF98),AD98:AF98,0))," Overall",""))</x:f>
        <x:v>Context-dependent tie</x:v>
      </x:c>
      <x:c r="AH98" s="32" t="str">
        <x:f>IF(AG98="AWS","Start with AWS when infrastructure breadth, native integration and operational maturity are the main differentiators.",IF(AG98="Azure","Start with Azure when Microsoft identity, security, data, productivity or hybrid integration reduces delivery effort.",IF(AG98="GCP","Start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98" s="32" t="str">
        <x:v>Medium</x:v>
      </x:c>
      <x:c r="AJ98" s="32" t="str">
        <x:v>2026-07-12</x:v>
      </x:c>
    </x:row>
    <x:row r="99">
      <x:c r="A99" s="32" t="str">
        <x:v>Layer 7 application load balancing</x:v>
      </x:c>
      <x:c r="B99" s="32" t="str">
        <x:v>03 Network &amp; Connectivity</x:v>
      </x:c>
      <x:c r="C99" s="32" t="str">
        <x:v>Traffic Management &amp; Content Delivery</x:v>
      </x:c>
      <x:c r="D99" s="32" t="str">
        <x:v>Component</x:v>
      </x:c>
      <x:c r="E99" s="32" t="str">
        <x:v>Is routing regional or global, Layer 4 or Layer 7, and what latency, security and failover behaviour is required?</x:v>
      </x:c>
      <x:c r="F99" s="32" t="str">
        <x:v>Application Load Balancer</x:v>
      </x:c>
      <x:c r="G99" s="32" t="str">
        <x:v>Azure Application Gateway</x:v>
      </x:c>
      <x:c r="H99" s="32" t="str">
        <x:v>Cloud Load Balancing</x:v>
      </x:c>
      <x:c r="I99" s="32" t="n">
        <x:v>4.2</x:v>
      </x:c>
      <x:c r="J99" s="32" t="n">
        <x:v>4</x:v>
      </x:c>
      <x:c r="K99" s="32" t="n">
        <x:v>4.4</x:v>
      </x:c>
      <x:c r="L99" s="32" t="n">
        <x:v>3.9</x:v>
      </x:c>
      <x:c r="M99" s="32" t="n">
        <x:v>3.5</x:v>
      </x:c>
      <x:c r="N99" s="32" t="n">
        <x:v>4.6</x:v>
      </x:c>
      <x:c r="O99" s="32" t="n">
        <x:v>3.7</x:v>
      </x:c>
      <x:c r="P99" s="32" t="n">
        <x:v>4.2</x:v>
      </x:c>
      <x:c r="Q99" s="32" t="n">
        <x:v>4</x:v>
      </x:c>
      <x:c r="R99" s="32" t="n">
        <x:v>4.5</x:v>
      </x:c>
      <x:c r="S99" s="32" t="n">
        <x:v>3.9</x:v>
      </x:c>
      <x:c r="T99" s="32" t="n">
        <x:v>3.5</x:v>
      </x:c>
      <x:c r="U99" s="32" t="n">
        <x:v>4.5</x:v>
      </x:c>
      <x:c r="V99" s="32" t="n">
        <x:v>3.8</x:v>
      </x:c>
      <x:c r="W99" s="32" t="n">
        <x:v>4.5</x:v>
      </x:c>
      <x:c r="X99" s="32" t="n">
        <x:v>4</x:v>
      </x:c>
      <x:c r="Y99" s="32" t="n">
        <x:v>4.2</x:v>
      </x:c>
      <x:c r="Z99" s="32" t="n">
        <x:v>4</x:v>
      </x:c>
      <x:c r="AA99" s="32" t="n">
        <x:v>3.5</x:v>
      </x:c>
      <x:c r="AB99" s="32" t="n">
        <x:v>4.4</x:v>
      </x:c>
      <x:c r="AC99" s="32" t="n">
        <x:v>3.9</x:v>
      </x:c>
      <x:c r="AD99" s="32" t="n">
        <x:f>ROUND((I99*'Criteria &amp; Scoring'!$B$5+J99*'Criteria &amp; Scoring'!$B$6+K99*'Criteria &amp; Scoring'!$B$7+L99*'Criteria &amp; Scoring'!$B$8+M99*'Criteria &amp; Scoring'!$B$9+N99*'Criteria &amp; Scoring'!$B$10+O99*'Criteria &amp; Scoring'!$B$11)/SUM('Criteria &amp; Scoring'!$B$5:$B$11),2)</x:f>
        <x:v>4.09</x:v>
      </x:c>
      <x:c r="AE99" s="32" t="n">
        <x:f>ROUND((P99*'Criteria &amp; Scoring'!$B$5+Q99*'Criteria &amp; Scoring'!$B$6+R99*'Criteria &amp; Scoring'!$B$7+S99*'Criteria &amp; Scoring'!$B$8+T99*'Criteria &amp; Scoring'!$B$9+U99*'Criteria &amp; Scoring'!$B$10+V99*'Criteria &amp; Scoring'!$B$11)/SUM('Criteria &amp; Scoring'!$B$5:$B$11),2)</x:f>
        <x:v>4.1</x:v>
      </x:c>
      <x:c r="AF99" s="32" t="n">
        <x:f>ROUND((W99*'Criteria &amp; Scoring'!$B$5+X99*'Criteria &amp; Scoring'!$B$6+Y99*'Criteria &amp; Scoring'!$B$7+Z99*'Criteria &amp; Scoring'!$B$8+AA99*'Criteria &amp; Scoring'!$B$9+AB99*'Criteria &amp; Scoring'!$B$10+AC99*'Criteria &amp; Scoring'!$B$11)/SUM('Criteria &amp; Scoring'!$B$5:$B$11),2)</x:f>
        <x:v>4.14</x:v>
      </x:c>
      <x:c r="AG99" s="32" t="str">
        <x:f>IF(LARGE(AD99:AF99,1)-LARGE(AD99:AF99,2)&lt;0.15,"Context-dependent tie",SUBSTITUTE(INDEX($AD$4:$AF$4,1,MATCH(MAX(AD99:AF99),AD99:AF99,0))," Overall",""))</x:f>
        <x:v>Context-dependent tie</x:v>
      </x:c>
      <x:c r="AH99" s="32" t="str">
        <x:f>IF(AG99="AWS","Start with AWS when infrastructure breadth, native integration and operational maturity are the main differentiators.",IF(AG99="Azure","Start with Azure when Microsoft identity, security, data, productivity or hybrid integration reduces delivery effort.",IF(AG99="GCP","Start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99" s="32" t="str">
        <x:v>High</x:v>
      </x:c>
      <x:c r="AJ99" s="32" t="str">
        <x:v>2026-07-12</x:v>
      </x:c>
    </x:row>
    <x:row r="100">
      <x:c r="A100" s="32" t="str">
        <x:v>Global application acceleration</x:v>
      </x:c>
      <x:c r="B100" s="32" t="str">
        <x:v>03 Network &amp; Connectivity</x:v>
      </x:c>
      <x:c r="C100" s="32" t="str">
        <x:v>Traffic Management &amp; Content Delivery</x:v>
      </x:c>
      <x:c r="D100" s="32" t="str">
        <x:v>Workload</x:v>
      </x:c>
      <x:c r="E100" s="32" t="str">
        <x:v>Is routing regional or global, Layer 4 or Layer 7, and what latency, security and failover behaviour is required?</x:v>
      </x:c>
      <x:c r="F100" s="32" t="str">
        <x:v>AWS Global Accelerator</x:v>
      </x:c>
      <x:c r="G100" s="32" t="str">
        <x:v>Azure Front Door</x:v>
      </x:c>
      <x:c r="H100" s="32" t="str">
        <x:v>Cloud Load Balancing
Premium Network Service Tier</x:v>
      </x:c>
      <x:c r="I100" s="32" t="n">
        <x:v>4</x:v>
      </x:c>
      <x:c r="J100" s="32" t="n">
        <x:v>3</x:v>
      </x:c>
      <x:c r="K100" s="32" t="n">
        <x:v>4.3</x:v>
      </x:c>
      <x:c r="L100" s="32" t="n">
        <x:v>3.9</x:v>
      </x:c>
      <x:c r="M100" s="32" t="n">
        <x:v>3.5</x:v>
      </x:c>
      <x:c r="N100" s="32" t="n">
        <x:v>4.5</x:v>
      </x:c>
      <x:c r="O100" s="32" t="n">
        <x:v>3.7</x:v>
      </x:c>
      <x:c r="P100" s="32" t="n">
        <x:v>4</x:v>
      </x:c>
      <x:c r="Q100" s="32" t="n">
        <x:v>3</x:v>
      </x:c>
      <x:c r="R100" s="32" t="n">
        <x:v>4.5</x:v>
      </x:c>
      <x:c r="S100" s="32" t="n">
        <x:v>3.9</x:v>
      </x:c>
      <x:c r="T100" s="32" t="n">
        <x:v>3.5</x:v>
      </x:c>
      <x:c r="U100" s="32" t="n">
        <x:v>4.4</x:v>
      </x:c>
      <x:c r="V100" s="32" t="n">
        <x:v>3.8</x:v>
      </x:c>
      <x:c r="W100" s="32" t="n">
        <x:v>4.2</x:v>
      </x:c>
      <x:c r="X100" s="32" t="n">
        <x:v>2.9</x:v>
      </x:c>
      <x:c r="Y100" s="32" t="n">
        <x:v>4.1</x:v>
      </x:c>
      <x:c r="Z100" s="32" t="n">
        <x:v>3.9</x:v>
      </x:c>
      <x:c r="AA100" s="32" t="n">
        <x:v>3.5</x:v>
      </x:c>
      <x:c r="AB100" s="32" t="n">
        <x:v>4.2</x:v>
      </x:c>
      <x:c r="AC100" s="32" t="n">
        <x:v>3.8</x:v>
      </x:c>
      <x:c r="AD100" s="32" t="n">
        <x:f>ROUND((I100*'Criteria &amp; Scoring'!$B$5+J100*'Criteria &amp; Scoring'!$B$6+K100*'Criteria &amp; Scoring'!$B$7+L100*'Criteria &amp; Scoring'!$B$8+M100*'Criteria &amp; Scoring'!$B$9+N100*'Criteria &amp; Scoring'!$B$10+O100*'Criteria &amp; Scoring'!$B$11)/SUM('Criteria &amp; Scoring'!$B$5:$B$11),2)</x:f>
        <x:v>3.82</x:v>
      </x:c>
      <x:c r="AE100" s="32" t="n">
        <x:f>ROUND((P100*'Criteria &amp; Scoring'!$B$5+Q100*'Criteria &amp; Scoring'!$B$6+R100*'Criteria &amp; Scoring'!$B$7+S100*'Criteria &amp; Scoring'!$B$8+T100*'Criteria &amp; Scoring'!$B$9+U100*'Criteria &amp; Scoring'!$B$10+V100*'Criteria &amp; Scoring'!$B$11)/SUM('Criteria &amp; Scoring'!$B$5:$B$11),2)</x:f>
        <x:v>3.84</x:v>
      </x:c>
      <x:c r="AF100" s="32" t="n">
        <x:f>ROUND((W100*'Criteria &amp; Scoring'!$B$5+X100*'Criteria &amp; Scoring'!$B$6+Y100*'Criteria &amp; Scoring'!$B$7+Z100*'Criteria &amp; Scoring'!$B$8+AA100*'Criteria &amp; Scoring'!$B$9+AB100*'Criteria &amp; Scoring'!$B$10+AC100*'Criteria &amp; Scoring'!$B$11)/SUM('Criteria &amp; Scoring'!$B$5:$B$11),2)</x:f>
        <x:v>3.79</x:v>
      </x:c>
      <x:c r="AG100" s="32" t="str">
        <x:f>IF(LARGE(AD100:AF100,1)-LARGE(AD100:AF100,2)&lt;0.15,"Context-dependent tie",SUBSTITUTE(INDEX($AD$4:$AF$4,1,MATCH(MAX(AD100:AF100),AD100:AF100,0))," Overall",""))</x:f>
        <x:v>Context-dependent tie</x:v>
      </x:c>
      <x:c r="AH100" s="32" t="str">
        <x:f>IF(AG100="AWS","Start with AWS when infrastructure breadth, native integration and operational maturity are the main differentiators.",IF(AG100="Azure","Start with Azure when Microsoft identity, security, data, productivity or hybrid integration reduces delivery effort.",IF(AG100="GCP","Start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00" s="32" t="str">
        <x:v>Medium</x:v>
      </x:c>
      <x:c r="AJ100" s="32" t="str">
        <x:v>2026-07-12</x:v>
      </x:c>
    </x:row>
    <x:row r="101">
      <x:c r="A101" s="32" t="str">
        <x:v>Managed DNS</x:v>
      </x:c>
      <x:c r="B101" s="32" t="str">
        <x:v>03 Network &amp; Connectivity</x:v>
      </x:c>
      <x:c r="C101" s="32" t="str">
        <x:v>DNS &amp; Naming</x:v>
      </x:c>
      <x:c r="D101" s="32" t="str">
        <x:v>Component</x:v>
      </x:c>
      <x:c r="E101" s="32" t="str">
        <x:v>What business outcome, scale, control, integration and operating model justify choosing managed dns?</x:v>
      </x:c>
      <x:c r="F101" s="32" t="str">
        <x:v>Amazon Route 53</x:v>
      </x:c>
      <x:c r="G101" s="32" t="str">
        <x:v>Azure DNS
Azure Private DNS</x:v>
      </x:c>
      <x:c r="H101" s="32" t="str">
        <x:v>Cloud DNS</x:v>
      </x:c>
      <x:c r="I101" s="32" t="n">
        <x:v>4.2</x:v>
      </x:c>
      <x:c r="J101" s="32" t="n">
        <x:v>5</x:v>
      </x:c>
      <x:c r="K101" s="32" t="n">
        <x:v>4.4</x:v>
      </x:c>
      <x:c r="L101" s="32" t="n">
        <x:v>3.9</x:v>
      </x:c>
      <x:c r="M101" s="32" t="n">
        <x:v>3.5</x:v>
      </x:c>
      <x:c r="N101" s="32" t="n">
        <x:v>4.6</x:v>
      </x:c>
      <x:c r="O101" s="32" t="n">
        <x:v>4</x:v>
      </x:c>
      <x:c r="P101" s="32" t="n">
        <x:v>4</x:v>
      </x:c>
      <x:c r="Q101" s="32" t="n">
        <x:v>4.9</x:v>
      </x:c>
      <x:c r="R101" s="32" t="n">
        <x:v>4.5</x:v>
      </x:c>
      <x:c r="S101" s="32" t="n">
        <x:v>3.8</x:v>
      </x:c>
      <x:c r="T101" s="32" t="n">
        <x:v>3.5</x:v>
      </x:c>
      <x:c r="U101" s="32" t="n">
        <x:v>4.4</x:v>
      </x:c>
      <x:c r="V101" s="32" t="n">
        <x:v>4.1</x:v>
      </x:c>
      <x:c r="W101" s="32" t="n">
        <x:v>4.2</x:v>
      </x:c>
      <x:c r="X101" s="32" t="n">
        <x:v>5</x:v>
      </x:c>
      <x:c r="Y101" s="32" t="n">
        <x:v>4.2</x:v>
      </x:c>
      <x:c r="Z101" s="32" t="n">
        <x:v>4</x:v>
      </x:c>
      <x:c r="AA101" s="32" t="n">
        <x:v>3.5</x:v>
      </x:c>
      <x:c r="AB101" s="32" t="n">
        <x:v>4.4</x:v>
      </x:c>
      <x:c r="AC101" s="32" t="n">
        <x:v>4.2</x:v>
      </x:c>
      <x:c r="AD101" s="32" t="n">
        <x:f>ROUND((I101*'Criteria &amp; Scoring'!$B$5+J101*'Criteria &amp; Scoring'!$B$6+K101*'Criteria &amp; Scoring'!$B$7+L101*'Criteria &amp; Scoring'!$B$8+M101*'Criteria &amp; Scoring'!$B$9+N101*'Criteria &amp; Scoring'!$B$10+O101*'Criteria &amp; Scoring'!$B$11)/SUM('Criteria &amp; Scoring'!$B$5:$B$11),2)</x:f>
        <x:v>4.31</x:v>
      </x:c>
      <x:c r="AE101" s="32" t="n">
        <x:f>ROUND((P101*'Criteria &amp; Scoring'!$B$5+Q101*'Criteria &amp; Scoring'!$B$6+R101*'Criteria &amp; Scoring'!$B$7+S101*'Criteria &amp; Scoring'!$B$8+T101*'Criteria &amp; Scoring'!$B$9+U101*'Criteria &amp; Scoring'!$B$10+V101*'Criteria &amp; Scoring'!$B$11)/SUM('Criteria &amp; Scoring'!$B$5:$B$11),2)</x:f>
        <x:v>4.22</x:v>
      </x:c>
      <x:c r="AF101" s="32" t="n">
        <x:f>ROUND((W101*'Criteria &amp; Scoring'!$B$5+X101*'Criteria &amp; Scoring'!$B$6+Y101*'Criteria &amp; Scoring'!$B$7+Z101*'Criteria &amp; Scoring'!$B$8+AA101*'Criteria &amp; Scoring'!$B$9+AB101*'Criteria &amp; Scoring'!$B$10+AC101*'Criteria &amp; Scoring'!$B$11)/SUM('Criteria &amp; Scoring'!$B$5:$B$11),2)</x:f>
        <x:v>4.28</x:v>
      </x:c>
      <x:c r="AG101" s="32" t="str">
        <x:f>IF(LARGE(AD101:AF101,1)-LARGE(AD101:AF101,2)&lt;0.15,"Context-dependent tie",SUBSTITUTE(INDEX($AD$4:$AF$4,1,MATCH(MAX(AD101:AF101),AD101:AF101,0))," Overall",""))</x:f>
        <x:v>Context-dependent tie</x:v>
      </x:c>
      <x:c r="AH101" s="32" t="str">
        <x:f>IF(AG101="AWS","Start with AWS when infrastructure breadth, native integration and operational maturity are the main differentiators.",IF(AG101="Azure","Start with Azure when Microsoft identity, security, data, productivity or hybrid integration reduces delivery effort.",IF(AG101="GCP","Start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01" s="32" t="str">
        <x:v>High</x:v>
      </x:c>
      <x:c r="AJ101" s="32" t="str">
        <x:v>2026-07-12</x:v>
      </x:c>
    </x:row>
    <x:row r="102">
      <x:c r="A102" s="32" t="str">
        <x:v>Domain registration</x:v>
      </x:c>
      <x:c r="B102" s="32" t="str">
        <x:v>03 Network &amp; Connectivity</x:v>
      </x:c>
      <x:c r="C102" s="32" t="str">
        <x:v>DNS &amp; Naming</x:v>
      </x:c>
      <x:c r="D102" s="32" t="str">
        <x:v>Workload</x:v>
      </x:c>
      <x:c r="E102" s="32" t="str">
        <x:v>What business outcome, scale, control, integration and operating model justify choosing domain registration?</x:v>
      </x:c>
      <x:c r="F102" s="32" t="str">
        <x:v>Amazon Route 53 Domains</x:v>
      </x:c>
      <x:c r="G102" s="32" t="str">
        <x:v>App Service Domains</x:v>
      </x:c>
      <x:c r="H102" s="32" t="str">
        <x:v>Cloud Domains</x:v>
      </x:c>
      <x:c r="I102" s="32" t="n">
        <x:v>4</x:v>
      </x:c>
      <x:c r="J102" s="32" t="n">
        <x:v>4.2</x:v>
      </x:c>
      <x:c r="K102" s="32" t="n">
        <x:v>4.3</x:v>
      </x:c>
      <x:c r="L102" s="32" t="n">
        <x:v>3.9</x:v>
      </x:c>
      <x:c r="M102" s="32" t="n">
        <x:v>3.5</x:v>
      </x:c>
      <x:c r="N102" s="32" t="n">
        <x:v>4.5</x:v>
      </x:c>
      <x:c r="O102" s="32" t="n">
        <x:v>4</x:v>
      </x:c>
      <x:c r="P102" s="32" t="n">
        <x:v>4</x:v>
      </x:c>
      <x:c r="Q102" s="32" t="n">
        <x:v>4</x:v>
      </x:c>
      <x:c r="R102" s="32" t="n">
        <x:v>4.5</x:v>
      </x:c>
      <x:c r="S102" s="32" t="n">
        <x:v>3.9</x:v>
      </x:c>
      <x:c r="T102" s="32" t="n">
        <x:v>3.5</x:v>
      </x:c>
      <x:c r="U102" s="32" t="n">
        <x:v>4.4</x:v>
      </x:c>
      <x:c r="V102" s="32" t="n">
        <x:v>4.1</x:v>
      </x:c>
      <x:c r="W102" s="32" t="n">
        <x:v>4</x:v>
      </x:c>
      <x:c r="X102" s="32" t="n">
        <x:v>4</x:v>
      </x:c>
      <x:c r="Y102" s="32" t="n">
        <x:v>4.4</x:v>
      </x:c>
      <x:c r="Z102" s="32" t="n">
        <x:v>4</x:v>
      </x:c>
      <x:c r="AA102" s="32" t="n">
        <x:v>3.5</x:v>
      </x:c>
      <x:c r="AB102" s="32" t="n">
        <x:v>4.3</x:v>
      </x:c>
      <x:c r="AC102" s="32" t="n">
        <x:v>4.2</x:v>
      </x:c>
      <x:c r="AD102" s="32" t="n">
        <x:f>ROUND((I102*'Criteria &amp; Scoring'!$B$5+J102*'Criteria &amp; Scoring'!$B$6+K102*'Criteria &amp; Scoring'!$B$7+L102*'Criteria &amp; Scoring'!$B$8+M102*'Criteria &amp; Scoring'!$B$9+N102*'Criteria &amp; Scoring'!$B$10+O102*'Criteria &amp; Scoring'!$B$11)/SUM('Criteria &amp; Scoring'!$B$5:$B$11),2)</x:f>
        <x:v>4.07</x:v>
      </x:c>
      <x:c r="AE102" s="32" t="n">
        <x:f>ROUND((P102*'Criteria &amp; Scoring'!$B$5+Q102*'Criteria &amp; Scoring'!$B$6+R102*'Criteria &amp; Scoring'!$B$7+S102*'Criteria &amp; Scoring'!$B$8+T102*'Criteria &amp; Scoring'!$B$9+U102*'Criteria &amp; Scoring'!$B$10+V102*'Criteria &amp; Scoring'!$B$11)/SUM('Criteria &amp; Scoring'!$B$5:$B$11),2)</x:f>
        <x:v>4.06</x:v>
      </x:c>
      <x:c r="AF102" s="32" t="n">
        <x:f>ROUND((W102*'Criteria &amp; Scoring'!$B$5+X102*'Criteria &amp; Scoring'!$B$6+Y102*'Criteria &amp; Scoring'!$B$7+Z102*'Criteria &amp; Scoring'!$B$8+AA102*'Criteria &amp; Scoring'!$B$9+AB102*'Criteria &amp; Scoring'!$B$10+AC102*'Criteria &amp; Scoring'!$B$11)/SUM('Criteria &amp; Scoring'!$B$5:$B$11),2)</x:f>
        <x:v>4.05</x:v>
      </x:c>
      <x:c r="AG102" s="32" t="str">
        <x:f>IF(LARGE(AD102:AF102,1)-LARGE(AD102:AF102,2)&lt;0.15,"Context-dependent tie",SUBSTITUTE(INDEX($AD$4:$AF$4,1,MATCH(MAX(AD102:AF102),AD102:AF102,0))," Overall",""))</x:f>
        <x:v>Context-dependent tie</x:v>
      </x:c>
      <x:c r="AH102" s="32" t="str">
        <x:f>IF(AG102="AWS","Start with AWS when infrastructure breadth, native integration and operational maturity are the main differentiators.",IF(AG102="Azure","Start with Azure when Microsoft identity, security, data, productivity or hybrid integration reduces delivery effort.",IF(AG102="GCP","Start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02" s="32" t="str">
        <x:v>Medium</x:v>
      </x:c>
      <x:c r="AJ102" s="32" t="str">
        <x:v>2026-07-12</x:v>
      </x:c>
    </x:row>
    <x:row r="103">
      <x:c r="A103" s="32" t="str">
        <x:v>Content delivery network</x:v>
      </x:c>
      <x:c r="B103" s="32" t="str">
        <x:v>03 Network &amp; Connectivity</x:v>
      </x:c>
      <x:c r="C103" s="32" t="str">
        <x:v>Traffic Management &amp; Content Delivery</x:v>
      </x:c>
      <x:c r="D103" s="32" t="str">
        <x:v>Workload</x:v>
      </x:c>
      <x:c r="E103" s="32" t="str">
        <x:v>Is routing regional or global, Layer 4 or Layer 7, and what latency, security and failover behaviour is required?</x:v>
      </x:c>
      <x:c r="F103" s="32" t="str">
        <x:v>Amazon CloudFront</x:v>
      </x:c>
      <x:c r="G103" s="32" t="str">
        <x:v>Azure Front Door
Azure CDN</x:v>
      </x:c>
      <x:c r="H103" s="32" t="str">
        <x:v>Cloud CDN</x:v>
      </x:c>
      <x:c r="I103" s="32" t="n">
        <x:v>4</x:v>
      </x:c>
      <x:c r="J103" s="32" t="n">
        <x:v>3</x:v>
      </x:c>
      <x:c r="K103" s="32" t="n">
        <x:v>4.5</x:v>
      </x:c>
      <x:c r="L103" s="32" t="n">
        <x:v>3.9</x:v>
      </x:c>
      <x:c r="M103" s="32" t="n">
        <x:v>3.5</x:v>
      </x:c>
      <x:c r="N103" s="32" t="n">
        <x:v>4.7</x:v>
      </x:c>
      <x:c r="O103" s="32" t="n">
        <x:v>3.7</x:v>
      </x:c>
      <x:c r="P103" s="32" t="n">
        <x:v>3.9</x:v>
      </x:c>
      <x:c r="Q103" s="32" t="n">
        <x:v>2.9</x:v>
      </x:c>
      <x:c r="R103" s="32" t="n">
        <x:v>4.4</x:v>
      </x:c>
      <x:c r="S103" s="32" t="n">
        <x:v>3.8</x:v>
      </x:c>
      <x:c r="T103" s="32" t="n">
        <x:v>3.5</x:v>
      </x:c>
      <x:c r="U103" s="32" t="n">
        <x:v>4.3</x:v>
      </x:c>
      <x:c r="V103" s="32" t="n">
        <x:v>3.7</x:v>
      </x:c>
      <x:c r="W103" s="32" t="n">
        <x:v>4.3</x:v>
      </x:c>
      <x:c r="X103" s="32" t="n">
        <x:v>3</x:v>
      </x:c>
      <x:c r="Y103" s="32" t="n">
        <x:v>4.4</x:v>
      </x:c>
      <x:c r="Z103" s="32" t="n">
        <x:v>4</x:v>
      </x:c>
      <x:c r="AA103" s="32" t="n">
        <x:v>3.5</x:v>
      </x:c>
      <x:c r="AB103" s="32" t="n">
        <x:v>4.3</x:v>
      </x:c>
      <x:c r="AC103" s="32" t="n">
        <x:v>3.9</x:v>
      </x:c>
      <x:c r="AD103" s="32" t="n">
        <x:f>ROUND((I103*'Criteria &amp; Scoring'!$B$5+J103*'Criteria &amp; Scoring'!$B$6+K103*'Criteria &amp; Scoring'!$B$7+L103*'Criteria &amp; Scoring'!$B$8+M103*'Criteria &amp; Scoring'!$B$9+N103*'Criteria &amp; Scoring'!$B$10+O103*'Criteria &amp; Scoring'!$B$11)/SUM('Criteria &amp; Scoring'!$B$5:$B$11),2)</x:f>
        <x:v>3.87</x:v>
      </x:c>
      <x:c r="AE103" s="32" t="n">
        <x:f>ROUND((P103*'Criteria &amp; Scoring'!$B$5+Q103*'Criteria &amp; Scoring'!$B$6+R103*'Criteria &amp; Scoring'!$B$7+S103*'Criteria &amp; Scoring'!$B$8+T103*'Criteria &amp; Scoring'!$B$9+U103*'Criteria &amp; Scoring'!$B$10+V103*'Criteria &amp; Scoring'!$B$11)/SUM('Criteria &amp; Scoring'!$B$5:$B$11),2)</x:f>
        <x:v>3.75</x:v>
      </x:c>
      <x:c r="AF103" s="32" t="n">
        <x:f>ROUND((W103*'Criteria &amp; Scoring'!$B$5+X103*'Criteria &amp; Scoring'!$B$6+Y103*'Criteria &amp; Scoring'!$B$7+Z103*'Criteria &amp; Scoring'!$B$8+AA103*'Criteria &amp; Scoring'!$B$9+AB103*'Criteria &amp; Scoring'!$B$10+AC103*'Criteria &amp; Scoring'!$B$11)/SUM('Criteria &amp; Scoring'!$B$5:$B$11),2)</x:f>
        <x:v>3.91</x:v>
      </x:c>
      <x:c r="AG103" s="32" t="str">
        <x:f>IF(LARGE(AD103:AF103,1)-LARGE(AD103:AF103,2)&lt;0.15,"Context-dependent tie",SUBSTITUTE(INDEX($AD$4:$AF$4,1,MATCH(MAX(AD103:AF103),AD103:AF103,0))," Overall",""))</x:f>
        <x:v>Context-dependent tie</x:v>
      </x:c>
      <x:c r="AH103" s="32" t="str">
        <x:f>IF(AG103="AWS","Start with AWS when infrastructure breadth, native integration and operational maturity are the main differentiators.",IF(AG103="Azure","Start with Azure when Microsoft identity, security, data, productivity or hybrid integration reduces delivery effort.",IF(AG103="GCP","Start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03" s="32" t="str">
        <x:v>Medium</x:v>
      </x:c>
      <x:c r="AJ103" s="32" t="str">
        <x:v>2026-07-12</x:v>
      </x:c>
    </x:row>
    <x:row r="104">
      <x:c r="A104" s="32" t="str">
        <x:v>High-capacity media CDN</x:v>
      </x:c>
      <x:c r="B104" s="32" t="str">
        <x:v>03 Network &amp; Connectivity</x:v>
      </x:c>
      <x:c r="C104" s="32" t="str">
        <x:v>Traffic Management &amp; Content Delivery</x:v>
      </x:c>
      <x:c r="D104" s="32" t="str">
        <x:v>Workload</x:v>
      </x:c>
      <x:c r="E104" s="32" t="str">
        <x:v>Is routing regional or global, Layer 4 or Layer 7, and what latency, security and failover behaviour is required?</x:v>
      </x:c>
      <x:c r="F104" s="32" t="str">
        <x:v>Amazon CloudFront</x:v>
      </x:c>
      <x:c r="G104" s="32" t="str">
        <x:v>Azure Front Door
Azure CDN</x:v>
      </x:c>
      <x:c r="H104" s="32" t="str">
        <x:v>Media CDN</x:v>
      </x:c>
      <x:c r="I104" s="32" t="n">
        <x:v>4</x:v>
      </x:c>
      <x:c r="J104" s="32" t="n">
        <x:v>3</x:v>
      </x:c>
      <x:c r="K104" s="32" t="n">
        <x:v>4.1</x:v>
      </x:c>
      <x:c r="L104" s="32" t="n">
        <x:v>3.9</x:v>
      </x:c>
      <x:c r="M104" s="32" t="n">
        <x:v>3.5</x:v>
      </x:c>
      <x:c r="N104" s="32" t="n">
        <x:v>4.3</x:v>
      </x:c>
      <x:c r="O104" s="32" t="n">
        <x:v>3.7</x:v>
      </x:c>
      <x:c r="P104" s="32" t="n">
        <x:v>3.4</x:v>
      </x:c>
      <x:c r="Q104" s="32" t="n">
        <x:v>2.9</x:v>
      </x:c>
      <x:c r="R104" s="32" t="n">
        <x:v>4.1</x:v>
      </x:c>
      <x:c r="S104" s="32" t="n">
        <x:v>3.8</x:v>
      </x:c>
      <x:c r="T104" s="32" t="n">
        <x:v>3.5</x:v>
      </x:c>
      <x:c r="U104" s="32" t="n">
        <x:v>4.1</x:v>
      </x:c>
      <x:c r="V104" s="32" t="n">
        <x:v>3.7</x:v>
      </x:c>
      <x:c r="W104" s="32" t="n">
        <x:v>3.8</x:v>
      </x:c>
      <x:c r="X104" s="32" t="n">
        <x:v>3</x:v>
      </x:c>
      <x:c r="Y104" s="32" t="n">
        <x:v>3.9</x:v>
      </x:c>
      <x:c r="Z104" s="32" t="n">
        <x:v>4</x:v>
      </x:c>
      <x:c r="AA104" s="32" t="n">
        <x:v>3.5</x:v>
      </x:c>
      <x:c r="AB104" s="32" t="n">
        <x:v>4.1</x:v>
      </x:c>
      <x:c r="AC104" s="32" t="n">
        <x:v>3.9</x:v>
      </x:c>
      <x:c r="AD104" s="32" t="n">
        <x:f>ROUND((I104*'Criteria &amp; Scoring'!$B$5+J104*'Criteria &amp; Scoring'!$B$6+K104*'Criteria &amp; Scoring'!$B$7+L104*'Criteria &amp; Scoring'!$B$8+M104*'Criteria &amp; Scoring'!$B$9+N104*'Criteria &amp; Scoring'!$B$10+O104*'Criteria &amp; Scoring'!$B$11)/SUM('Criteria &amp; Scoring'!$B$5:$B$11),2)</x:f>
        <x:v>3.77</x:v>
      </x:c>
      <x:c r="AE104" s="32" t="n">
        <x:f>ROUND((P104*'Criteria &amp; Scoring'!$B$5+Q104*'Criteria &amp; Scoring'!$B$6+R104*'Criteria &amp; Scoring'!$B$7+S104*'Criteria &amp; Scoring'!$B$8+T104*'Criteria &amp; Scoring'!$B$9+U104*'Criteria &amp; Scoring'!$B$10+V104*'Criteria &amp; Scoring'!$B$11)/SUM('Criteria &amp; Scoring'!$B$5:$B$11),2)</x:f>
        <x:v>3.56</x:v>
      </x:c>
      <x:c r="AF104" s="32" t="n">
        <x:f>ROUND((W104*'Criteria &amp; Scoring'!$B$5+X104*'Criteria &amp; Scoring'!$B$6+Y104*'Criteria &amp; Scoring'!$B$7+Z104*'Criteria &amp; Scoring'!$B$8+AA104*'Criteria &amp; Scoring'!$B$9+AB104*'Criteria &amp; Scoring'!$B$10+AC104*'Criteria &amp; Scoring'!$B$11)/SUM('Criteria &amp; Scoring'!$B$5:$B$11),2)</x:f>
        <x:v>3.69</x:v>
      </x:c>
      <x:c r="AG104" s="32" t="str">
        <x:f>IF(LARGE(AD104:AF104,1)-LARGE(AD104:AF104,2)&lt;0.15,"Context-dependent tie",SUBSTITUTE(INDEX($AD$4:$AF$4,1,MATCH(MAX(AD104:AF104),AD104:AF104,0))," Overall",""))</x:f>
        <x:v>Context-dependent tie</x:v>
      </x:c>
      <x:c r="AH104" s="32" t="str">
        <x:f>IF(AG104="AWS","Start with AWS when infrastructure breadth, native integration and operational maturity are the main differentiators.",IF(AG104="Azure","Start with Azure when Microsoft identity, security, data, productivity or hybrid integration reduces delivery effort.",IF(AG104="GCP","Start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04" s="32" t="str">
        <x:v>Low</x:v>
      </x:c>
      <x:c r="AJ104" s="32" t="str">
        <x:v>2026-07-12</x:v>
      </x:c>
    </x:row>
    <x:row r="105">
      <x:c r="A105" s="32" t="str">
        <x:v>Managed network address translation</x:v>
      </x:c>
      <x:c r="B105" s="32" t="str">
        <x:v>03 Network &amp; Connectivity</x:v>
      </x:c>
      <x:c r="C105" s="32" t="str">
        <x:v>Virtual Networks &amp; Segmentation</x:v>
      </x:c>
      <x:c r="D105" s="32" t="str">
        <x:v>Workload</x:v>
      </x:c>
      <x:c r="E105" s="32" t="str">
        <x:v>What business outcome, scale, control, integration and operating model justify choosing managed network address translation?</x:v>
      </x:c>
      <x:c r="F105" s="32" t="str">
        <x:v>NAT Gateway</x:v>
      </x:c>
      <x:c r="G105" s="32" t="str">
        <x:v>Azure NAT Gateway</x:v>
      </x:c>
      <x:c r="H105" s="32" t="str">
        <x:v>Cloud NAT</x:v>
      </x:c>
      <x:c r="I105" s="32" t="n">
        <x:v>4.2</x:v>
      </x:c>
      <x:c r="J105" s="32" t="n">
        <x:v>3</x:v>
      </x:c>
      <x:c r="K105" s="32" t="n">
        <x:v>4.6</x:v>
      </x:c>
      <x:c r="L105" s="32" t="n">
        <x:v>3.9</x:v>
      </x:c>
      <x:c r="M105" s="32" t="n">
        <x:v>3.5</x:v>
      </x:c>
      <x:c r="N105" s="32" t="n">
        <x:v>4.8</x:v>
      </x:c>
      <x:c r="O105" s="32" t="n">
        <x:v>3.7</x:v>
      </x:c>
      <x:c r="P105" s="32" t="n">
        <x:v>4.2</x:v>
      </x:c>
      <x:c r="Q105" s="32" t="n">
        <x:v>3</x:v>
      </x:c>
      <x:c r="R105" s="32" t="n">
        <x:v>4.5</x:v>
      </x:c>
      <x:c r="S105" s="32" t="n">
        <x:v>3.9</x:v>
      </x:c>
      <x:c r="T105" s="32" t="n">
        <x:v>3.5</x:v>
      </x:c>
      <x:c r="U105" s="32" t="n">
        <x:v>4.5</x:v>
      </x:c>
      <x:c r="V105" s="32" t="n">
        <x:v>3.8</x:v>
      </x:c>
      <x:c r="W105" s="32" t="n">
        <x:v>4.2</x:v>
      </x:c>
      <x:c r="X105" s="32" t="n">
        <x:v>3</x:v>
      </x:c>
      <x:c r="Y105" s="32" t="n">
        <x:v>4.5</x:v>
      </x:c>
      <x:c r="Z105" s="32" t="n">
        <x:v>4</x:v>
      </x:c>
      <x:c r="AA105" s="32" t="n">
        <x:v>3.5</x:v>
      </x:c>
      <x:c r="AB105" s="32" t="n">
        <x:v>4.4</x:v>
      </x:c>
      <x:c r="AC105" s="32" t="n">
        <x:v>3.9</x:v>
      </x:c>
      <x:c r="AD105" s="32" t="n">
        <x:f>ROUND((I105*'Criteria &amp; Scoring'!$B$5+J105*'Criteria &amp; Scoring'!$B$6+K105*'Criteria &amp; Scoring'!$B$7+L105*'Criteria &amp; Scoring'!$B$8+M105*'Criteria &amp; Scoring'!$B$9+N105*'Criteria &amp; Scoring'!$B$10+O105*'Criteria &amp; Scoring'!$B$11)/SUM('Criteria &amp; Scoring'!$B$5:$B$11),2)</x:f>
        <x:v>3.94</x:v>
      </x:c>
      <x:c r="AE105" s="32" t="n">
        <x:f>ROUND((P105*'Criteria &amp; Scoring'!$B$5+Q105*'Criteria &amp; Scoring'!$B$6+R105*'Criteria &amp; Scoring'!$B$7+S105*'Criteria &amp; Scoring'!$B$8+T105*'Criteria &amp; Scoring'!$B$9+U105*'Criteria &amp; Scoring'!$B$10+V105*'Criteria &amp; Scoring'!$B$11)/SUM('Criteria &amp; Scoring'!$B$5:$B$11),2)</x:f>
        <x:v>3.9</x:v>
      </x:c>
      <x:c r="AF105" s="32" t="n">
        <x:f>ROUND((W105*'Criteria &amp; Scoring'!$B$5+X105*'Criteria &amp; Scoring'!$B$6+Y105*'Criteria &amp; Scoring'!$B$7+Z105*'Criteria &amp; Scoring'!$B$8+AA105*'Criteria &amp; Scoring'!$B$9+AB105*'Criteria &amp; Scoring'!$B$10+AC105*'Criteria &amp; Scoring'!$B$11)/SUM('Criteria &amp; Scoring'!$B$5:$B$11),2)</x:f>
        <x:v>3.91</x:v>
      </x:c>
      <x:c r="AG105" s="32" t="str">
        <x:f>IF(LARGE(AD105:AF105,1)-LARGE(AD105:AF105,2)&lt;0.15,"Context-dependent tie",SUBSTITUTE(INDEX($AD$4:$AF$4,1,MATCH(MAX(AD105:AF105),AD105:AF105,0))," Overall",""))</x:f>
        <x:v>Context-dependent tie</x:v>
      </x:c>
      <x:c r="AH105" s="32" t="str">
        <x:f>IF(AG105="AWS","Start with AWS when infrastructure breadth, native integration and operational maturity are the main differentiators.",IF(AG105="Azure","Start with Azure when Microsoft identity, security, data, productivity or hybrid integration reduces delivery effort.",IF(AG105="GCP","Start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05" s="32" t="str">
        <x:v>High</x:v>
      </x:c>
      <x:c r="AJ105" s="32" t="str">
        <x:v>2026-07-12</x:v>
      </x:c>
    </x:row>
    <x:row r="106">
      <x:c r="A106" s="32" t="str">
        <x:v>Site-to-site VPN</x:v>
      </x:c>
      <x:c r="B106" s="32" t="str">
        <x:v>03 Network &amp; Connectivity</x:v>
      </x:c>
      <x:c r="C106" s="32" t="str">
        <x:v>Hybrid &amp; Private Connectivity</x:v>
      </x:c>
      <x:c r="D106" s="32" t="str">
        <x:v>Workload</x:v>
      </x:c>
      <x:c r="E106" s="32" t="str">
        <x:v>What bandwidth, latency, encryption, routing and resilience are required between environments?</x:v>
      </x:c>
      <x:c r="F106" s="32" t="str">
        <x:v>AWS Site-to-Site VPN</x:v>
      </x:c>
      <x:c r="G106" s="32" t="str">
        <x:v>Azure VPN Gateway</x:v>
      </x:c>
      <x:c r="H106" s="32" t="str">
        <x:v>Cloud VPN</x:v>
      </x:c>
      <x:c r="I106" s="32" t="n">
        <x:v>4.2</x:v>
      </x:c>
      <x:c r="J106" s="32" t="n">
        <x:v>3</x:v>
      </x:c>
      <x:c r="K106" s="32" t="n">
        <x:v>4.4</x:v>
      </x:c>
      <x:c r="L106" s="32" t="n">
        <x:v>3.9</x:v>
      </x:c>
      <x:c r="M106" s="32" t="n">
        <x:v>3.5</x:v>
      </x:c>
      <x:c r="N106" s="32" t="n">
        <x:v>4.6</x:v>
      </x:c>
      <x:c r="O106" s="32" t="n">
        <x:v>3.4</x:v>
      </x:c>
      <x:c r="P106" s="32" t="n">
        <x:v>4.7</x:v>
      </x:c>
      <x:c r="Q106" s="32" t="n">
        <x:v>3.4</x:v>
      </x:c>
      <x:c r="R106" s="32" t="n">
        <x:v>4.8</x:v>
      </x:c>
      <x:c r="S106" s="32" t="n">
        <x:v>3.9</x:v>
      </x:c>
      <x:c r="T106" s="32" t="n">
        <x:v>3.7</x:v>
      </x:c>
      <x:c r="U106" s="32" t="n">
        <x:v>4.7</x:v>
      </x:c>
      <x:c r="V106" s="32" t="n">
        <x:v>3.5</x:v>
      </x:c>
      <x:c r="W106" s="32" t="n">
        <x:v>4.2</x:v>
      </x:c>
      <x:c r="X106" s="32" t="n">
        <x:v>3</x:v>
      </x:c>
      <x:c r="Y106" s="32" t="n">
        <x:v>4.2</x:v>
      </x:c>
      <x:c r="Z106" s="32" t="n">
        <x:v>4</x:v>
      </x:c>
      <x:c r="AA106" s="32" t="n">
        <x:v>3.5</x:v>
      </x:c>
      <x:c r="AB106" s="32" t="n">
        <x:v>4.4</x:v>
      </x:c>
      <x:c r="AC106" s="32" t="n">
        <x:v>3.5</x:v>
      </x:c>
      <x:c r="AD106" s="32" t="n">
        <x:f>ROUND((I106*'Criteria &amp; Scoring'!$B$5+J106*'Criteria &amp; Scoring'!$B$6+K106*'Criteria &amp; Scoring'!$B$7+L106*'Criteria &amp; Scoring'!$B$8+M106*'Criteria &amp; Scoring'!$B$9+N106*'Criteria &amp; Scoring'!$B$10+O106*'Criteria &amp; Scoring'!$B$11)/SUM('Criteria &amp; Scoring'!$B$5:$B$11),2)</x:f>
        <x:v>3.88</x:v>
      </x:c>
      <x:c r="AE106" s="32" t="n">
        <x:f>ROUND((P106*'Criteria &amp; Scoring'!$B$5+Q106*'Criteria &amp; Scoring'!$B$6+R106*'Criteria &amp; Scoring'!$B$7+S106*'Criteria &amp; Scoring'!$B$8+T106*'Criteria &amp; Scoring'!$B$9+U106*'Criteria &amp; Scoring'!$B$10+V106*'Criteria &amp; Scoring'!$B$11)/SUM('Criteria &amp; Scoring'!$B$5:$B$11),2)</x:f>
        <x:v>4.18</x:v>
      </x:c>
      <x:c r="AF106" s="32" t="n">
        <x:f>ROUND((W106*'Criteria &amp; Scoring'!$B$5+X106*'Criteria &amp; Scoring'!$B$6+Y106*'Criteria &amp; Scoring'!$B$7+Z106*'Criteria &amp; Scoring'!$B$8+AA106*'Criteria &amp; Scoring'!$B$9+AB106*'Criteria &amp; Scoring'!$B$10+AC106*'Criteria &amp; Scoring'!$B$11)/SUM('Criteria &amp; Scoring'!$B$5:$B$11),2)</x:f>
        <x:v>3.85</x:v>
      </x:c>
      <x:c r="AG106" s="32" t="str">
        <x:f>IF(LARGE(AD106:AF106,1)-LARGE(AD106:AF106,2)&lt;0.15,"Context-dependent tie",SUBSTITUTE(INDEX($AD$4:$AF$4,1,MATCH(MAX(AD106:AF106),AD106:AF106,0))," Overall",""))</x:f>
        <x:v>Azure</x:v>
      </x:c>
      <x:c r="AH106" s="32" t="str">
        <x:f>IF(AG106="AWS","Start with AWS when infrastructure breadth, native integration and operational maturity are the main differentiators.",IF(AG106="Azure","Start with Azure when Microsoft identity, security, data, productivity or hybrid integration reduces delivery effort.",IF(AG106="GCP","Start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06" s="32" t="str">
        <x:v>High</x:v>
      </x:c>
      <x:c r="AJ106" s="32" t="str">
        <x:v>2026-07-12</x:v>
      </x:c>
    </x:row>
    <x:row r="107">
      <x:c r="A107" s="32" t="str">
        <x:v>Dedicated private connectivity</x:v>
      </x:c>
      <x:c r="B107" s="32" t="str">
        <x:v>03 Network &amp; Connectivity</x:v>
      </x:c>
      <x:c r="C107" s="32" t="str">
        <x:v>Hybrid &amp; Private Connectivity</x:v>
      </x:c>
      <x:c r="D107" s="32" t="str">
        <x:v>Workload</x:v>
      </x:c>
      <x:c r="E107" s="32" t="str">
        <x:v>What bandwidth, latency, encryption, routing and resilience are required between environments?</x:v>
      </x:c>
      <x:c r="F107" s="32" t="str">
        <x:v>AWS Direct Connect</x:v>
      </x:c>
      <x:c r="G107" s="32" t="str">
        <x:v>Azure ExpressRoute</x:v>
      </x:c>
      <x:c r="H107" s="32" t="str">
        <x:v>Cloud Interconnect</x:v>
      </x:c>
      <x:c r="I107" s="32" t="n">
        <x:v>4.2</x:v>
      </x:c>
      <x:c r="J107" s="32" t="n">
        <x:v>3</x:v>
      </x:c>
      <x:c r="K107" s="32" t="n">
        <x:v>4.4</x:v>
      </x:c>
      <x:c r="L107" s="32" t="n">
        <x:v>3.9</x:v>
      </x:c>
      <x:c r="M107" s="32" t="n">
        <x:v>3.5</x:v>
      </x:c>
      <x:c r="N107" s="32" t="n">
        <x:v>4.6</x:v>
      </x:c>
      <x:c r="O107" s="32" t="n">
        <x:v>3.4</x:v>
      </x:c>
      <x:c r="P107" s="32" t="n">
        <x:v>4.7</x:v>
      </x:c>
      <x:c r="Q107" s="32" t="n">
        <x:v>3.4</x:v>
      </x:c>
      <x:c r="R107" s="32" t="n">
        <x:v>4.8</x:v>
      </x:c>
      <x:c r="S107" s="32" t="n">
        <x:v>3.9</x:v>
      </x:c>
      <x:c r="T107" s="32" t="n">
        <x:v>3.7</x:v>
      </x:c>
      <x:c r="U107" s="32" t="n">
        <x:v>4.7</x:v>
      </x:c>
      <x:c r="V107" s="32" t="n">
        <x:v>3.5</x:v>
      </x:c>
      <x:c r="W107" s="32" t="n">
        <x:v>4.2</x:v>
      </x:c>
      <x:c r="X107" s="32" t="n">
        <x:v>3</x:v>
      </x:c>
      <x:c r="Y107" s="32" t="n">
        <x:v>4.2</x:v>
      </x:c>
      <x:c r="Z107" s="32" t="n">
        <x:v>4</x:v>
      </x:c>
      <x:c r="AA107" s="32" t="n">
        <x:v>3.5</x:v>
      </x:c>
      <x:c r="AB107" s="32" t="n">
        <x:v>4.4</x:v>
      </x:c>
      <x:c r="AC107" s="32" t="n">
        <x:v>3.5</x:v>
      </x:c>
      <x:c r="AD107" s="32" t="n">
        <x:f>ROUND((I107*'Criteria &amp; Scoring'!$B$5+J107*'Criteria &amp; Scoring'!$B$6+K107*'Criteria &amp; Scoring'!$B$7+L107*'Criteria &amp; Scoring'!$B$8+M107*'Criteria &amp; Scoring'!$B$9+N107*'Criteria &amp; Scoring'!$B$10+O107*'Criteria &amp; Scoring'!$B$11)/SUM('Criteria &amp; Scoring'!$B$5:$B$11),2)</x:f>
        <x:v>3.88</x:v>
      </x:c>
      <x:c r="AE107" s="32" t="n">
        <x:f>ROUND((P107*'Criteria &amp; Scoring'!$B$5+Q107*'Criteria &amp; Scoring'!$B$6+R107*'Criteria &amp; Scoring'!$B$7+S107*'Criteria &amp; Scoring'!$B$8+T107*'Criteria &amp; Scoring'!$B$9+U107*'Criteria &amp; Scoring'!$B$10+V107*'Criteria &amp; Scoring'!$B$11)/SUM('Criteria &amp; Scoring'!$B$5:$B$11),2)</x:f>
        <x:v>4.18</x:v>
      </x:c>
      <x:c r="AF107" s="32" t="n">
        <x:f>ROUND((W107*'Criteria &amp; Scoring'!$B$5+X107*'Criteria &amp; Scoring'!$B$6+Y107*'Criteria &amp; Scoring'!$B$7+Z107*'Criteria &amp; Scoring'!$B$8+AA107*'Criteria &amp; Scoring'!$B$9+AB107*'Criteria &amp; Scoring'!$B$10+AC107*'Criteria &amp; Scoring'!$B$11)/SUM('Criteria &amp; Scoring'!$B$5:$B$11),2)</x:f>
        <x:v>3.85</x:v>
      </x:c>
      <x:c r="AG107" s="32" t="str">
        <x:f>IF(LARGE(AD107:AF107,1)-LARGE(AD107:AF107,2)&lt;0.15,"Context-dependent tie",SUBSTITUTE(INDEX($AD$4:$AF$4,1,MATCH(MAX(AD107:AF107),AD107:AF107,0))," Overall",""))</x:f>
        <x:v>Azure</x:v>
      </x:c>
      <x:c r="AH107" s="32" t="str">
        <x:f>IF(AG107="AWS","Start with AWS when infrastructure breadth, native integration and operational maturity are the main differentiators.",IF(AG107="Azure","Start with Azure when Microsoft identity, security, data, productivity or hybrid integration reduces delivery effort.",IF(AG107="GCP","Start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07" s="32" t="str">
        <x:v>High</x:v>
      </x:c>
      <x:c r="AJ107" s="32" t="str">
        <x:v>2026-07-12</x:v>
      </x:c>
    </x:row>
    <x:row r="108">
      <x:c r="A108" s="32" t="str">
        <x:v>Cloud network transit hub</x:v>
      </x:c>
      <x:c r="B108" s="32" t="str">
        <x:v>03 Network &amp; Connectivity</x:v>
      </x:c>
      <x:c r="C108" s="32" t="str">
        <x:v>Hybrid &amp; Private Connectivity</x:v>
      </x:c>
      <x:c r="D108" s="32" t="str">
        <x:v>Workload</x:v>
      </x:c>
      <x:c r="E108" s="32" t="str">
        <x:v>What bandwidth, latency, encryption, routing and resilience are required between environments?</x:v>
      </x:c>
      <x:c r="F108" s="32" t="str">
        <x:v>AWS Transit Gateway
AWS Cloud WAN</x:v>
      </x:c>
      <x:c r="G108" s="32" t="str">
        <x:v>Azure Virtual WAN</x:v>
      </x:c>
      <x:c r="H108" s="32" t="str">
        <x:v>Network Connectivity Center</x:v>
      </x:c>
      <x:c r="I108" s="32" t="n">
        <x:v>3.9</x:v>
      </x:c>
      <x:c r="J108" s="32" t="n">
        <x:v>2.9</x:v>
      </x:c>
      <x:c r="K108" s="32" t="n">
        <x:v>4.4</x:v>
      </x:c>
      <x:c r="L108" s="32" t="n">
        <x:v>3.8</x:v>
      </x:c>
      <x:c r="M108" s="32" t="n">
        <x:v>3.5</x:v>
      </x:c>
      <x:c r="N108" s="32" t="n">
        <x:v>4.5</x:v>
      </x:c>
      <x:c r="O108" s="32" t="n">
        <x:v>3.3</x:v>
      </x:c>
      <x:c r="P108" s="32" t="n">
        <x:v>4.5</x:v>
      </x:c>
      <x:c r="Q108" s="32" t="n">
        <x:v>3.4</x:v>
      </x:c>
      <x:c r="R108" s="32" t="n">
        <x:v>4.8</x:v>
      </x:c>
      <x:c r="S108" s="32" t="n">
        <x:v>3.9</x:v>
      </x:c>
      <x:c r="T108" s="32" t="n">
        <x:v>3.7</x:v>
      </x:c>
      <x:c r="U108" s="32" t="n">
        <x:v>4.6</x:v>
      </x:c>
      <x:c r="V108" s="32" t="n">
        <x:v>3.5</x:v>
      </x:c>
      <x:c r="W108" s="32" t="n">
        <x:v>4</x:v>
      </x:c>
      <x:c r="X108" s="32" t="n">
        <x:v>3</x:v>
      </x:c>
      <x:c r="Y108" s="32" t="n">
        <x:v>4.4</x:v>
      </x:c>
      <x:c r="Z108" s="32" t="n">
        <x:v>4</x:v>
      </x:c>
      <x:c r="AA108" s="32" t="n">
        <x:v>3.5</x:v>
      </x:c>
      <x:c r="AB108" s="32" t="n">
        <x:v>4.3</x:v>
      </x:c>
      <x:c r="AC108" s="32" t="n">
        <x:v>3.5</x:v>
      </x:c>
      <x:c r="AD108" s="32" t="n">
        <x:f>ROUND((I108*'Criteria &amp; Scoring'!$B$5+J108*'Criteria &amp; Scoring'!$B$6+K108*'Criteria &amp; Scoring'!$B$7+L108*'Criteria &amp; Scoring'!$B$8+M108*'Criteria &amp; Scoring'!$B$9+N108*'Criteria &amp; Scoring'!$B$10+O108*'Criteria &amp; Scoring'!$B$11)/SUM('Criteria &amp; Scoring'!$B$5:$B$11),2)</x:f>
        <x:v>3.75</x:v>
      </x:c>
      <x:c r="AE108" s="32" t="n">
        <x:f>ROUND((P108*'Criteria &amp; Scoring'!$B$5+Q108*'Criteria &amp; Scoring'!$B$6+R108*'Criteria &amp; Scoring'!$B$7+S108*'Criteria &amp; Scoring'!$B$8+T108*'Criteria &amp; Scoring'!$B$9+U108*'Criteria &amp; Scoring'!$B$10+V108*'Criteria &amp; Scoring'!$B$11)/SUM('Criteria &amp; Scoring'!$B$5:$B$11),2)</x:f>
        <x:v>4.12</x:v>
      </x:c>
      <x:c r="AF108" s="32" t="n">
        <x:f>ROUND((W108*'Criteria &amp; Scoring'!$B$5+X108*'Criteria &amp; Scoring'!$B$6+Y108*'Criteria &amp; Scoring'!$B$7+Z108*'Criteria &amp; Scoring'!$B$8+AA108*'Criteria &amp; Scoring'!$B$9+AB108*'Criteria &amp; Scoring'!$B$10+AC108*'Criteria &amp; Scoring'!$B$11)/SUM('Criteria &amp; Scoring'!$B$5:$B$11),2)</x:f>
        <x:v>3.82</x:v>
      </x:c>
      <x:c r="AG108" s="32" t="str">
        <x:f>IF(LARGE(AD108:AF108,1)-LARGE(AD108:AF108,2)&lt;0.15,"Context-dependent tie",SUBSTITUTE(INDEX($AD$4:$AF$4,1,MATCH(MAX(AD108:AF108),AD108:AF108,0))," Overall",""))</x:f>
        <x:v>Azure</x:v>
      </x:c>
      <x:c r="AH108" s="32" t="str">
        <x:f>IF(AG108="AWS","Start with AWS when infrastructure breadth, native integration and operational maturity are the main differentiators.",IF(AG108="Azure","Start with Azure when Microsoft identity, security, data, productivity or hybrid integration reduces delivery effort.",IF(AG108="GCP","Start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08" s="32" t="str">
        <x:v>Medium</x:v>
      </x:c>
      <x:c r="AJ108" s="32" t="str">
        <x:v>2026-07-12</x:v>
      </x:c>
    </x:row>
    <x:row r="109">
      <x:c r="A109" s="32" t="str">
        <x:v>Private service endpoint</x:v>
      </x:c>
      <x:c r="B109" s="32" t="str">
        <x:v>03 Network &amp; Connectivity</x:v>
      </x:c>
      <x:c r="C109" s="32" t="str">
        <x:v>Service Networking &amp; Private Access</x:v>
      </x:c>
      <x:c r="D109" s="32" t="str">
        <x:v>Workload</x:v>
      </x:c>
      <x:c r="E109" s="32" t="str">
        <x:v>What business outcome, scale, control, integration and operating model justify choosing private service endpoint?</x:v>
      </x:c>
      <x:c r="F109" s="32" t="str">
        <x:v>AWS PrivateLink
VPC endpoints</x:v>
      </x:c>
      <x:c r="G109" s="32" t="str">
        <x:v>Azure Private Link
Private Endpoints</x:v>
      </x:c>
      <x:c r="H109" s="32" t="str">
        <x:v>Private Service Connect</x:v>
      </x:c>
      <x:c r="I109" s="32" t="n">
        <x:v>4</x:v>
      </x:c>
      <x:c r="J109" s="32" t="n">
        <x:v>2.9</x:v>
      </x:c>
      <x:c r="K109" s="32" t="n">
        <x:v>4.5</x:v>
      </x:c>
      <x:c r="L109" s="32" t="n">
        <x:v>3.8</x:v>
      </x:c>
      <x:c r="M109" s="32" t="n">
        <x:v>3.5</x:v>
      </x:c>
      <x:c r="N109" s="32" t="n">
        <x:v>4.6</x:v>
      </x:c>
      <x:c r="O109" s="32" t="n">
        <x:v>3.6</x:v>
      </x:c>
      <x:c r="P109" s="32" t="n">
        <x:v>4</x:v>
      </x:c>
      <x:c r="Q109" s="32" t="n">
        <x:v>2.9</x:v>
      </x:c>
      <x:c r="R109" s="32" t="n">
        <x:v>4.5</x:v>
      </x:c>
      <x:c r="S109" s="32" t="n">
        <x:v>3.8</x:v>
      </x:c>
      <x:c r="T109" s="32" t="n">
        <x:v>3.5</x:v>
      </x:c>
      <x:c r="U109" s="32" t="n">
        <x:v>4.4</x:v>
      </x:c>
      <x:c r="V109" s="32" t="n">
        <x:v>3.7</x:v>
      </x:c>
      <x:c r="W109" s="32" t="n">
        <x:v>4.2</x:v>
      </x:c>
      <x:c r="X109" s="32" t="n">
        <x:v>3</x:v>
      </x:c>
      <x:c r="Y109" s="32" t="n">
        <x:v>4.5</x:v>
      </x:c>
      <x:c r="Z109" s="32" t="n">
        <x:v>4</x:v>
      </x:c>
      <x:c r="AA109" s="32" t="n">
        <x:v>3.5</x:v>
      </x:c>
      <x:c r="AB109" s="32" t="n">
        <x:v>4.4</x:v>
      </x:c>
      <x:c r="AC109" s="32" t="n">
        <x:v>3.9</x:v>
      </x:c>
      <x:c r="AD109" s="32" t="n">
        <x:f>ROUND((I109*'Criteria &amp; Scoring'!$B$5+J109*'Criteria &amp; Scoring'!$B$6+K109*'Criteria &amp; Scoring'!$B$7+L109*'Criteria &amp; Scoring'!$B$8+M109*'Criteria &amp; Scoring'!$B$9+N109*'Criteria &amp; Scoring'!$B$10+O109*'Criteria &amp; Scoring'!$B$11)/SUM('Criteria &amp; Scoring'!$B$5:$B$11),2)</x:f>
        <x:v>3.82</x:v>
      </x:c>
      <x:c r="AE109" s="32" t="n">
        <x:f>ROUND((P109*'Criteria &amp; Scoring'!$B$5+Q109*'Criteria &amp; Scoring'!$B$6+R109*'Criteria &amp; Scoring'!$B$7+S109*'Criteria &amp; Scoring'!$B$8+T109*'Criteria &amp; Scoring'!$B$9+U109*'Criteria &amp; Scoring'!$B$10+V109*'Criteria &amp; Scoring'!$B$11)/SUM('Criteria &amp; Scoring'!$B$5:$B$11),2)</x:f>
        <x:v>3.8</x:v>
      </x:c>
      <x:c r="AF109" s="32" t="n">
        <x:f>ROUND((W109*'Criteria &amp; Scoring'!$B$5+X109*'Criteria &amp; Scoring'!$B$6+Y109*'Criteria &amp; Scoring'!$B$7+Z109*'Criteria &amp; Scoring'!$B$8+AA109*'Criteria &amp; Scoring'!$B$9+AB109*'Criteria &amp; Scoring'!$B$10+AC109*'Criteria &amp; Scoring'!$B$11)/SUM('Criteria &amp; Scoring'!$B$5:$B$11),2)</x:f>
        <x:v>3.91</x:v>
      </x:c>
      <x:c r="AG109" s="32" t="str">
        <x:f>IF(LARGE(AD109:AF109,1)-LARGE(AD109:AF109,2)&lt;0.15,"Context-dependent tie",SUBSTITUTE(INDEX($AD$4:$AF$4,1,MATCH(MAX(AD109:AF109),AD109:AF109,0))," Overall",""))</x:f>
        <x:v>Context-dependent tie</x:v>
      </x:c>
      <x:c r="AH109" s="32" t="str">
        <x:f>IF(AG109="AWS","Start with AWS when infrastructure breadth, native integration and operational maturity are the main differentiators.",IF(AG109="Azure","Start with Azure when Microsoft identity, security, data, productivity or hybrid integration reduces delivery effort.",IF(AG109="GCP","Start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09" s="32" t="str">
        <x:v>High</x:v>
      </x:c>
      <x:c r="AJ109" s="32" t="str">
        <x:v>2026-07-12</x:v>
      </x:c>
    </x:row>
    <x:row r="110">
      <x:c r="A110" s="32" t="str">
        <x:v>Service mesh</x:v>
      </x:c>
      <x:c r="B110" s="32" t="str">
        <x:v>03 Network &amp; Connectivity</x:v>
      </x:c>
      <x:c r="C110" s="32" t="str">
        <x:v>Service Networking &amp; Private Access</x:v>
      </x:c>
      <x:c r="D110" s="32" t="str">
        <x:v>Workload</x:v>
      </x:c>
      <x:c r="E110" s="32" t="str">
        <x:v>What business outcome, scale, control, integration and operating model justify choosing service mesh?</x:v>
      </x:c>
      <x:c r="F110" s="32" t="str">
        <x:v>AWS App Mesh
Amazon VPC Lattice</x:v>
      </x:c>
      <x:c r="G110" s="32" t="str">
        <x:v>Azure Service Mesh / Istio add-on for AKS</x:v>
      </x:c>
      <x:c r="H110" s="32" t="str">
        <x:v>Cloud Service Mesh</x:v>
      </x:c>
      <x:c r="I110" s="32" t="n">
        <x:v>3.9</x:v>
      </x:c>
      <x:c r="J110" s="32" t="n">
        <x:v>2.9</x:v>
      </x:c>
      <x:c r="K110" s="32" t="n">
        <x:v>4.4</x:v>
      </x:c>
      <x:c r="L110" s="32" t="n">
        <x:v>3.8</x:v>
      </x:c>
      <x:c r="M110" s="32" t="n">
        <x:v>3.5</x:v>
      </x:c>
      <x:c r="N110" s="32" t="n">
        <x:v>4.5</x:v>
      </x:c>
      <x:c r="O110" s="32" t="n">
        <x:v>3.6</x:v>
      </x:c>
      <x:c r="P110" s="32" t="n">
        <x:v>3.9</x:v>
      </x:c>
      <x:c r="Q110" s="32" t="n">
        <x:v>2.9</x:v>
      </x:c>
      <x:c r="R110" s="32" t="n">
        <x:v>4.4</x:v>
      </x:c>
      <x:c r="S110" s="32" t="n">
        <x:v>3.8</x:v>
      </x:c>
      <x:c r="T110" s="32" t="n">
        <x:v>3.5</x:v>
      </x:c>
      <x:c r="U110" s="32" t="n">
        <x:v>4.3</x:v>
      </x:c>
      <x:c r="V110" s="32" t="n">
        <x:v>3.7</x:v>
      </x:c>
      <x:c r="W110" s="32" t="n">
        <x:v>4</x:v>
      </x:c>
      <x:c r="X110" s="32" t="n">
        <x:v>3</x:v>
      </x:c>
      <x:c r="Y110" s="32" t="n">
        <x:v>4.4</x:v>
      </x:c>
      <x:c r="Z110" s="32" t="n">
        <x:v>4</x:v>
      </x:c>
      <x:c r="AA110" s="32" t="n">
        <x:v>3.5</x:v>
      </x:c>
      <x:c r="AB110" s="32" t="n">
        <x:v>4.3</x:v>
      </x:c>
      <x:c r="AC110" s="32" t="n">
        <x:v>3.9</x:v>
      </x:c>
      <x:c r="AD110" s="32" t="n">
        <x:f>ROUND((I110*'Criteria &amp; Scoring'!$B$5+J110*'Criteria &amp; Scoring'!$B$6+K110*'Criteria &amp; Scoring'!$B$7+L110*'Criteria &amp; Scoring'!$B$8+M110*'Criteria &amp; Scoring'!$B$9+N110*'Criteria &amp; Scoring'!$B$10+O110*'Criteria &amp; Scoring'!$B$11)/SUM('Criteria &amp; Scoring'!$B$5:$B$11),2)</x:f>
        <x:v>3.77</x:v>
      </x:c>
      <x:c r="AE110" s="32" t="n">
        <x:f>ROUND((P110*'Criteria &amp; Scoring'!$B$5+Q110*'Criteria &amp; Scoring'!$B$6+R110*'Criteria &amp; Scoring'!$B$7+S110*'Criteria &amp; Scoring'!$B$8+T110*'Criteria &amp; Scoring'!$B$9+U110*'Criteria &amp; Scoring'!$B$10+V110*'Criteria &amp; Scoring'!$B$11)/SUM('Criteria &amp; Scoring'!$B$5:$B$11),2)</x:f>
        <x:v>3.75</x:v>
      </x:c>
      <x:c r="AF110" s="32" t="n">
        <x:f>ROUND((W110*'Criteria &amp; Scoring'!$B$5+X110*'Criteria &amp; Scoring'!$B$6+Y110*'Criteria &amp; Scoring'!$B$7+Z110*'Criteria &amp; Scoring'!$B$8+AA110*'Criteria &amp; Scoring'!$B$9+AB110*'Criteria &amp; Scoring'!$B$10+AC110*'Criteria &amp; Scoring'!$B$11)/SUM('Criteria &amp; Scoring'!$B$5:$B$11),2)</x:f>
        <x:v>3.84</x:v>
      </x:c>
      <x:c r="AG110" s="32" t="str">
        <x:f>IF(LARGE(AD110:AF110,1)-LARGE(AD110:AF110,2)&lt;0.15,"Context-dependent tie",SUBSTITUTE(INDEX($AD$4:$AF$4,1,MATCH(MAX(AD110:AF110),AD110:AF110,0))," Overall",""))</x:f>
        <x:v>Context-dependent tie</x:v>
      </x:c>
      <x:c r="AH110" s="32" t="str">
        <x:f>IF(AG110="AWS","Start with AWS when infrastructure breadth, native integration and operational maturity are the main differentiators.",IF(AG110="Azure","Start with Azure when Microsoft identity, security, data, productivity or hybrid integration reduces delivery effort.",IF(AG110="GCP","Start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10" s="32" t="str">
        <x:v>Medium</x:v>
      </x:c>
      <x:c r="AJ110" s="32" t="str">
        <x:v>2026-07-12</x:v>
      </x:c>
    </x:row>
    <x:row r="111">
      <x:c r="A111" s="32" t="str">
        <x:v>Service discovery</x:v>
      </x:c>
      <x:c r="B111" s="32" t="str">
        <x:v>03 Network &amp; Connectivity</x:v>
      </x:c>
      <x:c r="C111" s="32" t="str">
        <x:v>Service Networking &amp; Private Access</x:v>
      </x:c>
      <x:c r="D111" s="32" t="str">
        <x:v>Workload</x:v>
      </x:c>
      <x:c r="E111" s="32" t="str">
        <x:v>What business outcome, scale, control, integration and operating model justify choosing service discovery?</x:v>
      </x:c>
      <x:c r="F111" s="32" t="str">
        <x:v>AWS Cloud Map</x:v>
      </x:c>
      <x:c r="G111" s="32" t="str">
        <x:v>Azure Private DNS
Azure Service Fabric naming</x:v>
      </x:c>
      <x:c r="H111" s="32" t="str">
        <x:v>Service Directory</x:v>
      </x:c>
      <x:c r="I111" s="32" t="n">
        <x:v>4</x:v>
      </x:c>
      <x:c r="J111" s="32" t="n">
        <x:v>3</x:v>
      </x:c>
      <x:c r="K111" s="32" t="n">
        <x:v>4.5</x:v>
      </x:c>
      <x:c r="L111" s="32" t="n">
        <x:v>3.9</x:v>
      </x:c>
      <x:c r="M111" s="32" t="n">
        <x:v>3.5</x:v>
      </x:c>
      <x:c r="N111" s="32" t="n">
        <x:v>4.7</x:v>
      </x:c>
      <x:c r="O111" s="32" t="n">
        <x:v>3.7</x:v>
      </x:c>
      <x:c r="P111" s="32" t="n">
        <x:v>3.9</x:v>
      </x:c>
      <x:c r="Q111" s="32" t="n">
        <x:v>2.9</x:v>
      </x:c>
      <x:c r="R111" s="32" t="n">
        <x:v>4.4</x:v>
      </x:c>
      <x:c r="S111" s="32" t="n">
        <x:v>3.8</x:v>
      </x:c>
      <x:c r="T111" s="32" t="n">
        <x:v>3.5</x:v>
      </x:c>
      <x:c r="U111" s="32" t="n">
        <x:v>4.3</x:v>
      </x:c>
      <x:c r="V111" s="32" t="n">
        <x:v>3.7</x:v>
      </x:c>
      <x:c r="W111" s="32" t="n">
        <x:v>4</x:v>
      </x:c>
      <x:c r="X111" s="32" t="n">
        <x:v>3</x:v>
      </x:c>
      <x:c r="Y111" s="32" t="n">
        <x:v>4.4</x:v>
      </x:c>
      <x:c r="Z111" s="32" t="n">
        <x:v>4</x:v>
      </x:c>
      <x:c r="AA111" s="32" t="n">
        <x:v>3.5</x:v>
      </x:c>
      <x:c r="AB111" s="32" t="n">
        <x:v>4.3</x:v>
      </x:c>
      <x:c r="AC111" s="32" t="n">
        <x:v>3.9</x:v>
      </x:c>
      <x:c r="AD111" s="32" t="n">
        <x:f>ROUND((I111*'Criteria &amp; Scoring'!$B$5+J111*'Criteria &amp; Scoring'!$B$6+K111*'Criteria &amp; Scoring'!$B$7+L111*'Criteria &amp; Scoring'!$B$8+M111*'Criteria &amp; Scoring'!$B$9+N111*'Criteria &amp; Scoring'!$B$10+O111*'Criteria &amp; Scoring'!$B$11)/SUM('Criteria &amp; Scoring'!$B$5:$B$11),2)</x:f>
        <x:v>3.87</x:v>
      </x:c>
      <x:c r="AE111" s="32" t="n">
        <x:f>ROUND((P111*'Criteria &amp; Scoring'!$B$5+Q111*'Criteria &amp; Scoring'!$B$6+R111*'Criteria &amp; Scoring'!$B$7+S111*'Criteria &amp; Scoring'!$B$8+T111*'Criteria &amp; Scoring'!$B$9+U111*'Criteria &amp; Scoring'!$B$10+V111*'Criteria &amp; Scoring'!$B$11)/SUM('Criteria &amp; Scoring'!$B$5:$B$11),2)</x:f>
        <x:v>3.75</x:v>
      </x:c>
      <x:c r="AF111" s="32" t="n">
        <x:f>ROUND((W111*'Criteria &amp; Scoring'!$B$5+X111*'Criteria &amp; Scoring'!$B$6+Y111*'Criteria &amp; Scoring'!$B$7+Z111*'Criteria &amp; Scoring'!$B$8+AA111*'Criteria &amp; Scoring'!$B$9+AB111*'Criteria &amp; Scoring'!$B$10+AC111*'Criteria &amp; Scoring'!$B$11)/SUM('Criteria &amp; Scoring'!$B$5:$B$11),2)</x:f>
        <x:v>3.84</x:v>
      </x:c>
      <x:c r="AG111" s="32" t="str">
        <x:f>IF(LARGE(AD111:AF111,1)-LARGE(AD111:AF111,2)&lt;0.15,"Context-dependent tie",SUBSTITUTE(INDEX($AD$4:$AF$4,1,MATCH(MAX(AD111:AF111),AD111:AF111,0))," Overall",""))</x:f>
        <x:v>Context-dependent tie</x:v>
      </x:c>
      <x:c r="AH111" s="32" t="str">
        <x:f>IF(AG111="AWS","Start with AWS when infrastructure breadth, native integration and operational maturity are the main differentiators.",IF(AG111="Azure","Start with Azure when Microsoft identity, security, data, productivity or hybrid integration reduces delivery effort.",IF(AG111="GCP","Start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11" s="32" t="str">
        <x:v>Medium</x:v>
      </x:c>
      <x:c r="AJ111" s="32" t="str">
        <x:v>2026-07-12</x:v>
      </x:c>
    </x:row>
    <x:row r="112">
      <x:c r="A112" s="32" t="str">
        <x:v>API gateway</x:v>
      </x:c>
      <x:c r="B112" s="32" t="str">
        <x:v>03 Network &amp; Connectivity</x:v>
      </x:c>
      <x:c r="C112" s="32" t="str">
        <x:v>Service Networking &amp; Private Access</x:v>
      </x:c>
      <x:c r="D112" s="32" t="str">
        <x:v>Workload</x:v>
      </x:c>
      <x:c r="E112" s="32" t="str">
        <x:v>What business outcome, scale, control, integration and operating model justify choosing api gateway?</x:v>
      </x:c>
      <x:c r="F112" s="32" t="str">
        <x:v>Amazon API Gateway</x:v>
      </x:c>
      <x:c r="G112" s="32" t="str">
        <x:v>Azure API Management</x:v>
      </x:c>
      <x:c r="H112" s="32" t="str">
        <x:v>API Gateway
Apigee</x:v>
      </x:c>
      <x:c r="I112" s="32" t="n">
        <x:v>4</x:v>
      </x:c>
      <x:c r="J112" s="32" t="n">
        <x:v>3</x:v>
      </x:c>
      <x:c r="K112" s="32" t="n">
        <x:v>4.5</x:v>
      </x:c>
      <x:c r="L112" s="32" t="n">
        <x:v>3.9</x:v>
      </x:c>
      <x:c r="M112" s="32" t="n">
        <x:v>3.5</x:v>
      </x:c>
      <x:c r="N112" s="32" t="n">
        <x:v>4.7</x:v>
      </x:c>
      <x:c r="O112" s="32" t="n">
        <x:v>3.7</x:v>
      </x:c>
      <x:c r="P112" s="32" t="n">
        <x:v>4</x:v>
      </x:c>
      <x:c r="Q112" s="32" t="n">
        <x:v>3</x:v>
      </x:c>
      <x:c r="R112" s="32" t="n">
        <x:v>4.5</x:v>
      </x:c>
      <x:c r="S112" s="32" t="n">
        <x:v>3.9</x:v>
      </x:c>
      <x:c r="T112" s="32" t="n">
        <x:v>3.5</x:v>
      </x:c>
      <x:c r="U112" s="32" t="n">
        <x:v>4.4</x:v>
      </x:c>
      <x:c r="V112" s="32" t="n">
        <x:v>3.8</x:v>
      </x:c>
      <x:c r="W112" s="32" t="n">
        <x:v>3.9</x:v>
      </x:c>
      <x:c r="X112" s="32" t="n">
        <x:v>2.9</x:v>
      </x:c>
      <x:c r="Y112" s="32" t="n">
        <x:v>4.3</x:v>
      </x:c>
      <x:c r="Z112" s="32" t="n">
        <x:v>3.9</x:v>
      </x:c>
      <x:c r="AA112" s="32" t="n">
        <x:v>3.5</x:v>
      </x:c>
      <x:c r="AB112" s="32" t="n">
        <x:v>4.2</x:v>
      </x:c>
      <x:c r="AC112" s="32" t="n">
        <x:v>3.8</x:v>
      </x:c>
      <x:c r="AD112" s="32" t="n">
        <x:f>ROUND((I112*'Criteria &amp; Scoring'!$B$5+J112*'Criteria &amp; Scoring'!$B$6+K112*'Criteria &amp; Scoring'!$B$7+L112*'Criteria &amp; Scoring'!$B$8+M112*'Criteria &amp; Scoring'!$B$9+N112*'Criteria &amp; Scoring'!$B$10+O112*'Criteria &amp; Scoring'!$B$11)/SUM('Criteria &amp; Scoring'!$B$5:$B$11),2)</x:f>
        <x:v>3.87</x:v>
      </x:c>
      <x:c r="AE112" s="32" t="n">
        <x:f>ROUND((P112*'Criteria &amp; Scoring'!$B$5+Q112*'Criteria &amp; Scoring'!$B$6+R112*'Criteria &amp; Scoring'!$B$7+S112*'Criteria &amp; Scoring'!$B$8+T112*'Criteria &amp; Scoring'!$B$9+U112*'Criteria &amp; Scoring'!$B$10+V112*'Criteria &amp; Scoring'!$B$11)/SUM('Criteria &amp; Scoring'!$B$5:$B$11),2)</x:f>
        <x:v>3.84</x:v>
      </x:c>
      <x:c r="AF112" s="32" t="n">
        <x:f>ROUND((W112*'Criteria &amp; Scoring'!$B$5+X112*'Criteria &amp; Scoring'!$B$6+Y112*'Criteria &amp; Scoring'!$B$7+Z112*'Criteria &amp; Scoring'!$B$8+AA112*'Criteria &amp; Scoring'!$B$9+AB112*'Criteria &amp; Scoring'!$B$10+AC112*'Criteria &amp; Scoring'!$B$11)/SUM('Criteria &amp; Scoring'!$B$5:$B$11),2)</x:f>
        <x:v>3.74</x:v>
      </x:c>
      <x:c r="AG112" s="32" t="str">
        <x:f>IF(LARGE(AD112:AF112,1)-LARGE(AD112:AF112,2)&lt;0.15,"Context-dependent tie",SUBSTITUTE(INDEX($AD$4:$AF$4,1,MATCH(MAX(AD112:AF112),AD112:AF112,0))," Overall",""))</x:f>
        <x:v>Context-dependent tie</x:v>
      </x:c>
      <x:c r="AH112" s="32" t="str">
        <x:f>IF(AG112="AWS","Start with AWS when infrastructure breadth, native integration and operational maturity are the main differentiators.",IF(AG112="Azure","Start with Azure when Microsoft identity, security, data, productivity or hybrid integration reduces delivery effort.",IF(AG112="GCP","Start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12" s="32" t="str">
        <x:v>Medium</x:v>
      </x:c>
      <x:c r="AJ112" s="32" t="str">
        <x:v>2026-07-12</x:v>
      </x:c>
    </x:row>
    <x:row r="113">
      <x:c r="A113" s="32" t="str">
        <x:v>Central network management</x:v>
      </x:c>
      <x:c r="B113" s="32" t="str">
        <x:v>03 Network &amp; Connectivity</x:v>
      </x:c>
      <x:c r="C113" s="32" t="str">
        <x:v>Network Operations</x:v>
      </x:c>
      <x:c r="D113" s="32" t="str">
        <x:v>Workload</x:v>
      </x:c>
      <x:c r="E113" s="32" t="str">
        <x:v>What business outcome, scale, control, integration and operating model justify choosing central network management?</x:v>
      </x:c>
      <x:c r="F113" s="32" t="str">
        <x:v>AWS Network Manager
AWS Cloud WAN</x:v>
      </x:c>
      <x:c r="G113" s="32" t="str">
        <x:v>Azure Virtual Network Manager</x:v>
      </x:c>
      <x:c r="H113" s="32" t="str">
        <x:v>Network Connectivity Center</x:v>
      </x:c>
      <x:c r="I113" s="32" t="n">
        <x:v>3.9</x:v>
      </x:c>
      <x:c r="J113" s="32" t="n">
        <x:v>2.9</x:v>
      </x:c>
      <x:c r="K113" s="32" t="n">
        <x:v>4.4</x:v>
      </x:c>
      <x:c r="L113" s="32" t="n">
        <x:v>3.8</x:v>
      </x:c>
      <x:c r="M113" s="32" t="n">
        <x:v>3.5</x:v>
      </x:c>
      <x:c r="N113" s="32" t="n">
        <x:v>4.5</x:v>
      </x:c>
      <x:c r="O113" s="32" t="n">
        <x:v>3.6</x:v>
      </x:c>
      <x:c r="P113" s="32" t="n">
        <x:v>4</x:v>
      </x:c>
      <x:c r="Q113" s="32" t="n">
        <x:v>3</x:v>
      </x:c>
      <x:c r="R113" s="32" t="n">
        <x:v>4.5</x:v>
      </x:c>
      <x:c r="S113" s="32" t="n">
        <x:v>3.9</x:v>
      </x:c>
      <x:c r="T113" s="32" t="n">
        <x:v>3.5</x:v>
      </x:c>
      <x:c r="U113" s="32" t="n">
        <x:v>4.4</x:v>
      </x:c>
      <x:c r="V113" s="32" t="n">
        <x:v>3.8</x:v>
      </x:c>
      <x:c r="W113" s="32" t="n">
        <x:v>4.3</x:v>
      </x:c>
      <x:c r="X113" s="32" t="n">
        <x:v>3</x:v>
      </x:c>
      <x:c r="Y113" s="32" t="n">
        <x:v>4.4</x:v>
      </x:c>
      <x:c r="Z113" s="32" t="n">
        <x:v>4</x:v>
      </x:c>
      <x:c r="AA113" s="32" t="n">
        <x:v>3.5</x:v>
      </x:c>
      <x:c r="AB113" s="32" t="n">
        <x:v>4.3</x:v>
      </x:c>
      <x:c r="AC113" s="32" t="n">
        <x:v>3.9</x:v>
      </x:c>
      <x:c r="AD113" s="32" t="n">
        <x:f>ROUND((I113*'Criteria &amp; Scoring'!$B$5+J113*'Criteria &amp; Scoring'!$B$6+K113*'Criteria &amp; Scoring'!$B$7+L113*'Criteria &amp; Scoring'!$B$8+M113*'Criteria &amp; Scoring'!$B$9+N113*'Criteria &amp; Scoring'!$B$10+O113*'Criteria &amp; Scoring'!$B$11)/SUM('Criteria &amp; Scoring'!$B$5:$B$11),2)</x:f>
        <x:v>3.77</x:v>
      </x:c>
      <x:c r="AE113" s="32" t="n">
        <x:f>ROUND((P113*'Criteria &amp; Scoring'!$B$5+Q113*'Criteria &amp; Scoring'!$B$6+R113*'Criteria &amp; Scoring'!$B$7+S113*'Criteria &amp; Scoring'!$B$8+T113*'Criteria &amp; Scoring'!$B$9+U113*'Criteria &amp; Scoring'!$B$10+V113*'Criteria &amp; Scoring'!$B$11)/SUM('Criteria &amp; Scoring'!$B$5:$B$11),2)</x:f>
        <x:v>3.84</x:v>
      </x:c>
      <x:c r="AF113" s="32" t="n">
        <x:f>ROUND((W113*'Criteria &amp; Scoring'!$B$5+X113*'Criteria &amp; Scoring'!$B$6+Y113*'Criteria &amp; Scoring'!$B$7+Z113*'Criteria &amp; Scoring'!$B$8+AA113*'Criteria &amp; Scoring'!$B$9+AB113*'Criteria &amp; Scoring'!$B$10+AC113*'Criteria &amp; Scoring'!$B$11)/SUM('Criteria &amp; Scoring'!$B$5:$B$11),2)</x:f>
        <x:v>3.91</x:v>
      </x:c>
      <x:c r="AG113" s="32" t="str">
        <x:f>IF(LARGE(AD113:AF113,1)-LARGE(AD113:AF113,2)&lt;0.15,"Context-dependent tie",SUBSTITUTE(INDEX($AD$4:$AF$4,1,MATCH(MAX(AD113:AF113),AD113:AF113,0))," Overall",""))</x:f>
        <x:v>Context-dependent tie</x:v>
      </x:c>
      <x:c r="AH113" s="32" t="str">
        <x:f>IF(AG113="AWS","Start with AWS when infrastructure breadth, native integration and operational maturity are the main differentiators.",IF(AG113="Azure","Start with Azure when Microsoft identity, security, data, productivity or hybrid integration reduces delivery effort.",IF(AG113="GCP","Start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13" s="32" t="str">
        <x:v>Medium</x:v>
      </x:c>
      <x:c r="AJ113" s="32" t="str">
        <x:v>2026-07-12</x:v>
      </x:c>
    </x:row>
    <x:row r="114">
      <x:c r="A114" s="32" t="str">
        <x:v>Network monitoring and diagnostics</x:v>
      </x:c>
      <x:c r="B114" s="32" t="str">
        <x:v>03 Network &amp; Connectivity</x:v>
      </x:c>
      <x:c r="C114" s="32" t="str">
        <x:v>Network Operations</x:v>
      </x:c>
      <x:c r="D114" s="32" t="str">
        <x:v>Workload</x:v>
      </x:c>
      <x:c r="E114" s="32" t="str">
        <x:v>What business outcome, scale, control, integration and operating model justify choosing network monitoring and diagnostics?</x:v>
      </x:c>
      <x:c r="F114" s="32" t="str">
        <x:v>VPC Flow Logs
Reachability Analyzer
Network Access Analyzer</x:v>
      </x:c>
      <x:c r="G114" s="32" t="str">
        <x:v>Azure Network Watcher</x:v>
      </x:c>
      <x:c r="H114" s="32" t="str">
        <x:v>Network Intelligence Center
VPC Flow Logs</x:v>
      </x:c>
      <x:c r="I114" s="32" t="n">
        <x:v>3.9</x:v>
      </x:c>
      <x:c r="J114" s="32" t="n">
        <x:v>2.9</x:v>
      </x:c>
      <x:c r="K114" s="32" t="n">
        <x:v>4.4</x:v>
      </x:c>
      <x:c r="L114" s="32" t="n">
        <x:v>3.8</x:v>
      </x:c>
      <x:c r="M114" s="32" t="n">
        <x:v>3.5</x:v>
      </x:c>
      <x:c r="N114" s="32" t="n">
        <x:v>4.5</x:v>
      </x:c>
      <x:c r="O114" s="32" t="n">
        <x:v>3.6</x:v>
      </x:c>
      <x:c r="P114" s="32" t="n">
        <x:v>4</x:v>
      </x:c>
      <x:c r="Q114" s="32" t="n">
        <x:v>3</x:v>
      </x:c>
      <x:c r="R114" s="32" t="n">
        <x:v>4.8</x:v>
      </x:c>
      <x:c r="S114" s="32" t="n">
        <x:v>3.9</x:v>
      </x:c>
      <x:c r="T114" s="32" t="n">
        <x:v>3.5</x:v>
      </x:c>
      <x:c r="U114" s="32" t="n">
        <x:v>4.4</x:v>
      </x:c>
      <x:c r="V114" s="32" t="n">
        <x:v>3.8</x:v>
      </x:c>
      <x:c r="W114" s="32" t="n">
        <x:v>4.2</x:v>
      </x:c>
      <x:c r="X114" s="32" t="n">
        <x:v>2.9</x:v>
      </x:c>
      <x:c r="Y114" s="32" t="n">
        <x:v>4.3</x:v>
      </x:c>
      <x:c r="Z114" s="32" t="n">
        <x:v>3.9</x:v>
      </x:c>
      <x:c r="AA114" s="32" t="n">
        <x:v>3.5</x:v>
      </x:c>
      <x:c r="AB114" s="32" t="n">
        <x:v>4.2</x:v>
      </x:c>
      <x:c r="AC114" s="32" t="n">
        <x:v>3.8</x:v>
      </x:c>
      <x:c r="AD114" s="32" t="n">
        <x:f>ROUND((I114*'Criteria &amp; Scoring'!$B$5+J114*'Criteria &amp; Scoring'!$B$6+K114*'Criteria &amp; Scoring'!$B$7+L114*'Criteria &amp; Scoring'!$B$8+M114*'Criteria &amp; Scoring'!$B$9+N114*'Criteria &amp; Scoring'!$B$10+O114*'Criteria &amp; Scoring'!$B$11)/SUM('Criteria &amp; Scoring'!$B$5:$B$11),2)</x:f>
        <x:v>3.77</x:v>
      </x:c>
      <x:c r="AE114" s="32" t="n">
        <x:f>ROUND((P114*'Criteria &amp; Scoring'!$B$5+Q114*'Criteria &amp; Scoring'!$B$6+R114*'Criteria &amp; Scoring'!$B$7+S114*'Criteria &amp; Scoring'!$B$8+T114*'Criteria &amp; Scoring'!$B$9+U114*'Criteria &amp; Scoring'!$B$10+V114*'Criteria &amp; Scoring'!$B$11)/SUM('Criteria &amp; Scoring'!$B$5:$B$11),2)</x:f>
        <x:v>3.89</x:v>
      </x:c>
      <x:c r="AF114" s="32" t="n">
        <x:f>ROUND((W114*'Criteria &amp; Scoring'!$B$5+X114*'Criteria &amp; Scoring'!$B$6+Y114*'Criteria &amp; Scoring'!$B$7+Z114*'Criteria &amp; Scoring'!$B$8+AA114*'Criteria &amp; Scoring'!$B$9+AB114*'Criteria &amp; Scoring'!$B$10+AC114*'Criteria &amp; Scoring'!$B$11)/SUM('Criteria &amp; Scoring'!$B$5:$B$11),2)</x:f>
        <x:v>3.82</x:v>
      </x:c>
      <x:c r="AG114" s="32" t="str">
        <x:f>IF(LARGE(AD114:AF114,1)-LARGE(AD114:AF114,2)&lt;0.15,"Context-dependent tie",SUBSTITUTE(INDEX($AD$4:$AF$4,1,MATCH(MAX(AD114:AF114),AD114:AF114,0))," Overall",""))</x:f>
        <x:v>Context-dependent tie</x:v>
      </x:c>
      <x:c r="AH114" s="32" t="str">
        <x:f>IF(AG114="AWS","Start with AWS when infrastructure breadth, native integration and operational maturity are the main differentiators.",IF(AG114="Azure","Start with Azure when Microsoft identity, security, data, productivity or hybrid integration reduces delivery effort.",IF(AG114="GCP","Start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14" s="32" t="str">
        <x:v>Medium</x:v>
      </x:c>
      <x:c r="AJ114" s="32" t="str">
        <x:v>2026-07-12</x:v>
      </x:c>
    </x:row>
    <x:row r="115">
      <x:c r="A115" s="32" t="str">
        <x:v>DNS-based traffic management</x:v>
      </x:c>
      <x:c r="B115" s="32" t="str">
        <x:v>03 Network &amp; Connectivity</x:v>
      </x:c>
      <x:c r="C115" s="32" t="str">
        <x:v>DNS &amp; Naming</x:v>
      </x:c>
      <x:c r="D115" s="32" t="str">
        <x:v>Component</x:v>
      </x:c>
      <x:c r="E115" s="32" t="str">
        <x:v>What business outcome, scale, control, integration and operating model justify choosing dns-based traffic management?</x:v>
      </x:c>
      <x:c r="F115" s="32" t="str">
        <x:v>Amazon Route 53 routing policies</x:v>
      </x:c>
      <x:c r="G115" s="32" t="str">
        <x:v>Azure Traffic Manager</x:v>
      </x:c>
      <x:c r="H115" s="32" t="str">
        <x:v>Cloud DNS routing policies</x:v>
      </x:c>
      <x:c r="I115" s="32" t="n">
        <x:v>4</x:v>
      </x:c>
      <x:c r="J115" s="32" t="n">
        <x:v>5</x:v>
      </x:c>
      <x:c r="K115" s="32" t="n">
        <x:v>4.3</x:v>
      </x:c>
      <x:c r="L115" s="32" t="n">
        <x:v>3.9</x:v>
      </x:c>
      <x:c r="M115" s="32" t="n">
        <x:v>3.5</x:v>
      </x:c>
      <x:c r="N115" s="32" t="n">
        <x:v>4.5</x:v>
      </x:c>
      <x:c r="O115" s="32" t="n">
        <x:v>4</x:v>
      </x:c>
      <x:c r="P115" s="32" t="n">
        <x:v>4</x:v>
      </x:c>
      <x:c r="Q115" s="32" t="n">
        <x:v>5</x:v>
      </x:c>
      <x:c r="R115" s="32" t="n">
        <x:v>4.5</x:v>
      </x:c>
      <x:c r="S115" s="32" t="n">
        <x:v>3.9</x:v>
      </x:c>
      <x:c r="T115" s="32" t="n">
        <x:v>3.5</x:v>
      </x:c>
      <x:c r="U115" s="32" t="n">
        <x:v>4.4</x:v>
      </x:c>
      <x:c r="V115" s="32" t="n">
        <x:v>4.1</x:v>
      </x:c>
      <x:c r="W115" s="32" t="n">
        <x:v>4.3</x:v>
      </x:c>
      <x:c r="X115" s="32" t="n">
        <x:v>5</x:v>
      </x:c>
      <x:c r="Y115" s="32" t="n">
        <x:v>4.2</x:v>
      </x:c>
      <x:c r="Z115" s="32" t="n">
        <x:v>4</x:v>
      </x:c>
      <x:c r="AA115" s="32" t="n">
        <x:v>3.5</x:v>
      </x:c>
      <x:c r="AB115" s="32" t="n">
        <x:v>4.3</x:v>
      </x:c>
      <x:c r="AC115" s="32" t="n">
        <x:v>4.2</x:v>
      </x:c>
      <x:c r="AD115" s="32" t="n">
        <x:f>ROUND((I115*'Criteria &amp; Scoring'!$B$5+J115*'Criteria &amp; Scoring'!$B$6+K115*'Criteria &amp; Scoring'!$B$7+L115*'Criteria &amp; Scoring'!$B$8+M115*'Criteria &amp; Scoring'!$B$9+N115*'Criteria &amp; Scoring'!$B$10+O115*'Criteria &amp; Scoring'!$B$11)/SUM('Criteria &amp; Scoring'!$B$5:$B$11),2)</x:f>
        <x:v>4.23</x:v>
      </x:c>
      <x:c r="AE115" s="32" t="n">
        <x:f>ROUND((P115*'Criteria &amp; Scoring'!$B$5+Q115*'Criteria &amp; Scoring'!$B$6+R115*'Criteria &amp; Scoring'!$B$7+S115*'Criteria &amp; Scoring'!$B$8+T115*'Criteria &amp; Scoring'!$B$9+U115*'Criteria &amp; Scoring'!$B$10+V115*'Criteria &amp; Scoring'!$B$11)/SUM('Criteria &amp; Scoring'!$B$5:$B$11),2)</x:f>
        <x:v>4.26</x:v>
      </x:c>
      <x:c r="AF115" s="32" t="n">
        <x:f>ROUND((W115*'Criteria &amp; Scoring'!$B$5+X115*'Criteria &amp; Scoring'!$B$6+Y115*'Criteria &amp; Scoring'!$B$7+Z115*'Criteria &amp; Scoring'!$B$8+AA115*'Criteria &amp; Scoring'!$B$9+AB115*'Criteria &amp; Scoring'!$B$10+AC115*'Criteria &amp; Scoring'!$B$11)/SUM('Criteria &amp; Scoring'!$B$5:$B$11),2)</x:f>
        <x:v>4.3</x:v>
      </x:c>
      <x:c r="AG115" s="32" t="str">
        <x:f>IF(LARGE(AD115:AF115,1)-LARGE(AD115:AF115,2)&lt;0.15,"Context-dependent tie",SUBSTITUTE(INDEX($AD$4:$AF$4,1,MATCH(MAX(AD115:AF115),AD115:AF115,0))," Overall",""))</x:f>
        <x:v>Context-dependent tie</x:v>
      </x:c>
      <x:c r="AH115" s="32" t="str">
        <x:f>IF(AG115="AWS","Start with AWS when infrastructure breadth, native integration and operational maturity are the main differentiators.",IF(AG115="Azure","Start with Azure when Microsoft identity, security, data, productivity or hybrid integration reduces delivery effort.",IF(AG115="GCP","Start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15" s="32" t="str">
        <x:v>Medium</x:v>
      </x:c>
      <x:c r="AJ115" s="32" t="str">
        <x:v>2026-07-12</x:v>
      </x:c>
    </x:row>
    <x:row r="116">
      <x:c r="A116" s="32" t="str">
        <x:v>Identity-aware application access</x:v>
      </x:c>
      <x:c r="B116" s="32" t="str">
        <x:v>03 Network &amp; Connectivity</x:v>
      </x:c>
      <x:c r="C116" s="32" t="str">
        <x:v>Service Networking &amp; Private Access</x:v>
      </x:c>
      <x:c r="D116" s="32" t="str">
        <x:v>Workload</x:v>
      </x:c>
      <x:c r="E116" s="32" t="str">
        <x:v>What business outcome, scale, control, integration and operating model justify choosing identity-aware application access?</x:v>
      </x:c>
      <x:c r="F116" s="32" t="str">
        <x:v>AWS Verified Access</x:v>
      </x:c>
      <x:c r="G116" s="32" t="str">
        <x:v>Microsoft Entra Private Access
Azure Application Proxy</x:v>
      </x:c>
      <x:c r="H116" s="32" t="str">
        <x:v>Identity-Aware Proxy</x:v>
      </x:c>
      <x:c r="I116" s="32" t="n">
        <x:v>4</x:v>
      </x:c>
      <x:c r="J116" s="32" t="n">
        <x:v>3</x:v>
      </x:c>
      <x:c r="K116" s="32" t="n">
        <x:v>4.5</x:v>
      </x:c>
      <x:c r="L116" s="32" t="n">
        <x:v>3.9</x:v>
      </x:c>
      <x:c r="M116" s="32" t="n">
        <x:v>3.5</x:v>
      </x:c>
      <x:c r="N116" s="32" t="n">
        <x:v>4.7</x:v>
      </x:c>
      <x:c r="O116" s="32" t="n">
        <x:v>3.7</x:v>
      </x:c>
      <x:c r="P116" s="32" t="n">
        <x:v>3.9</x:v>
      </x:c>
      <x:c r="Q116" s="32" t="n">
        <x:v>3.3</x:v>
      </x:c>
      <x:c r="R116" s="32" t="n">
        <x:v>4.7</x:v>
      </x:c>
      <x:c r="S116" s="32" t="n">
        <x:v>3.8</x:v>
      </x:c>
      <x:c r="T116" s="32" t="n">
        <x:v>3.5</x:v>
      </x:c>
      <x:c r="U116" s="32" t="n">
        <x:v>4.5</x:v>
      </x:c>
      <x:c r="V116" s="32" t="n">
        <x:v>3.7</x:v>
      </x:c>
      <x:c r="W116" s="32" t="n">
        <x:v>4</x:v>
      </x:c>
      <x:c r="X116" s="32" t="n">
        <x:v>3</x:v>
      </x:c>
      <x:c r="Y116" s="32" t="n">
        <x:v>4.4</x:v>
      </x:c>
      <x:c r="Z116" s="32" t="n">
        <x:v>4</x:v>
      </x:c>
      <x:c r="AA116" s="32" t="n">
        <x:v>3.5</x:v>
      </x:c>
      <x:c r="AB116" s="32" t="n">
        <x:v>4.3</x:v>
      </x:c>
      <x:c r="AC116" s="32" t="n">
        <x:v>3.9</x:v>
      </x:c>
      <x:c r="AD116" s="32" t="n">
        <x:f>ROUND((I116*'Criteria &amp; Scoring'!$B$5+J116*'Criteria &amp; Scoring'!$B$6+K116*'Criteria &amp; Scoring'!$B$7+L116*'Criteria &amp; Scoring'!$B$8+M116*'Criteria &amp; Scoring'!$B$9+N116*'Criteria &amp; Scoring'!$B$10+O116*'Criteria &amp; Scoring'!$B$11)/SUM('Criteria &amp; Scoring'!$B$5:$B$11),2)</x:f>
        <x:v>3.87</x:v>
      </x:c>
      <x:c r="AE116" s="32" t="n">
        <x:f>ROUND((P116*'Criteria &amp; Scoring'!$B$5+Q116*'Criteria &amp; Scoring'!$B$6+R116*'Criteria &amp; Scoring'!$B$7+S116*'Criteria &amp; Scoring'!$B$8+T116*'Criteria &amp; Scoring'!$B$9+U116*'Criteria &amp; Scoring'!$B$10+V116*'Criteria &amp; Scoring'!$B$11)/SUM('Criteria &amp; Scoring'!$B$5:$B$11),2)</x:f>
        <x:v>3.9</x:v>
      </x:c>
      <x:c r="AF116" s="32" t="n">
        <x:f>ROUND((W116*'Criteria &amp; Scoring'!$B$5+X116*'Criteria &amp; Scoring'!$B$6+Y116*'Criteria &amp; Scoring'!$B$7+Z116*'Criteria &amp; Scoring'!$B$8+AA116*'Criteria &amp; Scoring'!$B$9+AB116*'Criteria &amp; Scoring'!$B$10+AC116*'Criteria &amp; Scoring'!$B$11)/SUM('Criteria &amp; Scoring'!$B$5:$B$11),2)</x:f>
        <x:v>3.84</x:v>
      </x:c>
      <x:c r="AG116" s="32" t="str">
        <x:f>IF(LARGE(AD116:AF116,1)-LARGE(AD116:AF116,2)&lt;0.15,"Context-dependent tie",SUBSTITUTE(INDEX($AD$4:$AF$4,1,MATCH(MAX(AD116:AF116),AD116:AF116,0))," Overall",""))</x:f>
        <x:v>Context-dependent tie</x:v>
      </x:c>
      <x:c r="AH116" s="32" t="str">
        <x:f>IF(AG116="AWS","Start with AWS when infrastructure breadth, native integration and operational maturity are the main differentiators.",IF(AG116="Azure","Start with Azure when Microsoft identity, security, data, productivity or hybrid integration reduces delivery effort.",IF(AG116="GCP","Start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16" s="32" t="str">
        <x:v>Medium</x:v>
      </x:c>
      <x:c r="AJ116" s="32" t="str">
        <x:v>2026-07-12</x:v>
      </x:c>
    </x:row>
    <x:row r="117">
      <x:c r="A117" s="32" t="str">
        <x:v>Private 5G and edge networking</x:v>
      </x:c>
      <x:c r="B117" s="32" t="str">
        <x:v>03 Network &amp; Connectivity</x:v>
      </x:c>
      <x:c r="C117" s="32" t="str">
        <x:v>Virtual Networks &amp; Segmentation</x:v>
      </x:c>
      <x:c r="D117" s="32" t="str">
        <x:v>Workload</x:v>
      </x:c>
      <x:c r="E117" s="32" t="str">
        <x:v>What business outcome, scale, control, integration and operating model justify choosing private 5g and edge networking?</x:v>
      </x:c>
      <x:c r="F117" s="32" t="str">
        <x:v>AWS Private 5G
Integrated Private Wireless on AWS</x:v>
      </x:c>
      <x:c r="G117" s="32" t="str">
        <x:v>Azure Private 5G Core</x:v>
      </x:c>
      <x:c r="H117" s="32" t="str">
        <x:v>Google Distributed Cloud Edge telecom solutions</x:v>
      </x:c>
      <x:c r="I117" s="32" t="n">
        <x:v>3.4</x:v>
      </x:c>
      <x:c r="J117" s="32" t="n">
        <x:v>1.9</x:v>
      </x:c>
      <x:c r="K117" s="32" t="n">
        <x:v>4.2</x:v>
      </x:c>
      <x:c r="L117" s="32" t="n">
        <x:v>3.8</x:v>
      </x:c>
      <x:c r="M117" s="32" t="n">
        <x:v>3.5</x:v>
      </x:c>
      <x:c r="N117" s="32" t="n">
        <x:v>4.3</x:v>
      </x:c>
      <x:c r="O117" s="32" t="n">
        <x:v>3.6</x:v>
      </x:c>
      <x:c r="P117" s="32" t="n">
        <x:v>3.5</x:v>
      </x:c>
      <x:c r="Q117" s="32" t="n">
        <x:v>2</x:v>
      </x:c>
      <x:c r="R117" s="32" t="n">
        <x:v>4.2</x:v>
      </x:c>
      <x:c r="S117" s="32" t="n">
        <x:v>3.9</x:v>
      </x:c>
      <x:c r="T117" s="32" t="n">
        <x:v>3.5</x:v>
      </x:c>
      <x:c r="U117" s="32" t="n">
        <x:v>4.2</x:v>
      </x:c>
      <x:c r="V117" s="32" t="n">
        <x:v>3.8</x:v>
      </x:c>
      <x:c r="W117" s="32" t="n">
        <x:v>3.5</x:v>
      </x:c>
      <x:c r="X117" s="32" t="n">
        <x:v>2</x:v>
      </x:c>
      <x:c r="Y117" s="32" t="n">
        <x:v>4.2</x:v>
      </x:c>
      <x:c r="Z117" s="32" t="n">
        <x:v>4</x:v>
      </x:c>
      <x:c r="AA117" s="32" t="n">
        <x:v>3.5</x:v>
      </x:c>
      <x:c r="AB117" s="32" t="n">
        <x:v>4.1</x:v>
      </x:c>
      <x:c r="AC117" s="32" t="n">
        <x:v>3.9</x:v>
      </x:c>
      <x:c r="AD117" s="32" t="n">
        <x:f>ROUND((I117*'Criteria &amp; Scoring'!$B$5+J117*'Criteria &amp; Scoring'!$B$6+K117*'Criteria &amp; Scoring'!$B$7+L117*'Criteria &amp; Scoring'!$B$8+M117*'Criteria &amp; Scoring'!$B$9+N117*'Criteria &amp; Scoring'!$B$10+O117*'Criteria &amp; Scoring'!$B$11)/SUM('Criteria &amp; Scoring'!$B$5:$B$11),2)</x:f>
        <x:v>3.39</x:v>
      </x:c>
      <x:c r="AE117" s="32" t="n">
        <x:f>ROUND((P117*'Criteria &amp; Scoring'!$B$5+Q117*'Criteria &amp; Scoring'!$B$6+R117*'Criteria &amp; Scoring'!$B$7+S117*'Criteria &amp; Scoring'!$B$8+T117*'Criteria &amp; Scoring'!$B$9+U117*'Criteria &amp; Scoring'!$B$10+V117*'Criteria &amp; Scoring'!$B$11)/SUM('Criteria &amp; Scoring'!$B$5:$B$11),2)</x:f>
        <x:v>3.45</x:v>
      </x:c>
      <x:c r="AF117" s="32" t="n">
        <x:f>ROUND((W117*'Criteria &amp; Scoring'!$B$5+X117*'Criteria &amp; Scoring'!$B$6+Y117*'Criteria &amp; Scoring'!$B$7+Z117*'Criteria &amp; Scoring'!$B$8+AA117*'Criteria &amp; Scoring'!$B$9+AB117*'Criteria &amp; Scoring'!$B$10+AC117*'Criteria &amp; Scoring'!$B$11)/SUM('Criteria &amp; Scoring'!$B$5:$B$11),2)</x:f>
        <x:v>3.46</x:v>
      </x:c>
      <x:c r="AG117" s="32" t="str">
        <x:f>IF(LARGE(AD117:AF117,1)-LARGE(AD117:AF117,2)&lt;0.15,"Context-dependent tie",SUBSTITUTE(INDEX($AD$4:$AF$4,1,MATCH(MAX(AD117:AF117),AD117:AF117,0))," Overall",""))</x:f>
        <x:v>Context-dependent tie</x:v>
      </x:c>
      <x:c r="AH117" s="32" t="str">
        <x:f>IF(AG117="AWS","Start with AWS when infrastructure breadth, native integration and operational maturity are the main differentiators.",IF(AG117="Azure","Start with Azure when Microsoft identity, security, data, productivity or hybrid integration reduces delivery effort.",IF(AG117="GCP","Start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17" s="32" t="str">
        <x:v>Low</x:v>
      </x:c>
      <x:c r="AJ117" s="32" t="str">
        <x:v>2026-07-12</x:v>
      </x:c>
    </x:row>
    <x:row r="118">
      <x:c r="A118" s="32" t="str">
        <x:v>Identity and access management</x:v>
      </x:c>
      <x:c r="B118" s="32" t="str">
        <x:v>02 Security, Identity &amp; Compliance</x:v>
      </x:c>
      <x:c r="C118" s="32" t="str">
        <x:v>Identity &amp; Access</x:v>
      </x:c>
      <x:c r="D118" s="32" t="str">
        <x:v>Foundation</x:v>
      </x:c>
      <x:c r="E118" s="32" t="str">
        <x:v>Who or what needs access, at which scope, under which identity lifecycle and least-privilege controls?</x:v>
      </x:c>
      <x:c r="F118" s="32" t="str">
        <x:v>AWS Identity and Access Management</x:v>
      </x:c>
      <x:c r="G118" s="32" t="str">
        <x:v>Microsoft Entra ID
Azure RBAC</x:v>
      </x:c>
      <x:c r="H118" s="32" t="str">
        <x:v>Cloud Identity
Identity and Access Management</x:v>
      </x:c>
      <x:c r="I118" s="32" t="n">
        <x:v>4</x:v>
      </x:c>
      <x:c r="J118" s="32" t="n">
        <x:v>3</x:v>
      </x:c>
      <x:c r="K118" s="32" t="n">
        <x:v>4.3</x:v>
      </x:c>
      <x:c r="L118" s="32" t="n">
        <x:v>3.9</x:v>
      </x:c>
      <x:c r="M118" s="32" t="n">
        <x:v>3.5</x:v>
      </x:c>
      <x:c r="N118" s="32" t="n">
        <x:v>4.5</x:v>
      </x:c>
      <x:c r="O118" s="32" t="n">
        <x:v>3.7</x:v>
      </x:c>
      <x:c r="P118" s="32" t="n">
        <x:v>4.3</x:v>
      </x:c>
      <x:c r="Q118" s="32" t="n">
        <x:v>3.3</x:v>
      </x:c>
      <x:c r="R118" s="32" t="n">
        <x:v>4.7</x:v>
      </x:c>
      <x:c r="S118" s="32" t="n">
        <x:v>3.8</x:v>
      </x:c>
      <x:c r="T118" s="32" t="n">
        <x:v>3.5</x:v>
      </x:c>
      <x:c r="U118" s="32" t="n">
        <x:v>4.5</x:v>
      </x:c>
      <x:c r="V118" s="32" t="n">
        <x:v>3.7</x:v>
      </x:c>
      <x:c r="W118" s="32" t="n">
        <x:v>3.9</x:v>
      </x:c>
      <x:c r="X118" s="32" t="n">
        <x:v>2.9</x:v>
      </x:c>
      <x:c r="Y118" s="32" t="n">
        <x:v>4.1</x:v>
      </x:c>
      <x:c r="Z118" s="32" t="n">
        <x:v>3.9</x:v>
      </x:c>
      <x:c r="AA118" s="32" t="n">
        <x:v>3.5</x:v>
      </x:c>
      <x:c r="AB118" s="32" t="n">
        <x:v>4.2</x:v>
      </x:c>
      <x:c r="AC118" s="32" t="n">
        <x:v>3.8</x:v>
      </x:c>
      <x:c r="AD118" s="32" t="n">
        <x:f>ROUND((I118*'Criteria &amp; Scoring'!$B$5+J118*'Criteria &amp; Scoring'!$B$6+K118*'Criteria &amp; Scoring'!$B$7+L118*'Criteria &amp; Scoring'!$B$8+M118*'Criteria &amp; Scoring'!$B$9+N118*'Criteria &amp; Scoring'!$B$10+O118*'Criteria &amp; Scoring'!$B$11)/SUM('Criteria &amp; Scoring'!$B$5:$B$11),2)</x:f>
        <x:v>3.82</x:v>
      </x:c>
      <x:c r="AE118" s="32" t="n">
        <x:f>ROUND((P118*'Criteria &amp; Scoring'!$B$5+Q118*'Criteria &amp; Scoring'!$B$6+R118*'Criteria &amp; Scoring'!$B$7+S118*'Criteria &amp; Scoring'!$B$8+T118*'Criteria &amp; Scoring'!$B$9+U118*'Criteria &amp; Scoring'!$B$10+V118*'Criteria &amp; Scoring'!$B$11)/SUM('Criteria &amp; Scoring'!$B$5:$B$11),2)</x:f>
        <x:v>4</x:v>
      </x:c>
      <x:c r="AF118" s="32" t="n">
        <x:f>ROUND((W118*'Criteria &amp; Scoring'!$B$5+X118*'Criteria &amp; Scoring'!$B$6+Y118*'Criteria &amp; Scoring'!$B$7+Z118*'Criteria &amp; Scoring'!$B$8+AA118*'Criteria &amp; Scoring'!$B$9+AB118*'Criteria &amp; Scoring'!$B$10+AC118*'Criteria &amp; Scoring'!$B$11)/SUM('Criteria &amp; Scoring'!$B$5:$B$11),2)</x:f>
        <x:v>3.72</x:v>
      </x:c>
      <x:c r="AG118" s="32" t="str">
        <x:f>IF(LARGE(AD118:AF118,1)-LARGE(AD118:AF118,2)&lt;0.15,"Context-dependent tie",SUBSTITUTE(INDEX($AD$4:$AF$4,1,MATCH(MAX(AD118:AF118),AD118:AF118,0))," Overall",""))</x:f>
        <x:v>Azure</x:v>
      </x:c>
      <x:c r="AH118" s="32" t="str">
        <x:f>IF(AG118="AWS","Start with AWS when infrastructure breadth, native integration and operational maturity are the main differentiators.",IF(AG118="Azure","Start with Azure when Microsoft identity, security, data, productivity or hybrid integration reduces delivery effort.",IF(AG118="GCP","Start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18" s="32" t="str">
        <x:v>Medium</x:v>
      </x:c>
      <x:c r="AJ118" s="32" t="str">
        <x:v>2026-07-12</x:v>
      </x:c>
    </x:row>
    <x:row r="119">
      <x:c r="A119" s="32" t="str">
        <x:v>Customer identity platform</x:v>
      </x:c>
      <x:c r="B119" s="32" t="str">
        <x:v>02 Security, Identity &amp; Compliance</x:v>
      </x:c>
      <x:c r="C119" s="32" t="str">
        <x:v>Identity &amp; Access</x:v>
      </x:c>
      <x:c r="D119" s="32" t="str">
        <x:v>Platform</x:v>
      </x:c>
      <x:c r="E119" s="32" t="str">
        <x:v>Who or what needs access, at which scope, under which identity lifecycle and least-privilege controls?</x:v>
      </x:c>
      <x:c r="F119" s="32" t="str">
        <x:v>Amazon Cognito</x:v>
      </x:c>
      <x:c r="G119" s="32" t="str">
        <x:v>Microsoft Entra External ID</x:v>
      </x:c>
      <x:c r="H119" s="32" t="str">
        <x:v>Identity Platform</x:v>
      </x:c>
      <x:c r="I119" s="32" t="n">
        <x:v>4.2</x:v>
      </x:c>
      <x:c r="J119" s="32" t="n">
        <x:v>3</x:v>
      </x:c>
      <x:c r="K119" s="32" t="n">
        <x:v>4.4</x:v>
      </x:c>
      <x:c r="L119" s="32" t="n">
        <x:v>3.9</x:v>
      </x:c>
      <x:c r="M119" s="32" t="n">
        <x:v>3.5</x:v>
      </x:c>
      <x:c r="N119" s="32" t="n">
        <x:v>4.6</x:v>
      </x:c>
      <x:c r="O119" s="32" t="n">
        <x:v>3.7</x:v>
      </x:c>
      <x:c r="P119" s="32" t="n">
        <x:v>4.7</x:v>
      </x:c>
      <x:c r="Q119" s="32" t="n">
        <x:v>3.4</x:v>
      </x:c>
      <x:c r="R119" s="32" t="n">
        <x:v>4.8</x:v>
      </x:c>
      <x:c r="S119" s="32" t="n">
        <x:v>3.9</x:v>
      </x:c>
      <x:c r="T119" s="32" t="n">
        <x:v>3.5</x:v>
      </x:c>
      <x:c r="U119" s="32" t="n">
        <x:v>4.7</x:v>
      </x:c>
      <x:c r="V119" s="32" t="n">
        <x:v>3.8</x:v>
      </x:c>
      <x:c r="W119" s="32" t="n">
        <x:v>4.2</x:v>
      </x:c>
      <x:c r="X119" s="32" t="n">
        <x:v>3</x:v>
      </x:c>
      <x:c r="Y119" s="32" t="n">
        <x:v>4.2</x:v>
      </x:c>
      <x:c r="Z119" s="32" t="n">
        <x:v>4</x:v>
      </x:c>
      <x:c r="AA119" s="32" t="n">
        <x:v>3.5</x:v>
      </x:c>
      <x:c r="AB119" s="32" t="n">
        <x:v>4.4</x:v>
      </x:c>
      <x:c r="AC119" s="32" t="n">
        <x:v>3.9</x:v>
      </x:c>
      <x:c r="AD119" s="32" t="n">
        <x:f>ROUND((I119*'Criteria &amp; Scoring'!$B$5+J119*'Criteria &amp; Scoring'!$B$6+K119*'Criteria &amp; Scoring'!$B$7+L119*'Criteria &amp; Scoring'!$B$8+M119*'Criteria &amp; Scoring'!$B$9+N119*'Criteria &amp; Scoring'!$B$10+O119*'Criteria &amp; Scoring'!$B$11)/SUM('Criteria &amp; Scoring'!$B$5:$B$11),2)</x:f>
        <x:v>3.89</x:v>
      </x:c>
      <x:c r="AE119" s="32" t="n">
        <x:f>ROUND((P119*'Criteria &amp; Scoring'!$B$5+Q119*'Criteria &amp; Scoring'!$B$6+R119*'Criteria &amp; Scoring'!$B$7+S119*'Criteria &amp; Scoring'!$B$8+T119*'Criteria &amp; Scoring'!$B$9+U119*'Criteria &amp; Scoring'!$B$10+V119*'Criteria &amp; Scoring'!$B$11)/SUM('Criteria &amp; Scoring'!$B$5:$B$11),2)</x:f>
        <x:v>4.17</x:v>
      </x:c>
      <x:c r="AF119" s="32" t="n">
        <x:f>ROUND((W119*'Criteria &amp; Scoring'!$B$5+X119*'Criteria &amp; Scoring'!$B$6+Y119*'Criteria &amp; Scoring'!$B$7+Z119*'Criteria &amp; Scoring'!$B$8+AA119*'Criteria &amp; Scoring'!$B$9+AB119*'Criteria &amp; Scoring'!$B$10+AC119*'Criteria &amp; Scoring'!$B$11)/SUM('Criteria &amp; Scoring'!$B$5:$B$11),2)</x:f>
        <x:v>3.87</x:v>
      </x:c>
      <x:c r="AG119" s="32" t="str">
        <x:f>IF(LARGE(AD119:AF119,1)-LARGE(AD119:AF119,2)&lt;0.15,"Context-dependent tie",SUBSTITUTE(INDEX($AD$4:$AF$4,1,MATCH(MAX(AD119:AF119),AD119:AF119,0))," Overall",""))</x:f>
        <x:v>Azure</x:v>
      </x:c>
      <x:c r="AH119" s="32" t="str">
        <x:f>IF(AG119="AWS","Start with AWS when infrastructure breadth, native integration and operational maturity are the main differentiators.",IF(AG119="Azure","Start with Azure when Microsoft identity, security, data, productivity or hybrid integration reduces delivery effort.",IF(AG119="GCP","Start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19" s="32" t="str">
        <x:v>High</x:v>
      </x:c>
      <x:c r="AJ119" s="32" t="str">
        <x:v>2026-07-12</x:v>
      </x:c>
    </x:row>
    <x:row r="120">
      <x:c r="A120" s="32" t="str">
        <x:v>Managed directory service</x:v>
      </x:c>
      <x:c r="B120" s="32" t="str">
        <x:v>02 Security, Identity &amp; Compliance</x:v>
      </x:c>
      <x:c r="C120" s="32" t="str">
        <x:v>Identity &amp; Access</x:v>
      </x:c>
      <x:c r="D120" s="32" t="str">
        <x:v>Workload</x:v>
      </x:c>
      <x:c r="E120" s="32" t="str">
        <x:v>Who or what needs access, at which scope, under which identity lifecycle and least-privilege controls?</x:v>
      </x:c>
      <x:c r="F120" s="32" t="str">
        <x:v>AWS Directory Service</x:v>
      </x:c>
      <x:c r="G120" s="32" t="str">
        <x:v>Microsoft Entra Domain Services</x:v>
      </x:c>
      <x:c r="H120" s="32" t="str">
        <x:v>Managed Microsoft AD</x:v>
      </x:c>
      <x:c r="I120" s="32" t="n">
        <x:v>4.2</x:v>
      </x:c>
      <x:c r="J120" s="32" t="n">
        <x:v>3</x:v>
      </x:c>
      <x:c r="K120" s="32" t="n">
        <x:v>4.4</x:v>
      </x:c>
      <x:c r="L120" s="32" t="n">
        <x:v>3.9</x:v>
      </x:c>
      <x:c r="M120" s="32" t="n">
        <x:v>3.5</x:v>
      </x:c>
      <x:c r="N120" s="32" t="n">
        <x:v>4.6</x:v>
      </x:c>
      <x:c r="O120" s="32" t="n">
        <x:v>3.7</x:v>
      </x:c>
      <x:c r="P120" s="32" t="n">
        <x:v>4.7</x:v>
      </x:c>
      <x:c r="Q120" s="32" t="n">
        <x:v>3.4</x:v>
      </x:c>
      <x:c r="R120" s="32" t="n">
        <x:v>4.8</x:v>
      </x:c>
      <x:c r="S120" s="32" t="n">
        <x:v>3.9</x:v>
      </x:c>
      <x:c r="T120" s="32" t="n">
        <x:v>3.5</x:v>
      </x:c>
      <x:c r="U120" s="32" t="n">
        <x:v>4.7</x:v>
      </x:c>
      <x:c r="V120" s="32" t="n">
        <x:v>3.8</x:v>
      </x:c>
      <x:c r="W120" s="32" t="n">
        <x:v>4.2</x:v>
      </x:c>
      <x:c r="X120" s="32" t="n">
        <x:v>3</x:v>
      </x:c>
      <x:c r="Y120" s="32" t="n">
        <x:v>4.2</x:v>
      </x:c>
      <x:c r="Z120" s="32" t="n">
        <x:v>4</x:v>
      </x:c>
      <x:c r="AA120" s="32" t="n">
        <x:v>3.5</x:v>
      </x:c>
      <x:c r="AB120" s="32" t="n">
        <x:v>4.4</x:v>
      </x:c>
      <x:c r="AC120" s="32" t="n">
        <x:v>3.9</x:v>
      </x:c>
      <x:c r="AD120" s="32" t="n">
        <x:f>ROUND((I120*'Criteria &amp; Scoring'!$B$5+J120*'Criteria &amp; Scoring'!$B$6+K120*'Criteria &amp; Scoring'!$B$7+L120*'Criteria &amp; Scoring'!$B$8+M120*'Criteria &amp; Scoring'!$B$9+N120*'Criteria &amp; Scoring'!$B$10+O120*'Criteria &amp; Scoring'!$B$11)/SUM('Criteria &amp; Scoring'!$B$5:$B$11),2)</x:f>
        <x:v>3.89</x:v>
      </x:c>
      <x:c r="AE120" s="32" t="n">
        <x:f>ROUND((P120*'Criteria &amp; Scoring'!$B$5+Q120*'Criteria &amp; Scoring'!$B$6+R120*'Criteria &amp; Scoring'!$B$7+S120*'Criteria &amp; Scoring'!$B$8+T120*'Criteria &amp; Scoring'!$B$9+U120*'Criteria &amp; Scoring'!$B$10+V120*'Criteria &amp; Scoring'!$B$11)/SUM('Criteria &amp; Scoring'!$B$5:$B$11),2)</x:f>
        <x:v>4.17</x:v>
      </x:c>
      <x:c r="AF120" s="32" t="n">
        <x:f>ROUND((W120*'Criteria &amp; Scoring'!$B$5+X120*'Criteria &amp; Scoring'!$B$6+Y120*'Criteria &amp; Scoring'!$B$7+Z120*'Criteria &amp; Scoring'!$B$8+AA120*'Criteria &amp; Scoring'!$B$9+AB120*'Criteria &amp; Scoring'!$B$10+AC120*'Criteria &amp; Scoring'!$B$11)/SUM('Criteria &amp; Scoring'!$B$5:$B$11),2)</x:f>
        <x:v>3.87</x:v>
      </x:c>
      <x:c r="AG120" s="32" t="str">
        <x:f>IF(LARGE(AD120:AF120,1)-LARGE(AD120:AF120,2)&lt;0.15,"Context-dependent tie",SUBSTITUTE(INDEX($AD$4:$AF$4,1,MATCH(MAX(AD120:AF120),AD120:AF120,0))," Overall",""))</x:f>
        <x:v>Azure</x:v>
      </x:c>
      <x:c r="AH120" s="32" t="str">
        <x:f>IF(AG120="AWS","Start with AWS when infrastructure breadth, native integration and operational maturity are the main differentiators.",IF(AG120="Azure","Start with Azure when Microsoft identity, security, data, productivity or hybrid integration reduces delivery effort.",IF(AG120="GCP","Start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20" s="32" t="str">
        <x:v>High</x:v>
      </x:c>
      <x:c r="AJ120" s="32" t="str">
        <x:v>2026-07-12</x:v>
      </x:c>
    </x:row>
    <x:row r="121">
      <x:c r="A121" s="32" t="str">
        <x:v>Fine-grained application authorisation</x:v>
      </x:c>
      <x:c r="B121" s="32" t="str">
        <x:v>02 Security, Identity &amp; Compliance</x:v>
      </x:c>
      <x:c r="C121" s="32" t="str">
        <x:v>Identity &amp; Access</x:v>
      </x:c>
      <x:c r="D121" s="32" t="str">
        <x:v>Workload</x:v>
      </x:c>
      <x:c r="E121" s="32" t="str">
        <x:v>Who or what needs access, at which scope, under which identity lifecycle and least-privilege controls?</x:v>
      </x:c>
      <x:c r="F121" s="32" t="str">
        <x:v>Amazon Verified Permissions</x:v>
      </x:c>
      <x:c r="G121" s="32" t="str">
        <x:v>Microsoft Entra ID Governance
Azure App Configuration / custom policy engines</x:v>
      </x:c>
      <x:c r="H121" s="32" t="str">
        <x:v>IAM Conditions
Policy Intelligence</x:v>
      </x:c>
      <x:c r="I121" s="32" t="n">
        <x:v>3.5</x:v>
      </x:c>
      <x:c r="J121" s="32" t="n">
        <x:v>3</x:v>
      </x:c>
      <x:c r="K121" s="32" t="n">
        <x:v>4.1</x:v>
      </x:c>
      <x:c r="L121" s="32" t="n">
        <x:v>3.9</x:v>
      </x:c>
      <x:c r="M121" s="32" t="n">
        <x:v>3.5</x:v>
      </x:c>
      <x:c r="N121" s="32" t="n">
        <x:v>4.3</x:v>
      </x:c>
      <x:c r="O121" s="32" t="n">
        <x:v>3.7</x:v>
      </x:c>
      <x:c r="P121" s="32" t="n">
        <x:v>3.9</x:v>
      </x:c>
      <x:c r="Q121" s="32" t="n">
        <x:v>3.3</x:v>
      </x:c>
      <x:c r="R121" s="32" t="n">
        <x:v>4.4</x:v>
      </x:c>
      <x:c r="S121" s="32" t="n">
        <x:v>3.8</x:v>
      </x:c>
      <x:c r="T121" s="32" t="n">
        <x:v>3.5</x:v>
      </x:c>
      <x:c r="U121" s="32" t="n">
        <x:v>4.3</x:v>
      </x:c>
      <x:c r="V121" s="32" t="n">
        <x:v>3.7</x:v>
      </x:c>
      <x:c r="W121" s="32" t="n">
        <x:v>3.4</x:v>
      </x:c>
      <x:c r="X121" s="32" t="n">
        <x:v>2.9</x:v>
      </x:c>
      <x:c r="Y121" s="32" t="n">
        <x:v>4.1</x:v>
      </x:c>
      <x:c r="Z121" s="32" t="n">
        <x:v>3.9</x:v>
      </x:c>
      <x:c r="AA121" s="32" t="n">
        <x:v>3.5</x:v>
      </x:c>
      <x:c r="AB121" s="32" t="n">
        <x:v>4</x:v>
      </x:c>
      <x:c r="AC121" s="32" t="n">
        <x:v>3.8</x:v>
      </x:c>
      <x:c r="AD121" s="32" t="n">
        <x:f>ROUND((I121*'Criteria &amp; Scoring'!$B$5+J121*'Criteria &amp; Scoring'!$B$6+K121*'Criteria &amp; Scoring'!$B$7+L121*'Criteria &amp; Scoring'!$B$8+M121*'Criteria &amp; Scoring'!$B$9+N121*'Criteria &amp; Scoring'!$B$10+O121*'Criteria &amp; Scoring'!$B$11)/SUM('Criteria &amp; Scoring'!$B$5:$B$11),2)</x:f>
        <x:v>3.64</x:v>
      </x:c>
      <x:c r="AE121" s="32" t="n">
        <x:f>ROUND((P121*'Criteria &amp; Scoring'!$B$5+Q121*'Criteria &amp; Scoring'!$B$6+R121*'Criteria &amp; Scoring'!$B$7+S121*'Criteria &amp; Scoring'!$B$8+T121*'Criteria &amp; Scoring'!$B$9+U121*'Criteria &amp; Scoring'!$B$10+V121*'Criteria &amp; Scoring'!$B$11)/SUM('Criteria &amp; Scoring'!$B$5:$B$11),2)</x:f>
        <x:v>3.83</x:v>
      </x:c>
      <x:c r="AF121" s="32" t="n">
        <x:f>ROUND((W121*'Criteria &amp; Scoring'!$B$5+X121*'Criteria &amp; Scoring'!$B$6+Y121*'Criteria &amp; Scoring'!$B$7+Z121*'Criteria &amp; Scoring'!$B$8+AA121*'Criteria &amp; Scoring'!$B$9+AB121*'Criteria &amp; Scoring'!$B$10+AC121*'Criteria &amp; Scoring'!$B$11)/SUM('Criteria &amp; Scoring'!$B$5:$B$11),2)</x:f>
        <x:v>3.57</x:v>
      </x:c>
      <x:c r="AG121" s="32" t="str">
        <x:f>IF(LARGE(AD121:AF121,1)-LARGE(AD121:AF121,2)&lt;0.15,"Context-dependent tie",SUBSTITUTE(INDEX($AD$4:$AF$4,1,MATCH(MAX(AD121:AF121),AD121:AF121,0))," Overall",""))</x:f>
        <x:v>Azure</x:v>
      </x:c>
      <x:c r="AH121" s="32" t="str">
        <x:f>IF(AG121="AWS","Start with AWS when infrastructure breadth, native integration and operational maturity are the main differentiators.",IF(AG121="Azure","Start with Azure when Microsoft identity, security, data, productivity or hybrid integration reduces delivery effort.",IF(AG121="GCP","Start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21" s="32" t="str">
        <x:v>Low</x:v>
      </x:c>
      <x:c r="AJ121" s="32" t="str">
        <x:v>2026-07-12</x:v>
      </x:c>
    </x:row>
    <x:row r="122">
      <x:c r="A122" s="32" t="str">
        <x:v>Secrets management</x:v>
      </x:c>
      <x:c r="B122" s="32" t="str">
        <x:v>02 Security, Identity &amp; Compliance</x:v>
      </x:c>
      <x:c r="C122" s="32" t="str">
        <x:v>Cryptography, Keys &amp; Secrets</x:v>
      </x:c>
      <x:c r="D122" s="32" t="str">
        <x:v>Component</x:v>
      </x:c>
      <x:c r="E122" s="32" t="str">
        <x:v>What business outcome, scale, control, integration and operating model justify choosing secrets management?</x:v>
      </x:c>
      <x:c r="F122" s="32" t="str">
        <x:v>AWS Secrets Manager
Systems Manager Parameter Store</x:v>
      </x:c>
      <x:c r="G122" s="32" t="str">
        <x:v>Azure Key Vault</x:v>
      </x:c>
      <x:c r="H122" s="32" t="str">
        <x:v>Secret Manager</x:v>
      </x:c>
      <x:c r="I122" s="32" t="n">
        <x:v>4</x:v>
      </x:c>
      <x:c r="J122" s="32" t="n">
        <x:v>3.9</x:v>
      </x:c>
      <x:c r="K122" s="32" t="n">
        <x:v>4.3</x:v>
      </x:c>
      <x:c r="L122" s="32" t="n">
        <x:v>3.8</x:v>
      </x:c>
      <x:c r="M122" s="32" t="n">
        <x:v>3.5</x:v>
      </x:c>
      <x:c r="N122" s="32" t="n">
        <x:v>4.5</x:v>
      </x:c>
      <x:c r="O122" s="32" t="n">
        <x:v>3.6</x:v>
      </x:c>
      <x:c r="P122" s="32" t="n">
        <x:v>4.2</x:v>
      </x:c>
      <x:c r="Q122" s="32" t="n">
        <x:v>4</x:v>
      </x:c>
      <x:c r="R122" s="32" t="n">
        <x:v>4.5</x:v>
      </x:c>
      <x:c r="S122" s="32" t="n">
        <x:v>3.9</x:v>
      </x:c>
      <x:c r="T122" s="32" t="n">
        <x:v>3.5</x:v>
      </x:c>
      <x:c r="U122" s="32" t="n">
        <x:v>4.5</x:v>
      </x:c>
      <x:c r="V122" s="32" t="n">
        <x:v>3.8</x:v>
      </x:c>
      <x:c r="W122" s="32" t="n">
        <x:v>4.2</x:v>
      </x:c>
      <x:c r="X122" s="32" t="n">
        <x:v>4</x:v>
      </x:c>
      <x:c r="Y122" s="32" t="n">
        <x:v>4.2</x:v>
      </x:c>
      <x:c r="Z122" s="32" t="n">
        <x:v>4</x:v>
      </x:c>
      <x:c r="AA122" s="32" t="n">
        <x:v>3.5</x:v>
      </x:c>
      <x:c r="AB122" s="32" t="n">
        <x:v>4.4</x:v>
      </x:c>
      <x:c r="AC122" s="32" t="n">
        <x:v>3.9</x:v>
      </x:c>
      <x:c r="AD122" s="32" t="n">
        <x:f>ROUND((I122*'Criteria &amp; Scoring'!$B$5+J122*'Criteria &amp; Scoring'!$B$6+K122*'Criteria &amp; Scoring'!$B$7+L122*'Criteria &amp; Scoring'!$B$8+M122*'Criteria &amp; Scoring'!$B$9+N122*'Criteria &amp; Scoring'!$B$10+O122*'Criteria &amp; Scoring'!$B$11)/SUM('Criteria &amp; Scoring'!$B$5:$B$11),2)</x:f>
        <x:v>3.98</x:v>
      </x:c>
      <x:c r="AE122" s="32" t="n">
        <x:f>ROUND((P122*'Criteria &amp; Scoring'!$B$5+Q122*'Criteria &amp; Scoring'!$B$6+R122*'Criteria &amp; Scoring'!$B$7+S122*'Criteria &amp; Scoring'!$B$8+T122*'Criteria &amp; Scoring'!$B$9+U122*'Criteria &amp; Scoring'!$B$10+V122*'Criteria &amp; Scoring'!$B$11)/SUM('Criteria &amp; Scoring'!$B$5:$B$11),2)</x:f>
        <x:v>4.1</x:v>
      </x:c>
      <x:c r="AF122" s="32" t="n">
        <x:f>ROUND((W122*'Criteria &amp; Scoring'!$B$5+X122*'Criteria &amp; Scoring'!$B$6+Y122*'Criteria &amp; Scoring'!$B$7+Z122*'Criteria &amp; Scoring'!$B$8+AA122*'Criteria &amp; Scoring'!$B$9+AB122*'Criteria &amp; Scoring'!$B$10+AC122*'Criteria &amp; Scoring'!$B$11)/SUM('Criteria &amp; Scoring'!$B$5:$B$11),2)</x:f>
        <x:v>4.07</x:v>
      </x:c>
      <x:c r="AG122" s="32" t="str">
        <x:f>IF(LARGE(AD122:AF122,1)-LARGE(AD122:AF122,2)&lt;0.15,"Context-dependent tie",SUBSTITUTE(INDEX($AD$4:$AF$4,1,MATCH(MAX(AD122:AF122),AD122:AF122,0))," Overall",""))</x:f>
        <x:v>Context-dependent tie</x:v>
      </x:c>
      <x:c r="AH122" s="32" t="str">
        <x:f>IF(AG122="AWS","Start with AWS when infrastructure breadth, native integration and operational maturity are the main differentiators.",IF(AG122="Azure","Start with Azure when Microsoft identity, security, data, productivity or hybrid integration reduces delivery effort.",IF(AG122="GCP","Start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22" s="32" t="str">
        <x:v>High</x:v>
      </x:c>
      <x:c r="AJ122" s="32" t="str">
        <x:v>2026-07-12</x:v>
      </x:c>
    </x:row>
    <x:row r="123">
      <x:c r="A123" s="32" t="str">
        <x:v>Key management service</x:v>
      </x:c>
      <x:c r="B123" s="32" t="str">
        <x:v>02 Security, Identity &amp; Compliance</x:v>
      </x:c>
      <x:c r="C123" s="32" t="str">
        <x:v>Cryptography, Keys &amp; Secrets</x:v>
      </x:c>
      <x:c r="D123" s="32" t="str">
        <x:v>Workload</x:v>
      </x:c>
      <x:c r="E123" s="32" t="str">
        <x:v>What business outcome, scale, control, integration and operating model justify choosing key management service?</x:v>
      </x:c>
      <x:c r="F123" s="32" t="str">
        <x:v>AWS Key Management Service</x:v>
      </x:c>
      <x:c r="G123" s="32" t="str">
        <x:v>Azure Key Vault Managed HSM
Azure Key Vault</x:v>
      </x:c>
      <x:c r="H123" s="32" t="str">
        <x:v>Cloud Key Management Service</x:v>
      </x:c>
      <x:c r="I123" s="32" t="n">
        <x:v>4.2</x:v>
      </x:c>
      <x:c r="J123" s="32" t="n">
        <x:v>3</x:v>
      </x:c>
      <x:c r="K123" s="32" t="n">
        <x:v>4.4</x:v>
      </x:c>
      <x:c r="L123" s="32" t="n">
        <x:v>3.9</x:v>
      </x:c>
      <x:c r="M123" s="32" t="n">
        <x:v>3.5</x:v>
      </x:c>
      <x:c r="N123" s="32" t="n">
        <x:v>4.6</x:v>
      </x:c>
      <x:c r="O123" s="32" t="n">
        <x:v>3.7</x:v>
      </x:c>
      <x:c r="P123" s="32" t="n">
        <x:v>4</x:v>
      </x:c>
      <x:c r="Q123" s="32" t="n">
        <x:v>2.9</x:v>
      </x:c>
      <x:c r="R123" s="32" t="n">
        <x:v>4.5</x:v>
      </x:c>
      <x:c r="S123" s="32" t="n">
        <x:v>3.8</x:v>
      </x:c>
      <x:c r="T123" s="32" t="n">
        <x:v>3.5</x:v>
      </x:c>
      <x:c r="U123" s="32" t="n">
        <x:v>4.4</x:v>
      </x:c>
      <x:c r="V123" s="32" t="n">
        <x:v>3.7</x:v>
      </x:c>
      <x:c r="W123" s="32" t="n">
        <x:v>4.2</x:v>
      </x:c>
      <x:c r="X123" s="32" t="n">
        <x:v>3</x:v>
      </x:c>
      <x:c r="Y123" s="32" t="n">
        <x:v>4.2</x:v>
      </x:c>
      <x:c r="Z123" s="32" t="n">
        <x:v>4</x:v>
      </x:c>
      <x:c r="AA123" s="32" t="n">
        <x:v>3.5</x:v>
      </x:c>
      <x:c r="AB123" s="32" t="n">
        <x:v>4.4</x:v>
      </x:c>
      <x:c r="AC123" s="32" t="n">
        <x:v>3.9</x:v>
      </x:c>
      <x:c r="AD123" s="32" t="n">
        <x:f>ROUND((I123*'Criteria &amp; Scoring'!$B$5+J123*'Criteria &amp; Scoring'!$B$6+K123*'Criteria &amp; Scoring'!$B$7+L123*'Criteria &amp; Scoring'!$B$8+M123*'Criteria &amp; Scoring'!$B$9+N123*'Criteria &amp; Scoring'!$B$10+O123*'Criteria &amp; Scoring'!$B$11)/SUM('Criteria &amp; Scoring'!$B$5:$B$11),2)</x:f>
        <x:v>3.89</x:v>
      </x:c>
      <x:c r="AE123" s="32" t="n">
        <x:f>ROUND((P123*'Criteria &amp; Scoring'!$B$5+Q123*'Criteria &amp; Scoring'!$B$6+R123*'Criteria &amp; Scoring'!$B$7+S123*'Criteria &amp; Scoring'!$B$8+T123*'Criteria &amp; Scoring'!$B$9+U123*'Criteria &amp; Scoring'!$B$10+V123*'Criteria &amp; Scoring'!$B$11)/SUM('Criteria &amp; Scoring'!$B$5:$B$11),2)</x:f>
        <x:v>3.8</x:v>
      </x:c>
      <x:c r="AF123" s="32" t="n">
        <x:f>ROUND((W123*'Criteria &amp; Scoring'!$B$5+X123*'Criteria &amp; Scoring'!$B$6+Y123*'Criteria &amp; Scoring'!$B$7+Z123*'Criteria &amp; Scoring'!$B$8+AA123*'Criteria &amp; Scoring'!$B$9+AB123*'Criteria &amp; Scoring'!$B$10+AC123*'Criteria &amp; Scoring'!$B$11)/SUM('Criteria &amp; Scoring'!$B$5:$B$11),2)</x:f>
        <x:v>3.87</x:v>
      </x:c>
      <x:c r="AG123" s="32" t="str">
        <x:f>IF(LARGE(AD123:AF123,1)-LARGE(AD123:AF123,2)&lt;0.15,"Context-dependent tie",SUBSTITUTE(INDEX($AD$4:$AF$4,1,MATCH(MAX(AD123:AF123),AD123:AF123,0))," Overall",""))</x:f>
        <x:v>Context-dependent tie</x:v>
      </x:c>
      <x:c r="AH123" s="32" t="str">
        <x:f>IF(AG123="AWS","Start with AWS when infrastructure breadth, native integration and operational maturity are the main differentiators.",IF(AG123="Azure","Start with Azure when Microsoft identity, security, data, productivity or hybrid integration reduces delivery effort.",IF(AG123="GCP","Start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23" s="32" t="str">
        <x:v>High</x:v>
      </x:c>
      <x:c r="AJ123" s="32" t="str">
        <x:v>2026-07-12</x:v>
      </x:c>
    </x:row>
    <x:row r="124">
      <x:c r="A124" s="32" t="str">
        <x:v>Dedicated cloud HSM</x:v>
      </x:c>
      <x:c r="B124" s="32" t="str">
        <x:v>02 Security, Identity &amp; Compliance</x:v>
      </x:c>
      <x:c r="C124" s="32" t="str">
        <x:v>Cryptography, Keys &amp; Secrets</x:v>
      </x:c>
      <x:c r="D124" s="32" t="str">
        <x:v>Workload</x:v>
      </x:c>
      <x:c r="E124" s="32" t="str">
        <x:v>What business outcome, scale, control, integration and operating model justify choosing dedicated cloud hsm?</x:v>
      </x:c>
      <x:c r="F124" s="32" t="str">
        <x:v>AWS CloudHSM</x:v>
      </x:c>
      <x:c r="G124" s="32" t="str">
        <x:v>Azure Cloud HSM
Azure Managed HSM</x:v>
      </x:c>
      <x:c r="H124" s="32" t="str">
        <x:v>Cloud HSM</x:v>
      </x:c>
      <x:c r="I124" s="32" t="n">
        <x:v>4.2</x:v>
      </x:c>
      <x:c r="J124" s="32" t="n">
        <x:v>3</x:v>
      </x:c>
      <x:c r="K124" s="32" t="n">
        <x:v>4.4</x:v>
      </x:c>
      <x:c r="L124" s="32" t="n">
        <x:v>3.9</x:v>
      </x:c>
      <x:c r="M124" s="32" t="n">
        <x:v>3.5</x:v>
      </x:c>
      <x:c r="N124" s="32" t="n">
        <x:v>4.6</x:v>
      </x:c>
      <x:c r="O124" s="32" t="n">
        <x:v>3.7</x:v>
      </x:c>
      <x:c r="P124" s="32" t="n">
        <x:v>4</x:v>
      </x:c>
      <x:c r="Q124" s="32" t="n">
        <x:v>2.9</x:v>
      </x:c>
      <x:c r="R124" s="32" t="n">
        <x:v>4.5</x:v>
      </x:c>
      <x:c r="S124" s="32" t="n">
        <x:v>3.8</x:v>
      </x:c>
      <x:c r="T124" s="32" t="n">
        <x:v>3.5</x:v>
      </x:c>
      <x:c r="U124" s="32" t="n">
        <x:v>4.4</x:v>
      </x:c>
      <x:c r="V124" s="32" t="n">
        <x:v>3.7</x:v>
      </x:c>
      <x:c r="W124" s="32" t="n">
        <x:v>4.2</x:v>
      </x:c>
      <x:c r="X124" s="32" t="n">
        <x:v>3</x:v>
      </x:c>
      <x:c r="Y124" s="32" t="n">
        <x:v>4.2</x:v>
      </x:c>
      <x:c r="Z124" s="32" t="n">
        <x:v>4</x:v>
      </x:c>
      <x:c r="AA124" s="32" t="n">
        <x:v>3.5</x:v>
      </x:c>
      <x:c r="AB124" s="32" t="n">
        <x:v>4.4</x:v>
      </x:c>
      <x:c r="AC124" s="32" t="n">
        <x:v>3.9</x:v>
      </x:c>
      <x:c r="AD124" s="32" t="n">
        <x:f>ROUND((I124*'Criteria &amp; Scoring'!$B$5+J124*'Criteria &amp; Scoring'!$B$6+K124*'Criteria &amp; Scoring'!$B$7+L124*'Criteria &amp; Scoring'!$B$8+M124*'Criteria &amp; Scoring'!$B$9+N124*'Criteria &amp; Scoring'!$B$10+O124*'Criteria &amp; Scoring'!$B$11)/SUM('Criteria &amp; Scoring'!$B$5:$B$11),2)</x:f>
        <x:v>3.89</x:v>
      </x:c>
      <x:c r="AE124" s="32" t="n">
        <x:f>ROUND((P124*'Criteria &amp; Scoring'!$B$5+Q124*'Criteria &amp; Scoring'!$B$6+R124*'Criteria &amp; Scoring'!$B$7+S124*'Criteria &amp; Scoring'!$B$8+T124*'Criteria &amp; Scoring'!$B$9+U124*'Criteria &amp; Scoring'!$B$10+V124*'Criteria &amp; Scoring'!$B$11)/SUM('Criteria &amp; Scoring'!$B$5:$B$11),2)</x:f>
        <x:v>3.8</x:v>
      </x:c>
      <x:c r="AF124" s="32" t="n">
        <x:f>ROUND((W124*'Criteria &amp; Scoring'!$B$5+X124*'Criteria &amp; Scoring'!$B$6+Y124*'Criteria &amp; Scoring'!$B$7+Z124*'Criteria &amp; Scoring'!$B$8+AA124*'Criteria &amp; Scoring'!$B$9+AB124*'Criteria &amp; Scoring'!$B$10+AC124*'Criteria &amp; Scoring'!$B$11)/SUM('Criteria &amp; Scoring'!$B$5:$B$11),2)</x:f>
        <x:v>3.87</x:v>
      </x:c>
      <x:c r="AG124" s="32" t="str">
        <x:f>IF(LARGE(AD124:AF124,1)-LARGE(AD124:AF124,2)&lt;0.15,"Context-dependent tie",SUBSTITUTE(INDEX($AD$4:$AF$4,1,MATCH(MAX(AD124:AF124),AD124:AF124,0))," Overall",""))</x:f>
        <x:v>Context-dependent tie</x:v>
      </x:c>
      <x:c r="AH124" s="32" t="str">
        <x:f>IF(AG124="AWS","Start with AWS when infrastructure breadth, native integration and operational maturity are the main differentiators.",IF(AG124="Azure","Start with Azure when Microsoft identity, security, data, productivity or hybrid integration reduces delivery effort.",IF(AG124="GCP","Start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24" s="32" t="str">
        <x:v>High</x:v>
      </x:c>
      <x:c r="AJ124" s="32" t="str">
        <x:v>2026-07-12</x:v>
      </x:c>
    </x:row>
    <x:row r="125">
      <x:c r="A125" s="32" t="str">
        <x:v>Certificate management</x:v>
      </x:c>
      <x:c r="B125" s="32" t="str">
        <x:v>02 Security, Identity &amp; Compliance</x:v>
      </x:c>
      <x:c r="C125" s="32" t="str">
        <x:v>Cryptography, Keys &amp; Secrets</x:v>
      </x:c>
      <x:c r="D125" s="32" t="str">
        <x:v>Component</x:v>
      </x:c>
      <x:c r="E125" s="32" t="str">
        <x:v>What business outcome, scale, control, integration and operating model justify choosing certificate management?</x:v>
      </x:c>
      <x:c r="F125" s="32" t="str">
        <x:v>AWS Certificate Manager
AWS Private CA</x:v>
      </x:c>
      <x:c r="G125" s="32" t="str">
        <x:v>Azure Key Vault Certificates
Microsoft Cloud PKI</x:v>
      </x:c>
      <x:c r="H125" s="32" t="str">
        <x:v>Certificate Manager
Certificate Authority Service</x:v>
      </x:c>
      <x:c r="I125" s="32" t="n">
        <x:v>3.9</x:v>
      </x:c>
      <x:c r="J125" s="32" t="n">
        <x:v>4.9</x:v>
      </x:c>
      <x:c r="K125" s="32" t="n">
        <x:v>4.2</x:v>
      </x:c>
      <x:c r="L125" s="32" t="n">
        <x:v>3.8</x:v>
      </x:c>
      <x:c r="M125" s="32" t="n">
        <x:v>3.5</x:v>
      </x:c>
      <x:c r="N125" s="32" t="n">
        <x:v>4.4</x:v>
      </x:c>
      <x:c r="O125" s="32" t="n">
        <x:v>3.6</x:v>
      </x:c>
      <x:c r="P125" s="32" t="n">
        <x:v>3.9</x:v>
      </x:c>
      <x:c r="Q125" s="32" t="n">
        <x:v>4.9</x:v>
      </x:c>
      <x:c r="R125" s="32" t="n">
        <x:v>4.4</x:v>
      </x:c>
      <x:c r="S125" s="32" t="n">
        <x:v>3.8</x:v>
      </x:c>
      <x:c r="T125" s="32" t="n">
        <x:v>3.5</x:v>
      </x:c>
      <x:c r="U125" s="32" t="n">
        <x:v>4.3</x:v>
      </x:c>
      <x:c r="V125" s="32" t="n">
        <x:v>3.7</x:v>
      </x:c>
      <x:c r="W125" s="32" t="n">
        <x:v>3.9</x:v>
      </x:c>
      <x:c r="X125" s="32" t="n">
        <x:v>4.9</x:v>
      </x:c>
      <x:c r="Y125" s="32" t="n">
        <x:v>4.1</x:v>
      </x:c>
      <x:c r="Z125" s="32" t="n">
        <x:v>3.9</x:v>
      </x:c>
      <x:c r="AA125" s="32" t="n">
        <x:v>3.5</x:v>
      </x:c>
      <x:c r="AB125" s="32" t="n">
        <x:v>4.2</x:v>
      </x:c>
      <x:c r="AC125" s="32" t="n">
        <x:v>3.8</x:v>
      </x:c>
      <x:c r="AD125" s="32" t="n">
        <x:f>ROUND((I125*'Criteria &amp; Scoring'!$B$5+J125*'Criteria &amp; Scoring'!$B$6+K125*'Criteria &amp; Scoring'!$B$7+L125*'Criteria &amp; Scoring'!$B$8+M125*'Criteria &amp; Scoring'!$B$9+N125*'Criteria &amp; Scoring'!$B$10+O125*'Criteria &amp; Scoring'!$B$11)/SUM('Criteria &amp; Scoring'!$B$5:$B$11),2)</x:f>
        <x:v>4.13</x:v>
      </x:c>
      <x:c r="AE125" s="32" t="n">
        <x:f>ROUND((P125*'Criteria &amp; Scoring'!$B$5+Q125*'Criteria &amp; Scoring'!$B$6+R125*'Criteria &amp; Scoring'!$B$7+S125*'Criteria &amp; Scoring'!$B$8+T125*'Criteria &amp; Scoring'!$B$9+U125*'Criteria &amp; Scoring'!$B$10+V125*'Criteria &amp; Scoring'!$B$11)/SUM('Criteria &amp; Scoring'!$B$5:$B$11),2)</x:f>
        <x:v>4.15</x:v>
      </x:c>
      <x:c r="AF125" s="32" t="n">
        <x:f>ROUND((W125*'Criteria &amp; Scoring'!$B$5+X125*'Criteria &amp; Scoring'!$B$6+Y125*'Criteria &amp; Scoring'!$B$7+Z125*'Criteria &amp; Scoring'!$B$8+AA125*'Criteria &amp; Scoring'!$B$9+AB125*'Criteria &amp; Scoring'!$B$10+AC125*'Criteria &amp; Scoring'!$B$11)/SUM('Criteria &amp; Scoring'!$B$5:$B$11),2)</x:f>
        <x:v>4.12</x:v>
      </x:c>
      <x:c r="AG125" s="32" t="str">
        <x:f>IF(LARGE(AD125:AF125,1)-LARGE(AD125:AF125,2)&lt;0.15,"Context-dependent tie",SUBSTITUTE(INDEX($AD$4:$AF$4,1,MATCH(MAX(AD125:AF125),AD125:AF125,0))," Overall",""))</x:f>
        <x:v>Context-dependent tie</x:v>
      </x:c>
      <x:c r="AH125" s="32" t="str">
        <x:f>IF(AG125="AWS","Start with AWS when infrastructure breadth, native integration and operational maturity are the main differentiators.",IF(AG125="Azure","Start with Azure when Microsoft identity, security, data, productivity or hybrid integration reduces delivery effort.",IF(AG125="GCP","Start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25" s="32" t="str">
        <x:v>Medium</x:v>
      </x:c>
      <x:c r="AJ125" s="32" t="str">
        <x:v>2026-07-12</x:v>
      </x:c>
    </x:row>
    <x:row r="126">
      <x:c r="A126" s="32" t="str">
        <x:v>Cloud security posture management</x:v>
      </x:c>
      <x:c r="B126" s="32" t="str">
        <x:v>02 Security, Identity &amp; Compliance</x:v>
      </x:c>
      <x:c r="C126" s="32" t="str">
        <x:v>Governance, Posture &amp; Compliance</x:v>
      </x:c>
      <x:c r="D126" s="32" t="str">
        <x:v>Foundation</x:v>
      </x:c>
      <x:c r="E126" s="32" t="str">
        <x:v>What business outcome, scale, control, integration and operating model justify choosing cloud security posture management?</x:v>
      </x:c>
      <x:c r="F126" s="32" t="str">
        <x:v>AWS Security Hub</x:v>
      </x:c>
      <x:c r="G126" s="32" t="str">
        <x:v>Microsoft Defender for Cloud</x:v>
      </x:c>
      <x:c r="H126" s="32" t="str">
        <x:v>Security Command Center</x:v>
      </x:c>
      <x:c r="I126" s="32" t="n">
        <x:v>4.2</x:v>
      </x:c>
      <x:c r="J126" s="32" t="n">
        <x:v>3</x:v>
      </x:c>
      <x:c r="K126" s="32" t="n">
        <x:v>4.4</x:v>
      </x:c>
      <x:c r="L126" s="32" t="n">
        <x:v>3.9</x:v>
      </x:c>
      <x:c r="M126" s="32" t="n">
        <x:v>3.5</x:v>
      </x:c>
      <x:c r="N126" s="32" t="n">
        <x:v>4.6</x:v>
      </x:c>
      <x:c r="O126" s="32" t="n">
        <x:v>3.7</x:v>
      </x:c>
      <x:c r="P126" s="32" t="n">
        <x:v>4.7</x:v>
      </x:c>
      <x:c r="Q126" s="32" t="n">
        <x:v>3</x:v>
      </x:c>
      <x:c r="R126" s="32" t="n">
        <x:v>4.8</x:v>
      </x:c>
      <x:c r="S126" s="32" t="n">
        <x:v>3.9</x:v>
      </x:c>
      <x:c r="T126" s="32" t="n">
        <x:v>3.5</x:v>
      </x:c>
      <x:c r="U126" s="32" t="n">
        <x:v>4.7</x:v>
      </x:c>
      <x:c r="V126" s="32" t="n">
        <x:v>3.8</x:v>
      </x:c>
      <x:c r="W126" s="32" t="n">
        <x:v>4.2</x:v>
      </x:c>
      <x:c r="X126" s="32" t="n">
        <x:v>3</x:v>
      </x:c>
      <x:c r="Y126" s="32" t="n">
        <x:v>4.2</x:v>
      </x:c>
      <x:c r="Z126" s="32" t="n">
        <x:v>4</x:v>
      </x:c>
      <x:c r="AA126" s="32" t="n">
        <x:v>3.5</x:v>
      </x:c>
      <x:c r="AB126" s="32" t="n">
        <x:v>4.4</x:v>
      </x:c>
      <x:c r="AC126" s="32" t="n">
        <x:v>3.9</x:v>
      </x:c>
      <x:c r="AD126" s="32" t="n">
        <x:f>ROUND((I126*'Criteria &amp; Scoring'!$B$5+J126*'Criteria &amp; Scoring'!$B$6+K126*'Criteria &amp; Scoring'!$B$7+L126*'Criteria &amp; Scoring'!$B$8+M126*'Criteria &amp; Scoring'!$B$9+N126*'Criteria &amp; Scoring'!$B$10+O126*'Criteria &amp; Scoring'!$B$11)/SUM('Criteria &amp; Scoring'!$B$5:$B$11),2)</x:f>
        <x:v>3.89</x:v>
      </x:c>
      <x:c r="AE126" s="32" t="n">
        <x:f>ROUND((P126*'Criteria &amp; Scoring'!$B$5+Q126*'Criteria &amp; Scoring'!$B$6+R126*'Criteria &amp; Scoring'!$B$7+S126*'Criteria &amp; Scoring'!$B$8+T126*'Criteria &amp; Scoring'!$B$9+U126*'Criteria &amp; Scoring'!$B$10+V126*'Criteria &amp; Scoring'!$B$11)/SUM('Criteria &amp; Scoring'!$B$5:$B$11),2)</x:f>
        <x:v>4.09</x:v>
      </x:c>
      <x:c r="AF126" s="32" t="n">
        <x:f>ROUND((W126*'Criteria &amp; Scoring'!$B$5+X126*'Criteria &amp; Scoring'!$B$6+Y126*'Criteria &amp; Scoring'!$B$7+Z126*'Criteria &amp; Scoring'!$B$8+AA126*'Criteria &amp; Scoring'!$B$9+AB126*'Criteria &amp; Scoring'!$B$10+AC126*'Criteria &amp; Scoring'!$B$11)/SUM('Criteria &amp; Scoring'!$B$5:$B$11),2)</x:f>
        <x:v>3.87</x:v>
      </x:c>
      <x:c r="AG126" s="32" t="str">
        <x:f>IF(LARGE(AD126:AF126,1)-LARGE(AD126:AF126,2)&lt;0.15,"Context-dependent tie",SUBSTITUTE(INDEX($AD$4:$AF$4,1,MATCH(MAX(AD126:AF126),AD126:AF126,0))," Overall",""))</x:f>
        <x:v>Azure</x:v>
      </x:c>
      <x:c r="AH126" s="32" t="str">
        <x:f>IF(AG126="AWS","Start with AWS when infrastructure breadth, native integration and operational maturity are the main differentiators.",IF(AG126="Azure","Start with Azure when Microsoft identity, security, data, productivity or hybrid integration reduces delivery effort.",IF(AG126="GCP","Start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26" s="32" t="str">
        <x:v>High</x:v>
      </x:c>
      <x:c r="AJ126" s="32" t="str">
        <x:v>2026-07-12</x:v>
      </x:c>
    </x:row>
    <x:row r="127">
      <x:c r="A127" s="32" t="str">
        <x:v>Cloud threat detection</x:v>
      </x:c>
      <x:c r="B127" s="32" t="str">
        <x:v>02 Security, Identity &amp; Compliance</x:v>
      </x:c>
      <x:c r="C127" s="32" t="str">
        <x:v>Threat Detection &amp; Security Operations</x:v>
      </x:c>
      <x:c r="D127" s="32" t="str">
        <x:v>Workload</x:v>
      </x:c>
      <x:c r="E127" s="32" t="str">
        <x:v>Do you need posture, detection, investigation, SIEM/SOAR, or all of them in one operating model?</x:v>
      </x:c>
      <x:c r="F127" s="32" t="str">
        <x:v>Amazon GuardDuty</x:v>
      </x:c>
      <x:c r="G127" s="32" t="str">
        <x:v>Microsoft Defender for Cloud
Microsoft Sentinel</x:v>
      </x:c>
      <x:c r="H127" s="32" t="str">
        <x:v>Security Command Center
Google Security Operations</x:v>
      </x:c>
      <x:c r="I127" s="32" t="n">
        <x:v>4</x:v>
      </x:c>
      <x:c r="J127" s="32" t="n">
        <x:v>2.9</x:v>
      </x:c>
      <x:c r="K127" s="32" t="n">
        <x:v>4.3</x:v>
      </x:c>
      <x:c r="L127" s="32" t="n">
        <x:v>3.9</x:v>
      </x:c>
      <x:c r="M127" s="32" t="n">
        <x:v>3.5</x:v>
      </x:c>
      <x:c r="N127" s="32" t="n">
        <x:v>4.5</x:v>
      </x:c>
      <x:c r="O127" s="32" t="n">
        <x:v>3.7</x:v>
      </x:c>
      <x:c r="P127" s="32" t="n">
        <x:v>4.3</x:v>
      </x:c>
      <x:c r="Q127" s="32" t="n">
        <x:v>2.9</x:v>
      </x:c>
      <x:c r="R127" s="32" t="n">
        <x:v>4.7</x:v>
      </x:c>
      <x:c r="S127" s="32" t="n">
        <x:v>3.8</x:v>
      </x:c>
      <x:c r="T127" s="32" t="n">
        <x:v>3.5</x:v>
      </x:c>
      <x:c r="U127" s="32" t="n">
        <x:v>4.5</x:v>
      </x:c>
      <x:c r="V127" s="32" t="n">
        <x:v>3.7</x:v>
      </x:c>
      <x:c r="W127" s="32" t="n">
        <x:v>3.9</x:v>
      </x:c>
      <x:c r="X127" s="32" t="n">
        <x:v>2.9</x:v>
      </x:c>
      <x:c r="Y127" s="32" t="n">
        <x:v>4.1</x:v>
      </x:c>
      <x:c r="Z127" s="32" t="n">
        <x:v>3.9</x:v>
      </x:c>
      <x:c r="AA127" s="32" t="n">
        <x:v>3.5</x:v>
      </x:c>
      <x:c r="AB127" s="32" t="n">
        <x:v>4.2</x:v>
      </x:c>
      <x:c r="AC127" s="32" t="n">
        <x:v>3.8</x:v>
      </x:c>
      <x:c r="AD127" s="32" t="n">
        <x:f>ROUND((I127*'Criteria &amp; Scoring'!$B$5+J127*'Criteria &amp; Scoring'!$B$6+K127*'Criteria &amp; Scoring'!$B$7+L127*'Criteria &amp; Scoring'!$B$8+M127*'Criteria &amp; Scoring'!$B$9+N127*'Criteria &amp; Scoring'!$B$10+O127*'Criteria &amp; Scoring'!$B$11)/SUM('Criteria &amp; Scoring'!$B$5:$B$11),2)</x:f>
        <x:v>3.8</x:v>
      </x:c>
      <x:c r="AE127" s="32" t="n">
        <x:f>ROUND((P127*'Criteria &amp; Scoring'!$B$5+Q127*'Criteria &amp; Scoring'!$B$6+R127*'Criteria &amp; Scoring'!$B$7+S127*'Criteria &amp; Scoring'!$B$8+T127*'Criteria &amp; Scoring'!$B$9+U127*'Criteria &amp; Scoring'!$B$10+V127*'Criteria &amp; Scoring'!$B$11)/SUM('Criteria &amp; Scoring'!$B$5:$B$11),2)</x:f>
        <x:v>3.92</x:v>
      </x:c>
      <x:c r="AF127" s="32" t="n">
        <x:f>ROUND((W127*'Criteria &amp; Scoring'!$B$5+X127*'Criteria &amp; Scoring'!$B$6+Y127*'Criteria &amp; Scoring'!$B$7+Z127*'Criteria &amp; Scoring'!$B$8+AA127*'Criteria &amp; Scoring'!$B$9+AB127*'Criteria &amp; Scoring'!$B$10+AC127*'Criteria &amp; Scoring'!$B$11)/SUM('Criteria &amp; Scoring'!$B$5:$B$11),2)</x:f>
        <x:v>3.72</x:v>
      </x:c>
      <x:c r="AG127" s="32" t="str">
        <x:f>IF(LARGE(AD127:AF127,1)-LARGE(AD127:AF127,2)&lt;0.15,"Context-dependent tie",SUBSTITUTE(INDEX($AD$4:$AF$4,1,MATCH(MAX(AD127:AF127),AD127:AF127,0))," Overall",""))</x:f>
        <x:v>Context-dependent tie</x:v>
      </x:c>
      <x:c r="AH127" s="32" t="str">
        <x:f>IF(AG127="AWS","Start with AWS when infrastructure breadth, native integration and operational maturity are the main differentiators.",IF(AG127="Azure","Start with Azure when Microsoft identity, security, data, productivity or hybrid integration reduces delivery effort.",IF(AG127="GCP","Start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27" s="32" t="str">
        <x:v>Medium</x:v>
      </x:c>
      <x:c r="AJ127" s="32" t="str">
        <x:v>2026-07-12</x:v>
      </x:c>
    </x:row>
    <x:row r="128">
      <x:c r="A128" s="32" t="str">
        <x:v>Security investigation</x:v>
      </x:c>
      <x:c r="B128" s="32" t="str">
        <x:v>02 Security, Identity &amp; Compliance</x:v>
      </x:c>
      <x:c r="C128" s="32" t="str">
        <x:v>Threat Detection &amp; Security Operations</x:v>
      </x:c>
      <x:c r="D128" s="32" t="str">
        <x:v>Workload</x:v>
      </x:c>
      <x:c r="E128" s="32" t="str">
        <x:v>Do you need posture, detection, investigation, SIEM/SOAR, or all of them in one operating model?</x:v>
      </x:c>
      <x:c r="F128" s="32" t="str">
        <x:v>Amazon Detective</x:v>
      </x:c>
      <x:c r="G128" s="32" t="str">
        <x:v>Microsoft Sentinel
Microsoft Defender XDR</x:v>
      </x:c>
      <x:c r="H128" s="32" t="str">
        <x:v>Google Security Operations</x:v>
      </x:c>
      <x:c r="I128" s="32" t="n">
        <x:v>4</x:v>
      </x:c>
      <x:c r="J128" s="32" t="n">
        <x:v>2.9</x:v>
      </x:c>
      <x:c r="K128" s="32" t="n">
        <x:v>4.3</x:v>
      </x:c>
      <x:c r="L128" s="32" t="n">
        <x:v>3.9</x:v>
      </x:c>
      <x:c r="M128" s="32" t="n">
        <x:v>3.5</x:v>
      </x:c>
      <x:c r="N128" s="32" t="n">
        <x:v>4.5</x:v>
      </x:c>
      <x:c r="O128" s="32" t="n">
        <x:v>3.7</x:v>
      </x:c>
      <x:c r="P128" s="32" t="n">
        <x:v>4.3</x:v>
      </x:c>
      <x:c r="Q128" s="32" t="n">
        <x:v>2.9</x:v>
      </x:c>
      <x:c r="R128" s="32" t="n">
        <x:v>4.7</x:v>
      </x:c>
      <x:c r="S128" s="32" t="n">
        <x:v>3.8</x:v>
      </x:c>
      <x:c r="T128" s="32" t="n">
        <x:v>3.5</x:v>
      </x:c>
      <x:c r="U128" s="32" t="n">
        <x:v>4.5</x:v>
      </x:c>
      <x:c r="V128" s="32" t="n">
        <x:v>3.7</x:v>
      </x:c>
      <x:c r="W128" s="32" t="n">
        <x:v>4</x:v>
      </x:c>
      <x:c r="X128" s="32" t="n">
        <x:v>3</x:v>
      </x:c>
      <x:c r="Y128" s="32" t="n">
        <x:v>4.2</x:v>
      </x:c>
      <x:c r="Z128" s="32" t="n">
        <x:v>4</x:v>
      </x:c>
      <x:c r="AA128" s="32" t="n">
        <x:v>3.5</x:v>
      </x:c>
      <x:c r="AB128" s="32" t="n">
        <x:v>4.3</x:v>
      </x:c>
      <x:c r="AC128" s="32" t="n">
        <x:v>3.9</x:v>
      </x:c>
      <x:c r="AD128" s="32" t="n">
        <x:f>ROUND((I128*'Criteria &amp; Scoring'!$B$5+J128*'Criteria &amp; Scoring'!$B$6+K128*'Criteria &amp; Scoring'!$B$7+L128*'Criteria &amp; Scoring'!$B$8+M128*'Criteria &amp; Scoring'!$B$9+N128*'Criteria &amp; Scoring'!$B$10+O128*'Criteria &amp; Scoring'!$B$11)/SUM('Criteria &amp; Scoring'!$B$5:$B$11),2)</x:f>
        <x:v>3.8</x:v>
      </x:c>
      <x:c r="AE128" s="32" t="n">
        <x:f>ROUND((P128*'Criteria &amp; Scoring'!$B$5+Q128*'Criteria &amp; Scoring'!$B$6+R128*'Criteria &amp; Scoring'!$B$7+S128*'Criteria &amp; Scoring'!$B$8+T128*'Criteria &amp; Scoring'!$B$9+U128*'Criteria &amp; Scoring'!$B$10+V128*'Criteria &amp; Scoring'!$B$11)/SUM('Criteria &amp; Scoring'!$B$5:$B$11),2)</x:f>
        <x:v>3.92</x:v>
      </x:c>
      <x:c r="AF128" s="32" t="n">
        <x:f>ROUND((W128*'Criteria &amp; Scoring'!$B$5+X128*'Criteria &amp; Scoring'!$B$6+Y128*'Criteria &amp; Scoring'!$B$7+Z128*'Criteria &amp; Scoring'!$B$8+AA128*'Criteria &amp; Scoring'!$B$9+AB128*'Criteria &amp; Scoring'!$B$10+AC128*'Criteria &amp; Scoring'!$B$11)/SUM('Criteria &amp; Scoring'!$B$5:$B$11),2)</x:f>
        <x:v>3.81</x:v>
      </x:c>
      <x:c r="AG128" s="32" t="str">
        <x:f>IF(LARGE(AD128:AF128,1)-LARGE(AD128:AF128,2)&lt;0.15,"Context-dependent tie",SUBSTITUTE(INDEX($AD$4:$AF$4,1,MATCH(MAX(AD128:AF128),AD128:AF128,0))," Overall",""))</x:f>
        <x:v>Context-dependent tie</x:v>
      </x:c>
      <x:c r="AH128" s="32" t="str">
        <x:f>IF(AG128="AWS","Start with AWS when infrastructure breadth, native integration and operational maturity are the main differentiators.",IF(AG128="Azure","Start with Azure when Microsoft identity, security, data, productivity or hybrid integration reduces delivery effort.",IF(AG128="GCP","Start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28" s="32" t="str">
        <x:v>Medium</x:v>
      </x:c>
      <x:c r="AJ128" s="32" t="str">
        <x:v>2026-07-12</x:v>
      </x:c>
    </x:row>
    <x:row r="129">
      <x:c r="A129" s="32" t="str">
        <x:v>Workload vulnerability assessment</x:v>
      </x:c>
      <x:c r="B129" s="32" t="str">
        <x:v>02 Security, Identity &amp; Compliance</x:v>
      </x:c>
      <x:c r="C129" s="32" t="str">
        <x:v>Threat Detection &amp; Security Operations</x:v>
      </x:c>
      <x:c r="D129" s="32" t="str">
        <x:v>Workload</x:v>
      </x:c>
      <x:c r="E129" s="32" t="str">
        <x:v>Do you need posture, detection, investigation, SIEM/SOAR, or all of them in one operating model?</x:v>
      </x:c>
      <x:c r="F129" s="32" t="str">
        <x:v>Amazon Inspector
Amazon ECR image scanning</x:v>
      </x:c>
      <x:c r="G129" s="32" t="str">
        <x:v>Microsoft Defender Vulnerability Management
Defender for Cloud</x:v>
      </x:c>
      <x:c r="H129" s="32" t="str">
        <x:v>Artifact Analysis
Security Command Center</x:v>
      </x:c>
      <x:c r="I129" s="32" t="n">
        <x:v>3.9</x:v>
      </x:c>
      <x:c r="J129" s="32" t="n">
        <x:v>2.8</x:v>
      </x:c>
      <x:c r="K129" s="32" t="n">
        <x:v>4.2</x:v>
      </x:c>
      <x:c r="L129" s="32" t="n">
        <x:v>3.8</x:v>
      </x:c>
      <x:c r="M129" s="32" t="n">
        <x:v>3.5</x:v>
      </x:c>
      <x:c r="N129" s="32" t="n">
        <x:v>4.4</x:v>
      </x:c>
      <x:c r="O129" s="32" t="n">
        <x:v>3.6</x:v>
      </x:c>
      <x:c r="P129" s="32" t="n">
        <x:v>4.3</x:v>
      </x:c>
      <x:c r="Q129" s="32" t="n">
        <x:v>2.9</x:v>
      </x:c>
      <x:c r="R129" s="32" t="n">
        <x:v>4.7</x:v>
      </x:c>
      <x:c r="S129" s="32" t="n">
        <x:v>3.8</x:v>
      </x:c>
      <x:c r="T129" s="32" t="n">
        <x:v>3.5</x:v>
      </x:c>
      <x:c r="U129" s="32" t="n">
        <x:v>4.5</x:v>
      </x:c>
      <x:c r="V129" s="32" t="n">
        <x:v>3.7</x:v>
      </x:c>
      <x:c r="W129" s="32" t="n">
        <x:v>3.9</x:v>
      </x:c>
      <x:c r="X129" s="32" t="n">
        <x:v>2.9</x:v>
      </x:c>
      <x:c r="Y129" s="32" t="n">
        <x:v>4.1</x:v>
      </x:c>
      <x:c r="Z129" s="32" t="n">
        <x:v>3.9</x:v>
      </x:c>
      <x:c r="AA129" s="32" t="n">
        <x:v>3.5</x:v>
      </x:c>
      <x:c r="AB129" s="32" t="n">
        <x:v>4.2</x:v>
      </x:c>
      <x:c r="AC129" s="32" t="n">
        <x:v>3.8</x:v>
      </x:c>
      <x:c r="AD129" s="32" t="n">
        <x:f>ROUND((I129*'Criteria &amp; Scoring'!$B$5+J129*'Criteria &amp; Scoring'!$B$6+K129*'Criteria &amp; Scoring'!$B$7+L129*'Criteria &amp; Scoring'!$B$8+M129*'Criteria &amp; Scoring'!$B$9+N129*'Criteria &amp; Scoring'!$B$10+O129*'Criteria &amp; Scoring'!$B$11)/SUM('Criteria &amp; Scoring'!$B$5:$B$11),2)</x:f>
        <x:v>3.71</x:v>
      </x:c>
      <x:c r="AE129" s="32" t="n">
        <x:f>ROUND((P129*'Criteria &amp; Scoring'!$B$5+Q129*'Criteria &amp; Scoring'!$B$6+R129*'Criteria &amp; Scoring'!$B$7+S129*'Criteria &amp; Scoring'!$B$8+T129*'Criteria &amp; Scoring'!$B$9+U129*'Criteria &amp; Scoring'!$B$10+V129*'Criteria &amp; Scoring'!$B$11)/SUM('Criteria &amp; Scoring'!$B$5:$B$11),2)</x:f>
        <x:v>3.92</x:v>
      </x:c>
      <x:c r="AF129" s="32" t="n">
        <x:f>ROUND((W129*'Criteria &amp; Scoring'!$B$5+X129*'Criteria &amp; Scoring'!$B$6+Y129*'Criteria &amp; Scoring'!$B$7+Z129*'Criteria &amp; Scoring'!$B$8+AA129*'Criteria &amp; Scoring'!$B$9+AB129*'Criteria &amp; Scoring'!$B$10+AC129*'Criteria &amp; Scoring'!$B$11)/SUM('Criteria &amp; Scoring'!$B$5:$B$11),2)</x:f>
        <x:v>3.72</x:v>
      </x:c>
      <x:c r="AG129" s="32" t="str">
        <x:f>IF(LARGE(AD129:AF129,1)-LARGE(AD129:AF129,2)&lt;0.15,"Context-dependent tie",SUBSTITUTE(INDEX($AD$4:$AF$4,1,MATCH(MAX(AD129:AF129),AD129:AF129,0))," Overall",""))</x:f>
        <x:v>Azure</x:v>
      </x:c>
      <x:c r="AH129" s="32" t="str">
        <x:f>IF(AG129="AWS","Start with AWS when infrastructure breadth, native integration and operational maturity are the main differentiators.",IF(AG129="Azure","Start with Azure when Microsoft identity, security, data, productivity or hybrid integration reduces delivery effort.",IF(AG129="GCP","Start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29" s="32" t="str">
        <x:v>Medium</x:v>
      </x:c>
      <x:c r="AJ129" s="32" t="str">
        <x:v>2026-07-12</x:v>
      </x:c>
    </x:row>
    <x:row r="130">
      <x:c r="A130" s="32" t="str">
        <x:v>Sensitive-data discovery</x:v>
      </x:c>
      <x:c r="B130" s="32" t="str">
        <x:v>02 Security, Identity &amp; Compliance</x:v>
      </x:c>
      <x:c r="C130" s="32" t="str">
        <x:v>Data Protection &amp; Privacy</x:v>
      </x:c>
      <x:c r="D130" s="32" t="str">
        <x:v>Workload</x:v>
      </x:c>
      <x:c r="E130" s="32" t="str">
        <x:v>What business outcome, scale, control, integration and operating model justify choosing sensitive-data discovery?</x:v>
      </x:c>
      <x:c r="F130" s="32" t="str">
        <x:v>Amazon Macie</x:v>
      </x:c>
      <x:c r="G130" s="32" t="str">
        <x:v>Microsoft Purview Information Protection
Microsoft Purview Data Map</x:v>
      </x:c>
      <x:c r="H130" s="32" t="str">
        <x:v>Sensitive Data Protection</x:v>
      </x:c>
      <x:c r="I130" s="32" t="n">
        <x:v>4</x:v>
      </x:c>
      <x:c r="J130" s="32" t="n">
        <x:v>3</x:v>
      </x:c>
      <x:c r="K130" s="32" t="n">
        <x:v>4.3</x:v>
      </x:c>
      <x:c r="L130" s="32" t="n">
        <x:v>3.9</x:v>
      </x:c>
      <x:c r="M130" s="32" t="n">
        <x:v>3.5</x:v>
      </x:c>
      <x:c r="N130" s="32" t="n">
        <x:v>4.5</x:v>
      </x:c>
      <x:c r="O130" s="32" t="n">
        <x:v>3.7</x:v>
      </x:c>
      <x:c r="P130" s="32" t="n">
        <x:v>3.9</x:v>
      </x:c>
      <x:c r="Q130" s="32" t="n">
        <x:v>2.9</x:v>
      </x:c>
      <x:c r="R130" s="32" t="n">
        <x:v>4.4</x:v>
      </x:c>
      <x:c r="S130" s="32" t="n">
        <x:v>3.8</x:v>
      </x:c>
      <x:c r="T130" s="32" t="n">
        <x:v>3.5</x:v>
      </x:c>
      <x:c r="U130" s="32" t="n">
        <x:v>4.3</x:v>
      </x:c>
      <x:c r="V130" s="32" t="n">
        <x:v>3.7</x:v>
      </x:c>
      <x:c r="W130" s="32" t="n">
        <x:v>4</x:v>
      </x:c>
      <x:c r="X130" s="32" t="n">
        <x:v>3</x:v>
      </x:c>
      <x:c r="Y130" s="32" t="n">
        <x:v>4.4</x:v>
      </x:c>
      <x:c r="Z130" s="32" t="n">
        <x:v>4</x:v>
      </x:c>
      <x:c r="AA130" s="32" t="n">
        <x:v>3.5</x:v>
      </x:c>
      <x:c r="AB130" s="32" t="n">
        <x:v>4.3</x:v>
      </x:c>
      <x:c r="AC130" s="32" t="n">
        <x:v>3.9</x:v>
      </x:c>
      <x:c r="AD130" s="32" t="n">
        <x:f>ROUND((I130*'Criteria &amp; Scoring'!$B$5+J130*'Criteria &amp; Scoring'!$B$6+K130*'Criteria &amp; Scoring'!$B$7+L130*'Criteria &amp; Scoring'!$B$8+M130*'Criteria &amp; Scoring'!$B$9+N130*'Criteria &amp; Scoring'!$B$10+O130*'Criteria &amp; Scoring'!$B$11)/SUM('Criteria &amp; Scoring'!$B$5:$B$11),2)</x:f>
        <x:v>3.82</x:v>
      </x:c>
      <x:c r="AE130" s="32" t="n">
        <x:f>ROUND((P130*'Criteria &amp; Scoring'!$B$5+Q130*'Criteria &amp; Scoring'!$B$6+R130*'Criteria &amp; Scoring'!$B$7+S130*'Criteria &amp; Scoring'!$B$8+T130*'Criteria &amp; Scoring'!$B$9+U130*'Criteria &amp; Scoring'!$B$10+V130*'Criteria &amp; Scoring'!$B$11)/SUM('Criteria &amp; Scoring'!$B$5:$B$11),2)</x:f>
        <x:v>3.75</x:v>
      </x:c>
      <x:c r="AF130" s="32" t="n">
        <x:f>ROUND((W130*'Criteria &amp; Scoring'!$B$5+X130*'Criteria &amp; Scoring'!$B$6+Y130*'Criteria &amp; Scoring'!$B$7+Z130*'Criteria &amp; Scoring'!$B$8+AA130*'Criteria &amp; Scoring'!$B$9+AB130*'Criteria &amp; Scoring'!$B$10+AC130*'Criteria &amp; Scoring'!$B$11)/SUM('Criteria &amp; Scoring'!$B$5:$B$11),2)</x:f>
        <x:v>3.84</x:v>
      </x:c>
      <x:c r="AG130" s="32" t="str">
        <x:f>IF(LARGE(AD130:AF130,1)-LARGE(AD130:AF130,2)&lt;0.15,"Context-dependent tie",SUBSTITUTE(INDEX($AD$4:$AF$4,1,MATCH(MAX(AD130:AF130),AD130:AF130,0))," Overall",""))</x:f>
        <x:v>Context-dependent tie</x:v>
      </x:c>
      <x:c r="AH130" s="32" t="str">
        <x:f>IF(AG130="AWS","Start with AWS when infrastructure breadth, native integration and operational maturity are the main differentiators.",IF(AG130="Azure","Start with Azure when Microsoft identity, security, data, productivity or hybrid integration reduces delivery effort.",IF(AG130="GCP","Start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30" s="32" t="str">
        <x:v>Medium</x:v>
      </x:c>
      <x:c r="AJ130" s="32" t="str">
        <x:v>2026-07-12</x:v>
      </x:c>
    </x:row>
    <x:row r="131">
      <x:c r="A131" s="32" t="str">
        <x:v>Cloud-native SIEM and SOAR</x:v>
      </x:c>
      <x:c r="B131" s="32" t="str">
        <x:v>02 Security, Identity &amp; Compliance</x:v>
      </x:c>
      <x:c r="C131" s="32" t="str">
        <x:v>Threat Detection &amp; Security Operations</x:v>
      </x:c>
      <x:c r="D131" s="32" t="str">
        <x:v>Workload</x:v>
      </x:c>
      <x:c r="E131" s="32" t="str">
        <x:v>Do you need posture, detection, investigation, SIEM/SOAR, or all of them in one operating model?</x:v>
      </x:c>
      <x:c r="F131" s="32" t="str">
        <x:v>Amazon Security Lake
Amazon OpenSearch Service
partner SIEM</x:v>
      </x:c>
      <x:c r="G131" s="32" t="str">
        <x:v>Microsoft Sentinel</x:v>
      </x:c>
      <x:c r="H131" s="32" t="str">
        <x:v>Google Security Operations</x:v>
      </x:c>
      <x:c r="I131" s="32" t="n">
        <x:v>2.8</x:v>
      </x:c>
      <x:c r="J131" s="32" t="n">
        <x:v>1.5</x:v>
      </x:c>
      <x:c r="K131" s="32" t="n">
        <x:v>3.7</x:v>
      </x:c>
      <x:c r="L131" s="32" t="n">
        <x:v>3.5</x:v>
      </x:c>
      <x:c r="M131" s="32" t="n">
        <x:v>3.3</x:v>
      </x:c>
      <x:c r="N131" s="32" t="n">
        <x:v>3.8</x:v>
      </x:c>
      <x:c r="O131" s="32" t="n">
        <x:v>3.1</x:v>
      </x:c>
      <x:c r="P131" s="32" t="n">
        <x:v>4</x:v>
      </x:c>
      <x:c r="Q131" s="32" t="n">
        <x:v>2</x:v>
      </x:c>
      <x:c r="R131" s="32" t="n">
        <x:v>4.5</x:v>
      </x:c>
      <x:c r="S131" s="32" t="n">
        <x:v>3.9</x:v>
      </x:c>
      <x:c r="T131" s="32" t="n">
        <x:v>3.5</x:v>
      </x:c>
      <x:c r="U131" s="32" t="n">
        <x:v>4.4</x:v>
      </x:c>
      <x:c r="V131" s="32" t="n">
        <x:v>3.5</x:v>
      </x:c>
      <x:c r="W131" s="32" t="n">
        <x:v>3.5</x:v>
      </x:c>
      <x:c r="X131" s="32" t="n">
        <x:v>2</x:v>
      </x:c>
      <x:c r="Y131" s="32" t="n">
        <x:v>3.9</x:v>
      </x:c>
      <x:c r="Z131" s="32" t="n">
        <x:v>4</x:v>
      </x:c>
      <x:c r="AA131" s="32" t="n">
        <x:v>3.5</x:v>
      </x:c>
      <x:c r="AB131" s="32" t="n">
        <x:v>4.1</x:v>
      </x:c>
      <x:c r="AC131" s="32" t="n">
        <x:v>3.5</x:v>
      </x:c>
      <x:c r="AD131" s="32" t="n">
        <x:f>ROUND((I131*'Criteria &amp; Scoring'!$B$5+J131*'Criteria &amp; Scoring'!$B$6+K131*'Criteria &amp; Scoring'!$B$7+L131*'Criteria &amp; Scoring'!$B$8+M131*'Criteria &amp; Scoring'!$B$9+N131*'Criteria &amp; Scoring'!$B$10+O131*'Criteria &amp; Scoring'!$B$11)/SUM('Criteria &amp; Scoring'!$B$5:$B$11),2)</x:f>
        <x:v>2.95</x:v>
      </x:c>
      <x:c r="AE131" s="32" t="n">
        <x:f>ROUND((P131*'Criteria &amp; Scoring'!$B$5+Q131*'Criteria &amp; Scoring'!$B$6+R131*'Criteria &amp; Scoring'!$B$7+S131*'Criteria &amp; Scoring'!$B$8+T131*'Criteria &amp; Scoring'!$B$9+U131*'Criteria &amp; Scoring'!$B$10+V131*'Criteria &amp; Scoring'!$B$11)/SUM('Criteria &amp; Scoring'!$B$5:$B$11),2)</x:f>
        <x:v>3.62</x:v>
      </x:c>
      <x:c r="AF131" s="32" t="n">
        <x:f>ROUND((W131*'Criteria &amp; Scoring'!$B$5+X131*'Criteria &amp; Scoring'!$B$6+Y131*'Criteria &amp; Scoring'!$B$7+Z131*'Criteria &amp; Scoring'!$B$8+AA131*'Criteria &amp; Scoring'!$B$9+AB131*'Criteria &amp; Scoring'!$B$10+AC131*'Criteria &amp; Scoring'!$B$11)/SUM('Criteria &amp; Scoring'!$B$5:$B$11),2)</x:f>
        <x:v>3.4</x:v>
      </x:c>
      <x:c r="AG131" s="32" t="str">
        <x:f>IF(LARGE(AD131:AF131,1)-LARGE(AD131:AF131,2)&lt;0.15,"Context-dependent tie",SUBSTITUTE(INDEX($AD$4:$AF$4,1,MATCH(MAX(AD131:AF131),AD131:AF131,0))," Overall",""))</x:f>
        <x:v>Azure</x:v>
      </x:c>
      <x:c r="AH131" s="32" t="str">
        <x:f>IF(AG131="AWS","Start with AWS when infrastructure breadth, native integration and operational maturity are the main differentiators.",IF(AG131="Azure","Start with Azure when Microsoft identity, security, data, productivity or hybrid integration reduces delivery effort.",IF(AG131="GCP","Start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31" s="32" t="str">
        <x:v>Low</x:v>
      </x:c>
      <x:c r="AJ131" s="32" t="str">
        <x:v>2026-07-12</x:v>
      </x:c>
    </x:row>
    <x:row r="132">
      <x:c r="A132" s="32" t="str">
        <x:v>Security telemetry lake</x:v>
      </x:c>
      <x:c r="B132" s="32" t="str">
        <x:v>02 Security, Identity &amp; Compliance</x:v>
      </x:c>
      <x:c r="C132" s="32" t="str">
        <x:v>Threat Detection &amp; Security Operations</x:v>
      </x:c>
      <x:c r="D132" s="32" t="str">
        <x:v>Workload</x:v>
      </x:c>
      <x:c r="E132" s="32" t="str">
        <x:v>Do you need posture, detection, investigation, SIEM/SOAR, or all of them in one operating model?</x:v>
      </x:c>
      <x:c r="F132" s="32" t="str">
        <x:v>Amazon Security Lake</x:v>
      </x:c>
      <x:c r="G132" s="32" t="str">
        <x:v>Microsoft Sentinel data lake
Microsoft Fabric</x:v>
      </x:c>
      <x:c r="H132" s="32" t="str">
        <x:v>Google Security Operations</x:v>
      </x:c>
      <x:c r="I132" s="32" t="n">
        <x:v>4</x:v>
      </x:c>
      <x:c r="J132" s="32" t="n">
        <x:v>2.9</x:v>
      </x:c>
      <x:c r="K132" s="32" t="n">
        <x:v>4.3</x:v>
      </x:c>
      <x:c r="L132" s="32" t="n">
        <x:v>3.9</x:v>
      </x:c>
      <x:c r="M132" s="32" t="n">
        <x:v>3.5</x:v>
      </x:c>
      <x:c r="N132" s="32" t="n">
        <x:v>4.5</x:v>
      </x:c>
      <x:c r="O132" s="32" t="n">
        <x:v>3.7</x:v>
      </x:c>
      <x:c r="P132" s="32" t="n">
        <x:v>4.3</x:v>
      </x:c>
      <x:c r="Q132" s="32" t="n">
        <x:v>3</x:v>
      </x:c>
      <x:c r="R132" s="32" t="n">
        <x:v>4.7</x:v>
      </x:c>
      <x:c r="S132" s="32" t="n">
        <x:v>3.8</x:v>
      </x:c>
      <x:c r="T132" s="32" t="n">
        <x:v>3.5</x:v>
      </x:c>
      <x:c r="U132" s="32" t="n">
        <x:v>4.5</x:v>
      </x:c>
      <x:c r="V132" s="32" t="n">
        <x:v>3.7</x:v>
      </x:c>
      <x:c r="W132" s="32" t="n">
        <x:v>4</x:v>
      </x:c>
      <x:c r="X132" s="32" t="n">
        <x:v>3.4</x:v>
      </x:c>
      <x:c r="Y132" s="32" t="n">
        <x:v>4.4</x:v>
      </x:c>
      <x:c r="Z132" s="32" t="n">
        <x:v>4</x:v>
      </x:c>
      <x:c r="AA132" s="32" t="n">
        <x:v>3.5</x:v>
      </x:c>
      <x:c r="AB132" s="32" t="n">
        <x:v>4.6</x:v>
      </x:c>
      <x:c r="AC132" s="32" t="n">
        <x:v>3.9</x:v>
      </x:c>
      <x:c r="AD132" s="32" t="n">
        <x:f>ROUND((I132*'Criteria &amp; Scoring'!$B$5+J132*'Criteria &amp; Scoring'!$B$6+K132*'Criteria &amp; Scoring'!$B$7+L132*'Criteria &amp; Scoring'!$B$8+M132*'Criteria &amp; Scoring'!$B$9+N132*'Criteria &amp; Scoring'!$B$10+O132*'Criteria &amp; Scoring'!$B$11)/SUM('Criteria &amp; Scoring'!$B$5:$B$11),2)</x:f>
        <x:v>3.8</x:v>
      </x:c>
      <x:c r="AE132" s="32" t="n">
        <x:f>ROUND((P132*'Criteria &amp; Scoring'!$B$5+Q132*'Criteria &amp; Scoring'!$B$6+R132*'Criteria &amp; Scoring'!$B$7+S132*'Criteria &amp; Scoring'!$B$8+T132*'Criteria &amp; Scoring'!$B$9+U132*'Criteria &amp; Scoring'!$B$10+V132*'Criteria &amp; Scoring'!$B$11)/SUM('Criteria &amp; Scoring'!$B$5:$B$11),2)</x:f>
        <x:v>3.94</x:v>
      </x:c>
      <x:c r="AF132" s="32" t="n">
        <x:f>ROUND((W132*'Criteria &amp; Scoring'!$B$5+X132*'Criteria &amp; Scoring'!$B$6+Y132*'Criteria &amp; Scoring'!$B$7+Z132*'Criteria &amp; Scoring'!$B$8+AA132*'Criteria &amp; Scoring'!$B$9+AB132*'Criteria &amp; Scoring'!$B$10+AC132*'Criteria &amp; Scoring'!$B$11)/SUM('Criteria &amp; Scoring'!$B$5:$B$11),2)</x:f>
        <x:v>3.95</x:v>
      </x:c>
      <x:c r="AG132" s="32" t="str">
        <x:f>IF(LARGE(AD132:AF132,1)-LARGE(AD132:AF132,2)&lt;0.15,"Context-dependent tie",SUBSTITUTE(INDEX($AD$4:$AF$4,1,MATCH(MAX(AD132:AF132),AD132:AF132,0))," Overall",""))</x:f>
        <x:v>Context-dependent tie</x:v>
      </x:c>
      <x:c r="AH132" s="32" t="str">
        <x:f>IF(AG132="AWS","Start with AWS when infrastructure breadth, native integration and operational maturity are the main differentiators.",IF(AG132="Azure","Start with Azure when Microsoft identity, security, data, productivity or hybrid integration reduces delivery effort.",IF(AG132="GCP","Start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32" s="32" t="str">
        <x:v>Medium</x:v>
      </x:c>
      <x:c r="AJ132" s="32" t="str">
        <x:v>2026-07-12</x:v>
      </x:c>
    </x:row>
    <x:row r="133">
      <x:c r="A133" s="32" t="str">
        <x:v>Managed network firewall</x:v>
      </x:c>
      <x:c r="B133" s="32" t="str">
        <x:v>02 Security, Identity &amp; Compliance</x:v>
      </x:c>
      <x:c r="C133" s="32" t="str">
        <x:v>Network &amp; Application Security</x:v>
      </x:c>
      <x:c r="D133" s="32" t="str">
        <x:v>Workload</x:v>
      </x:c>
      <x:c r="E133" s="32" t="str">
        <x:v>What business outcome, scale, control, integration and operating model justify choosing managed network firewall?</x:v>
      </x:c>
      <x:c r="F133" s="32" t="str">
        <x:v>AWS Network Firewall</x:v>
      </x:c>
      <x:c r="G133" s="32" t="str">
        <x:v>Azure Firewall</x:v>
      </x:c>
      <x:c r="H133" s="32" t="str">
        <x:v>Cloud Next Generation Firewall</x:v>
      </x:c>
      <x:c r="I133" s="32" t="n">
        <x:v>4.2</x:v>
      </x:c>
      <x:c r="J133" s="32" t="n">
        <x:v>3</x:v>
      </x:c>
      <x:c r="K133" s="32" t="n">
        <x:v>4.6</x:v>
      </x:c>
      <x:c r="L133" s="32" t="n">
        <x:v>3.9</x:v>
      </x:c>
      <x:c r="M133" s="32" t="n">
        <x:v>3.5</x:v>
      </x:c>
      <x:c r="N133" s="32" t="n">
        <x:v>4.8</x:v>
      </x:c>
      <x:c r="O133" s="32" t="n">
        <x:v>3.7</x:v>
      </x:c>
      <x:c r="P133" s="32" t="n">
        <x:v>4.2</x:v>
      </x:c>
      <x:c r="Q133" s="32" t="n">
        <x:v>3</x:v>
      </x:c>
      <x:c r="R133" s="32" t="n">
        <x:v>4.8</x:v>
      </x:c>
      <x:c r="S133" s="32" t="n">
        <x:v>3.9</x:v>
      </x:c>
      <x:c r="T133" s="32" t="n">
        <x:v>3.5</x:v>
      </x:c>
      <x:c r="U133" s="32" t="n">
        <x:v>4.7</x:v>
      </x:c>
      <x:c r="V133" s="32" t="n">
        <x:v>3.8</x:v>
      </x:c>
      <x:c r="W133" s="32" t="n">
        <x:v>4.2</x:v>
      </x:c>
      <x:c r="X133" s="32" t="n">
        <x:v>3</x:v>
      </x:c>
      <x:c r="Y133" s="32" t="n">
        <x:v>4.5</x:v>
      </x:c>
      <x:c r="Z133" s="32" t="n">
        <x:v>4</x:v>
      </x:c>
      <x:c r="AA133" s="32" t="n">
        <x:v>3.5</x:v>
      </x:c>
      <x:c r="AB133" s="32" t="n">
        <x:v>4.4</x:v>
      </x:c>
      <x:c r="AC133" s="32" t="n">
        <x:v>3.9</x:v>
      </x:c>
      <x:c r="AD133" s="32" t="n">
        <x:f>ROUND((I133*'Criteria &amp; Scoring'!$B$5+J133*'Criteria &amp; Scoring'!$B$6+K133*'Criteria &amp; Scoring'!$B$7+L133*'Criteria &amp; Scoring'!$B$8+M133*'Criteria &amp; Scoring'!$B$9+N133*'Criteria &amp; Scoring'!$B$10+O133*'Criteria &amp; Scoring'!$B$11)/SUM('Criteria &amp; Scoring'!$B$5:$B$11),2)</x:f>
        <x:v>3.94</x:v>
      </x:c>
      <x:c r="AE133" s="32" t="n">
        <x:f>ROUND((P133*'Criteria &amp; Scoring'!$B$5+Q133*'Criteria &amp; Scoring'!$B$6+R133*'Criteria &amp; Scoring'!$B$7+S133*'Criteria &amp; Scoring'!$B$8+T133*'Criteria &amp; Scoring'!$B$9+U133*'Criteria &amp; Scoring'!$B$10+V133*'Criteria &amp; Scoring'!$B$11)/SUM('Criteria &amp; Scoring'!$B$5:$B$11),2)</x:f>
        <x:v>3.97</x:v>
      </x:c>
      <x:c r="AF133" s="32" t="n">
        <x:f>ROUND((W133*'Criteria &amp; Scoring'!$B$5+X133*'Criteria &amp; Scoring'!$B$6+Y133*'Criteria &amp; Scoring'!$B$7+Z133*'Criteria &amp; Scoring'!$B$8+AA133*'Criteria &amp; Scoring'!$B$9+AB133*'Criteria &amp; Scoring'!$B$10+AC133*'Criteria &amp; Scoring'!$B$11)/SUM('Criteria &amp; Scoring'!$B$5:$B$11),2)</x:f>
        <x:v>3.91</x:v>
      </x:c>
      <x:c r="AG133" s="32" t="str">
        <x:f>IF(LARGE(AD133:AF133,1)-LARGE(AD133:AF133,2)&lt;0.15,"Context-dependent tie",SUBSTITUTE(INDEX($AD$4:$AF$4,1,MATCH(MAX(AD133:AF133),AD133:AF133,0))," Overall",""))</x:f>
        <x:v>Context-dependent tie</x:v>
      </x:c>
      <x:c r="AH133" s="32" t="str">
        <x:f>IF(AG133="AWS","Start with AWS when infrastructure breadth, native integration and operational maturity are the main differentiators.",IF(AG133="Azure","Start with Azure when Microsoft identity, security, data, productivity or hybrid integration reduces delivery effort.",IF(AG133="GCP","Start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33" s="32" t="str">
        <x:v>High</x:v>
      </x:c>
      <x:c r="AJ133" s="32" t="str">
        <x:v>2026-07-12</x:v>
      </x:c>
    </x:row>
    <x:row r="134">
      <x:c r="A134" s="32" t="str">
        <x:v>Web application firewall</x:v>
      </x:c>
      <x:c r="B134" s="32" t="str">
        <x:v>02 Security, Identity &amp; Compliance</x:v>
      </x:c>
      <x:c r="C134" s="32" t="str">
        <x:v>Network &amp; Application Security</x:v>
      </x:c>
      <x:c r="D134" s="32" t="str">
        <x:v>Workload</x:v>
      </x:c>
      <x:c r="E134" s="32" t="str">
        <x:v>What business outcome, scale, control, integration and operating model justify choosing web application firewall?</x:v>
      </x:c>
      <x:c r="F134" s="32" t="str">
        <x:v>AWS WAF</x:v>
      </x:c>
      <x:c r="G134" s="32" t="str">
        <x:v>Azure Web Application Firewall</x:v>
      </x:c>
      <x:c r="H134" s="32" t="str">
        <x:v>Cloud Armor</x:v>
      </x:c>
      <x:c r="I134" s="32" t="n">
        <x:v>4.2</x:v>
      </x:c>
      <x:c r="J134" s="32" t="n">
        <x:v>3</x:v>
      </x:c>
      <x:c r="K134" s="32" t="n">
        <x:v>4.6</x:v>
      </x:c>
      <x:c r="L134" s="32" t="n">
        <x:v>3.9</x:v>
      </x:c>
      <x:c r="M134" s="32" t="n">
        <x:v>3.5</x:v>
      </x:c>
      <x:c r="N134" s="32" t="n">
        <x:v>4.8</x:v>
      </x:c>
      <x:c r="O134" s="32" t="n">
        <x:v>3.7</x:v>
      </x:c>
      <x:c r="P134" s="32" t="n">
        <x:v>4.2</x:v>
      </x:c>
      <x:c r="Q134" s="32" t="n">
        <x:v>3</x:v>
      </x:c>
      <x:c r="R134" s="32" t="n">
        <x:v>4.8</x:v>
      </x:c>
      <x:c r="S134" s="32" t="n">
        <x:v>3.9</x:v>
      </x:c>
      <x:c r="T134" s="32" t="n">
        <x:v>3.5</x:v>
      </x:c>
      <x:c r="U134" s="32" t="n">
        <x:v>4.7</x:v>
      </x:c>
      <x:c r="V134" s="32" t="n">
        <x:v>3.8</x:v>
      </x:c>
      <x:c r="W134" s="32" t="n">
        <x:v>4.2</x:v>
      </x:c>
      <x:c r="X134" s="32" t="n">
        <x:v>3</x:v>
      </x:c>
      <x:c r="Y134" s="32" t="n">
        <x:v>4.5</x:v>
      </x:c>
      <x:c r="Z134" s="32" t="n">
        <x:v>4</x:v>
      </x:c>
      <x:c r="AA134" s="32" t="n">
        <x:v>3.5</x:v>
      </x:c>
      <x:c r="AB134" s="32" t="n">
        <x:v>4.4</x:v>
      </x:c>
      <x:c r="AC134" s="32" t="n">
        <x:v>3.9</x:v>
      </x:c>
      <x:c r="AD134" s="32" t="n">
        <x:f>ROUND((I134*'Criteria &amp; Scoring'!$B$5+J134*'Criteria &amp; Scoring'!$B$6+K134*'Criteria &amp; Scoring'!$B$7+L134*'Criteria &amp; Scoring'!$B$8+M134*'Criteria &amp; Scoring'!$B$9+N134*'Criteria &amp; Scoring'!$B$10+O134*'Criteria &amp; Scoring'!$B$11)/SUM('Criteria &amp; Scoring'!$B$5:$B$11),2)</x:f>
        <x:v>3.94</x:v>
      </x:c>
      <x:c r="AE134" s="32" t="n">
        <x:f>ROUND((P134*'Criteria &amp; Scoring'!$B$5+Q134*'Criteria &amp; Scoring'!$B$6+R134*'Criteria &amp; Scoring'!$B$7+S134*'Criteria &amp; Scoring'!$B$8+T134*'Criteria &amp; Scoring'!$B$9+U134*'Criteria &amp; Scoring'!$B$10+V134*'Criteria &amp; Scoring'!$B$11)/SUM('Criteria &amp; Scoring'!$B$5:$B$11),2)</x:f>
        <x:v>3.97</x:v>
      </x:c>
      <x:c r="AF134" s="32" t="n">
        <x:f>ROUND((W134*'Criteria &amp; Scoring'!$B$5+X134*'Criteria &amp; Scoring'!$B$6+Y134*'Criteria &amp; Scoring'!$B$7+Z134*'Criteria &amp; Scoring'!$B$8+AA134*'Criteria &amp; Scoring'!$B$9+AB134*'Criteria &amp; Scoring'!$B$10+AC134*'Criteria &amp; Scoring'!$B$11)/SUM('Criteria &amp; Scoring'!$B$5:$B$11),2)</x:f>
        <x:v>3.91</x:v>
      </x:c>
      <x:c r="AG134" s="32" t="str">
        <x:f>IF(LARGE(AD134:AF134,1)-LARGE(AD134:AF134,2)&lt;0.15,"Context-dependent tie",SUBSTITUTE(INDEX($AD$4:$AF$4,1,MATCH(MAX(AD134:AF134),AD134:AF134,0))," Overall",""))</x:f>
        <x:v>Context-dependent tie</x:v>
      </x:c>
      <x:c r="AH134" s="32" t="str">
        <x:f>IF(AG134="AWS","Start with AWS when infrastructure breadth, native integration and operational maturity are the main differentiators.",IF(AG134="Azure","Start with Azure when Microsoft identity, security, data, productivity or hybrid integration reduces delivery effort.",IF(AG134="GCP","Start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34" s="32" t="str">
        <x:v>High</x:v>
      </x:c>
      <x:c r="AJ134" s="32" t="str">
        <x:v>2026-07-12</x:v>
      </x:c>
    </x:row>
    <x:row r="135">
      <x:c r="A135" s="32" t="str">
        <x:v>DDoS protection</x:v>
      </x:c>
      <x:c r="B135" s="32" t="str">
        <x:v>02 Security, Identity &amp; Compliance</x:v>
      </x:c>
      <x:c r="C135" s="32" t="str">
        <x:v>Network &amp; Application Security</x:v>
      </x:c>
      <x:c r="D135" s="32" t="str">
        <x:v>Workload</x:v>
      </x:c>
      <x:c r="E135" s="32" t="str">
        <x:v>What business outcome, scale, control, integration and operating model justify choosing ddos protection?</x:v>
      </x:c>
      <x:c r="F135" s="32" t="str">
        <x:v>AWS Shield</x:v>
      </x:c>
      <x:c r="G135" s="32" t="str">
        <x:v>Azure DDoS Protection</x:v>
      </x:c>
      <x:c r="H135" s="32" t="str">
        <x:v>Cloud Armor</x:v>
      </x:c>
      <x:c r="I135" s="32" t="n">
        <x:v>4</x:v>
      </x:c>
      <x:c r="J135" s="32" t="n">
        <x:v>3</x:v>
      </x:c>
      <x:c r="K135" s="32" t="n">
        <x:v>4.5</x:v>
      </x:c>
      <x:c r="L135" s="32" t="n">
        <x:v>3.9</x:v>
      </x:c>
      <x:c r="M135" s="32" t="n">
        <x:v>3.5</x:v>
      </x:c>
      <x:c r="N135" s="32" t="n">
        <x:v>4.7</x:v>
      </x:c>
      <x:c r="O135" s="32" t="n">
        <x:v>3.7</x:v>
      </x:c>
      <x:c r="P135" s="32" t="n">
        <x:v>4</x:v>
      </x:c>
      <x:c r="Q135" s="32" t="n">
        <x:v>3</x:v>
      </x:c>
      <x:c r="R135" s="32" t="n">
        <x:v>4.8</x:v>
      </x:c>
      <x:c r="S135" s="32" t="n">
        <x:v>3.9</x:v>
      </x:c>
      <x:c r="T135" s="32" t="n">
        <x:v>3.5</x:v>
      </x:c>
      <x:c r="U135" s="32" t="n">
        <x:v>4.6</x:v>
      </x:c>
      <x:c r="V135" s="32" t="n">
        <x:v>3.8</x:v>
      </x:c>
      <x:c r="W135" s="32" t="n">
        <x:v>4</x:v>
      </x:c>
      <x:c r="X135" s="32" t="n">
        <x:v>3</x:v>
      </x:c>
      <x:c r="Y135" s="32" t="n">
        <x:v>4.4</x:v>
      </x:c>
      <x:c r="Z135" s="32" t="n">
        <x:v>4</x:v>
      </x:c>
      <x:c r="AA135" s="32" t="n">
        <x:v>3.5</x:v>
      </x:c>
      <x:c r="AB135" s="32" t="n">
        <x:v>4.3</x:v>
      </x:c>
      <x:c r="AC135" s="32" t="n">
        <x:v>3.9</x:v>
      </x:c>
      <x:c r="AD135" s="32" t="n">
        <x:f>ROUND((I135*'Criteria &amp; Scoring'!$B$5+J135*'Criteria &amp; Scoring'!$B$6+K135*'Criteria &amp; Scoring'!$B$7+L135*'Criteria &amp; Scoring'!$B$8+M135*'Criteria &amp; Scoring'!$B$9+N135*'Criteria &amp; Scoring'!$B$10+O135*'Criteria &amp; Scoring'!$B$11)/SUM('Criteria &amp; Scoring'!$B$5:$B$11),2)</x:f>
        <x:v>3.87</x:v>
      </x:c>
      <x:c r="AE135" s="32" t="n">
        <x:f>ROUND((P135*'Criteria &amp; Scoring'!$B$5+Q135*'Criteria &amp; Scoring'!$B$6+R135*'Criteria &amp; Scoring'!$B$7+S135*'Criteria &amp; Scoring'!$B$8+T135*'Criteria &amp; Scoring'!$B$9+U135*'Criteria &amp; Scoring'!$B$10+V135*'Criteria &amp; Scoring'!$B$11)/SUM('Criteria &amp; Scoring'!$B$5:$B$11),2)</x:f>
        <x:v>3.91</x:v>
      </x:c>
      <x:c r="AF135" s="32" t="n">
        <x:f>ROUND((W135*'Criteria &amp; Scoring'!$B$5+X135*'Criteria &amp; Scoring'!$B$6+Y135*'Criteria &amp; Scoring'!$B$7+Z135*'Criteria &amp; Scoring'!$B$8+AA135*'Criteria &amp; Scoring'!$B$9+AB135*'Criteria &amp; Scoring'!$B$10+AC135*'Criteria &amp; Scoring'!$B$11)/SUM('Criteria &amp; Scoring'!$B$5:$B$11),2)</x:f>
        <x:v>3.84</x:v>
      </x:c>
      <x:c r="AG135" s="32" t="str">
        <x:f>IF(LARGE(AD135:AF135,1)-LARGE(AD135:AF135,2)&lt;0.15,"Context-dependent tie",SUBSTITUTE(INDEX($AD$4:$AF$4,1,MATCH(MAX(AD135:AF135),AD135:AF135,0))," Overall",""))</x:f>
        <x:v>Context-dependent tie</x:v>
      </x:c>
      <x:c r="AH135" s="32" t="str">
        <x:f>IF(AG135="AWS","Start with AWS when infrastructure breadth, native integration and operational maturity are the main differentiators.",IF(AG135="Azure","Start with Azure when Microsoft identity, security, data, productivity or hybrid integration reduces delivery effort.",IF(AG135="GCP","Start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35" s="32" t="str">
        <x:v>Medium</x:v>
      </x:c>
      <x:c r="AJ135" s="32" t="str">
        <x:v>2026-07-12</x:v>
      </x:c>
    </x:row>
    <x:row r="136">
      <x:c r="A136" s="32" t="str">
        <x:v>Central firewall policy management</x:v>
      </x:c>
      <x:c r="B136" s="32" t="str">
        <x:v>02 Security, Identity &amp; Compliance</x:v>
      </x:c>
      <x:c r="C136" s="32" t="str">
        <x:v>Network &amp; Application Security</x:v>
      </x:c>
      <x:c r="D136" s="32" t="str">
        <x:v>Foundation</x:v>
      </x:c>
      <x:c r="E136" s="32" t="str">
        <x:v>What business outcome, scale, control, integration and operating model justify choosing central firewall policy management?</x:v>
      </x:c>
      <x:c r="F136" s="32" t="str">
        <x:v>AWS Firewall Manager</x:v>
      </x:c>
      <x:c r="G136" s="32" t="str">
        <x:v>Azure Firewall Manager</x:v>
      </x:c>
      <x:c r="H136" s="32" t="str">
        <x:v>Network Security integration in Cloud NGFW</x:v>
      </x:c>
      <x:c r="I136" s="32" t="n">
        <x:v>4</x:v>
      </x:c>
      <x:c r="J136" s="32" t="n">
        <x:v>3</x:v>
      </x:c>
      <x:c r="K136" s="32" t="n">
        <x:v>4.5</x:v>
      </x:c>
      <x:c r="L136" s="32" t="n">
        <x:v>3.9</x:v>
      </x:c>
      <x:c r="M136" s="32" t="n">
        <x:v>3.5</x:v>
      </x:c>
      <x:c r="N136" s="32" t="n">
        <x:v>4.7</x:v>
      </x:c>
      <x:c r="O136" s="32" t="n">
        <x:v>3.7</x:v>
      </x:c>
      <x:c r="P136" s="32" t="n">
        <x:v>4</x:v>
      </x:c>
      <x:c r="Q136" s="32" t="n">
        <x:v>3</x:v>
      </x:c>
      <x:c r="R136" s="32" t="n">
        <x:v>4.8</x:v>
      </x:c>
      <x:c r="S136" s="32" t="n">
        <x:v>3.9</x:v>
      </x:c>
      <x:c r="T136" s="32" t="n">
        <x:v>3.5</x:v>
      </x:c>
      <x:c r="U136" s="32" t="n">
        <x:v>4.6</x:v>
      </x:c>
      <x:c r="V136" s="32" t="n">
        <x:v>3.8</x:v>
      </x:c>
      <x:c r="W136" s="32" t="n">
        <x:v>4</x:v>
      </x:c>
      <x:c r="X136" s="32" t="n">
        <x:v>3</x:v>
      </x:c>
      <x:c r="Y136" s="32" t="n">
        <x:v>4.4</x:v>
      </x:c>
      <x:c r="Z136" s="32" t="n">
        <x:v>4</x:v>
      </x:c>
      <x:c r="AA136" s="32" t="n">
        <x:v>3.5</x:v>
      </x:c>
      <x:c r="AB136" s="32" t="n">
        <x:v>4.3</x:v>
      </x:c>
      <x:c r="AC136" s="32" t="n">
        <x:v>3.9</x:v>
      </x:c>
      <x:c r="AD136" s="32" t="n">
        <x:f>ROUND((I136*'Criteria &amp; Scoring'!$B$5+J136*'Criteria &amp; Scoring'!$B$6+K136*'Criteria &amp; Scoring'!$B$7+L136*'Criteria &amp; Scoring'!$B$8+M136*'Criteria &amp; Scoring'!$B$9+N136*'Criteria &amp; Scoring'!$B$10+O136*'Criteria &amp; Scoring'!$B$11)/SUM('Criteria &amp; Scoring'!$B$5:$B$11),2)</x:f>
        <x:v>3.87</x:v>
      </x:c>
      <x:c r="AE136" s="32" t="n">
        <x:f>ROUND((P136*'Criteria &amp; Scoring'!$B$5+Q136*'Criteria &amp; Scoring'!$B$6+R136*'Criteria &amp; Scoring'!$B$7+S136*'Criteria &amp; Scoring'!$B$8+T136*'Criteria &amp; Scoring'!$B$9+U136*'Criteria &amp; Scoring'!$B$10+V136*'Criteria &amp; Scoring'!$B$11)/SUM('Criteria &amp; Scoring'!$B$5:$B$11),2)</x:f>
        <x:v>3.91</x:v>
      </x:c>
      <x:c r="AF136" s="32" t="n">
        <x:f>ROUND((W136*'Criteria &amp; Scoring'!$B$5+X136*'Criteria &amp; Scoring'!$B$6+Y136*'Criteria &amp; Scoring'!$B$7+Z136*'Criteria &amp; Scoring'!$B$8+AA136*'Criteria &amp; Scoring'!$B$9+AB136*'Criteria &amp; Scoring'!$B$10+AC136*'Criteria &amp; Scoring'!$B$11)/SUM('Criteria &amp; Scoring'!$B$5:$B$11),2)</x:f>
        <x:v>3.84</x:v>
      </x:c>
      <x:c r="AG136" s="32" t="str">
        <x:f>IF(LARGE(AD136:AF136,1)-LARGE(AD136:AF136,2)&lt;0.15,"Context-dependent tie",SUBSTITUTE(INDEX($AD$4:$AF$4,1,MATCH(MAX(AD136:AF136),AD136:AF136,0))," Overall",""))</x:f>
        <x:v>Context-dependent tie</x:v>
      </x:c>
      <x:c r="AH136" s="32" t="str">
        <x:f>IF(AG136="AWS","Start with AWS when infrastructure breadth, native integration and operational maturity are the main differentiators.",IF(AG136="Azure","Start with Azure when Microsoft identity, security, data, productivity or hybrid integration reduces delivery effort.",IF(AG136="GCP","Start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36" s="32" t="str">
        <x:v>Medium</x:v>
      </x:c>
      <x:c r="AJ136" s="32" t="str">
        <x:v>2026-07-12</x:v>
      </x:c>
    </x:row>
    <x:row r="137">
      <x:c r="A137" s="32" t="str">
        <x:v>Managed bastion access</x:v>
      </x:c>
      <x:c r="B137" s="32" t="str">
        <x:v>02 Security, Identity &amp; Compliance</x:v>
      </x:c>
      <x:c r="C137" s="32" t="str">
        <x:v>Network &amp; Application Security</x:v>
      </x:c>
      <x:c r="D137" s="32" t="str">
        <x:v>Workload</x:v>
      </x:c>
      <x:c r="E137" s="32" t="str">
        <x:v>What business outcome, scale, control, integration and operating model justify choosing managed bastion access?</x:v>
      </x:c>
      <x:c r="F137" s="32" t="str">
        <x:v>AWS Systems Manager Session Manager
EC2 Instance Connect Endpoint</x:v>
      </x:c>
      <x:c r="G137" s="32" t="str">
        <x:v>Azure Bastion</x:v>
      </x:c>
      <x:c r="H137" s="32" t="str">
        <x:v>Identity-Aware Proxy TCP forwarding</x:v>
      </x:c>
      <x:c r="I137" s="32" t="n">
        <x:v>3.9</x:v>
      </x:c>
      <x:c r="J137" s="32" t="n">
        <x:v>2.9</x:v>
      </x:c>
      <x:c r="K137" s="32" t="n">
        <x:v>4.4</x:v>
      </x:c>
      <x:c r="L137" s="32" t="n">
        <x:v>3.8</x:v>
      </x:c>
      <x:c r="M137" s="32" t="n">
        <x:v>3.5</x:v>
      </x:c>
      <x:c r="N137" s="32" t="n">
        <x:v>4.5</x:v>
      </x:c>
      <x:c r="O137" s="32" t="n">
        <x:v>3.6</x:v>
      </x:c>
      <x:c r="P137" s="32" t="n">
        <x:v>4</x:v>
      </x:c>
      <x:c r="Q137" s="32" t="n">
        <x:v>3</x:v>
      </x:c>
      <x:c r="R137" s="32" t="n">
        <x:v>4.8</x:v>
      </x:c>
      <x:c r="S137" s="32" t="n">
        <x:v>3.9</x:v>
      </x:c>
      <x:c r="T137" s="32" t="n">
        <x:v>3.5</x:v>
      </x:c>
      <x:c r="U137" s="32" t="n">
        <x:v>4.6</x:v>
      </x:c>
      <x:c r="V137" s="32" t="n">
        <x:v>3.8</x:v>
      </x:c>
      <x:c r="W137" s="32" t="n">
        <x:v>4</x:v>
      </x:c>
      <x:c r="X137" s="32" t="n">
        <x:v>3</x:v>
      </x:c>
      <x:c r="Y137" s="32" t="n">
        <x:v>4.4</x:v>
      </x:c>
      <x:c r="Z137" s="32" t="n">
        <x:v>4</x:v>
      </x:c>
      <x:c r="AA137" s="32" t="n">
        <x:v>3.5</x:v>
      </x:c>
      <x:c r="AB137" s="32" t="n">
        <x:v>4.3</x:v>
      </x:c>
      <x:c r="AC137" s="32" t="n">
        <x:v>3.9</x:v>
      </x:c>
      <x:c r="AD137" s="32" t="n">
        <x:f>ROUND((I137*'Criteria &amp; Scoring'!$B$5+J137*'Criteria &amp; Scoring'!$B$6+K137*'Criteria &amp; Scoring'!$B$7+L137*'Criteria &amp; Scoring'!$B$8+M137*'Criteria &amp; Scoring'!$B$9+N137*'Criteria &amp; Scoring'!$B$10+O137*'Criteria &amp; Scoring'!$B$11)/SUM('Criteria &amp; Scoring'!$B$5:$B$11),2)</x:f>
        <x:v>3.77</x:v>
      </x:c>
      <x:c r="AE137" s="32" t="n">
        <x:f>ROUND((P137*'Criteria &amp; Scoring'!$B$5+Q137*'Criteria &amp; Scoring'!$B$6+R137*'Criteria &amp; Scoring'!$B$7+S137*'Criteria &amp; Scoring'!$B$8+T137*'Criteria &amp; Scoring'!$B$9+U137*'Criteria &amp; Scoring'!$B$10+V137*'Criteria &amp; Scoring'!$B$11)/SUM('Criteria &amp; Scoring'!$B$5:$B$11),2)</x:f>
        <x:v>3.91</x:v>
      </x:c>
      <x:c r="AF137" s="32" t="n">
        <x:f>ROUND((W137*'Criteria &amp; Scoring'!$B$5+X137*'Criteria &amp; Scoring'!$B$6+Y137*'Criteria &amp; Scoring'!$B$7+Z137*'Criteria &amp; Scoring'!$B$8+AA137*'Criteria &amp; Scoring'!$B$9+AB137*'Criteria &amp; Scoring'!$B$10+AC137*'Criteria &amp; Scoring'!$B$11)/SUM('Criteria &amp; Scoring'!$B$5:$B$11),2)</x:f>
        <x:v>3.84</x:v>
      </x:c>
      <x:c r="AG137" s="32" t="str">
        <x:f>IF(LARGE(AD137:AF137,1)-LARGE(AD137:AF137,2)&lt;0.15,"Context-dependent tie",SUBSTITUTE(INDEX($AD$4:$AF$4,1,MATCH(MAX(AD137:AF137),AD137:AF137,0))," Overall",""))</x:f>
        <x:v>Context-dependent tie</x:v>
      </x:c>
      <x:c r="AH137" s="32" t="str">
        <x:f>IF(AG137="AWS","Start with AWS when infrastructure breadth, native integration and operational maturity are the main differentiators.",IF(AG137="Azure","Start with Azure when Microsoft identity, security, data, productivity or hybrid integration reduces delivery effort.",IF(AG137="GCP","Start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37" s="32" t="str">
        <x:v>Medium</x:v>
      </x:c>
      <x:c r="AJ137" s="32" t="str">
        <x:v>2026-07-12</x:v>
      </x:c>
    </x:row>
    <x:row r="138">
      <x:c r="A138" s="32" t="str">
        <x:v>Confidential virtual machines</x:v>
      </x:c>
      <x:c r="B138" s="32" t="str">
        <x:v>02 Security, Identity &amp; Compliance</x:v>
      </x:c>
      <x:c r="C138" s="32" t="str">
        <x:v>Threat Detection &amp; Security Operations</x:v>
      </x:c>
      <x:c r="D138" s="32" t="str">
        <x:v>Workload</x:v>
      </x:c>
      <x:c r="E138" s="32" t="str">
        <x:v>Do you need posture, detection, investigation, SIEM/SOAR, or all of them in one operating model?</x:v>
      </x:c>
      <x:c r="F138" s="32" t="str">
        <x:v>AWS Nitro Enclaves
confidential EC2 instances</x:v>
      </x:c>
      <x:c r="G138" s="32" t="str">
        <x:v>Azure Confidential Computing</x:v>
      </x:c>
      <x:c r="H138" s="32" t="str">
        <x:v>Confidential VM
Confidential Computing</x:v>
      </x:c>
      <x:c r="I138" s="32" t="n">
        <x:v>4.2</x:v>
      </x:c>
      <x:c r="J138" s="32" t="n">
        <x:v>1.8</x:v>
      </x:c>
      <x:c r="K138" s="32" t="n">
        <x:v>4.2</x:v>
      </x:c>
      <x:c r="L138" s="32" t="n">
        <x:v>3.8</x:v>
      </x:c>
      <x:c r="M138" s="32" t="n">
        <x:v>4.1</x:v>
      </x:c>
      <x:c r="N138" s="32" t="n">
        <x:v>4.4</x:v>
      </x:c>
      <x:c r="O138" s="32" t="n">
        <x:v>3.6</x:v>
      </x:c>
      <x:c r="P138" s="32" t="n">
        <x:v>4.5</x:v>
      </x:c>
      <x:c r="Q138" s="32" t="n">
        <x:v>2</x:v>
      </x:c>
      <x:c r="R138" s="32" t="n">
        <x:v>4.8</x:v>
      </x:c>
      <x:c r="S138" s="32" t="n">
        <x:v>3.9</x:v>
      </x:c>
      <x:c r="T138" s="32" t="n">
        <x:v>4.2</x:v>
      </x:c>
      <x:c r="U138" s="32" t="n">
        <x:v>4.6</x:v>
      </x:c>
      <x:c r="V138" s="32" t="n">
        <x:v>3.8</x:v>
      </x:c>
      <x:c r="W138" s="32" t="n">
        <x:v>3.9</x:v>
      </x:c>
      <x:c r="X138" s="32" t="n">
        <x:v>1.9</x:v>
      </x:c>
      <x:c r="Y138" s="32" t="n">
        <x:v>4.1</x:v>
      </x:c>
      <x:c r="Z138" s="32" t="n">
        <x:v>3.9</x:v>
      </x:c>
      <x:c r="AA138" s="32" t="n">
        <x:v>4.1</x:v>
      </x:c>
      <x:c r="AB138" s="32" t="n">
        <x:v>4.2</x:v>
      </x:c>
      <x:c r="AC138" s="32" t="n">
        <x:v>3.8</x:v>
      </x:c>
      <x:c r="AD138" s="32" t="n">
        <x:f>ROUND((I138*'Criteria &amp; Scoring'!$B$5+J138*'Criteria &amp; Scoring'!$B$6+K138*'Criteria &amp; Scoring'!$B$7+L138*'Criteria &amp; Scoring'!$B$8+M138*'Criteria &amp; Scoring'!$B$9+N138*'Criteria &amp; Scoring'!$B$10+O138*'Criteria &amp; Scoring'!$B$11)/SUM('Criteria &amp; Scoring'!$B$5:$B$11),2)</x:f>
        <x:v>3.64</x:v>
      </x:c>
      <x:c r="AE138" s="32" t="n">
        <x:f>ROUND((P138*'Criteria &amp; Scoring'!$B$5+Q138*'Criteria &amp; Scoring'!$B$6+R138*'Criteria &amp; Scoring'!$B$7+S138*'Criteria &amp; Scoring'!$B$8+T138*'Criteria &amp; Scoring'!$B$9+U138*'Criteria &amp; Scoring'!$B$10+V138*'Criteria &amp; Scoring'!$B$11)/SUM('Criteria &amp; Scoring'!$B$5:$B$11),2)</x:f>
        <x:v>3.9</x:v>
      </x:c>
      <x:c r="AF138" s="32" t="n">
        <x:f>ROUND((W138*'Criteria &amp; Scoring'!$B$5+X138*'Criteria &amp; Scoring'!$B$6+Y138*'Criteria &amp; Scoring'!$B$7+Z138*'Criteria &amp; Scoring'!$B$8+AA138*'Criteria &amp; Scoring'!$B$9+AB138*'Criteria &amp; Scoring'!$B$10+AC138*'Criteria &amp; Scoring'!$B$11)/SUM('Criteria &amp; Scoring'!$B$5:$B$11),2)</x:f>
        <x:v>3.58</x:v>
      </x:c>
      <x:c r="AG138" s="32" t="str">
        <x:f>IF(LARGE(AD138:AF138,1)-LARGE(AD138:AF138,2)&lt;0.15,"Context-dependent tie",SUBSTITUTE(INDEX($AD$4:$AF$4,1,MATCH(MAX(AD138:AF138),AD138:AF138,0))," Overall",""))</x:f>
        <x:v>Azure</x:v>
      </x:c>
      <x:c r="AH138" s="32" t="str">
        <x:f>IF(AG138="AWS","Start with AWS when infrastructure breadth, native integration and operational maturity are the main differentiators.",IF(AG138="Azure","Start with Azure when Microsoft identity, security, data, productivity or hybrid integration reduces delivery effort.",IF(AG138="GCP","Start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38" s="32" t="str">
        <x:v>Medium</x:v>
      </x:c>
      <x:c r="AJ138" s="32" t="str">
        <x:v>2026-07-12</x:v>
      </x:c>
    </x:row>
    <x:row r="139">
      <x:c r="A139" s="32" t="str">
        <x:v>Trusted environment attestation</x:v>
      </x:c>
      <x:c r="B139" s="32" t="str">
        <x:v>02 Security, Identity &amp; Compliance</x:v>
      </x:c>
      <x:c r="C139" s="32" t="str">
        <x:v>Cryptography, Keys &amp; Secrets</x:v>
      </x:c>
      <x:c r="D139" s="32" t="str">
        <x:v>Workload</x:v>
      </x:c>
      <x:c r="E139" s="32" t="str">
        <x:v>What business outcome, scale, control, integration and operating model justify choosing trusted environment attestation?</x:v>
      </x:c>
      <x:c r="F139" s="32" t="str">
        <x:v>AWS Nitro Enclaves attestation</x:v>
      </x:c>
      <x:c r="G139" s="32" t="str">
        <x:v>Azure Attestation</x:v>
      </x:c>
      <x:c r="H139" s="32" t="str">
        <x:v>Confidential Space attestation</x:v>
      </x:c>
      <x:c r="I139" s="32" t="n">
        <x:v>4</x:v>
      </x:c>
      <x:c r="J139" s="32" t="n">
        <x:v>3</x:v>
      </x:c>
      <x:c r="K139" s="32" t="n">
        <x:v>4.3</x:v>
      </x:c>
      <x:c r="L139" s="32" t="n">
        <x:v>3.9</x:v>
      </x:c>
      <x:c r="M139" s="32" t="n">
        <x:v>3.5</x:v>
      </x:c>
      <x:c r="N139" s="32" t="n">
        <x:v>4.5</x:v>
      </x:c>
      <x:c r="O139" s="32" t="n">
        <x:v>3.7</x:v>
      </x:c>
      <x:c r="P139" s="32" t="n">
        <x:v>4</x:v>
      </x:c>
      <x:c r="Q139" s="32" t="n">
        <x:v>3</x:v>
      </x:c>
      <x:c r="R139" s="32" t="n">
        <x:v>4.5</x:v>
      </x:c>
      <x:c r="S139" s="32" t="n">
        <x:v>3.9</x:v>
      </x:c>
      <x:c r="T139" s="32" t="n">
        <x:v>3.5</x:v>
      </x:c>
      <x:c r="U139" s="32" t="n">
        <x:v>4.4</x:v>
      </x:c>
      <x:c r="V139" s="32" t="n">
        <x:v>3.8</x:v>
      </x:c>
      <x:c r="W139" s="32" t="n">
        <x:v>4</x:v>
      </x:c>
      <x:c r="X139" s="32" t="n">
        <x:v>3</x:v>
      </x:c>
      <x:c r="Y139" s="32" t="n">
        <x:v>4.2</x:v>
      </x:c>
      <x:c r="Z139" s="32" t="n">
        <x:v>4</x:v>
      </x:c>
      <x:c r="AA139" s="32" t="n">
        <x:v>3.5</x:v>
      </x:c>
      <x:c r="AB139" s="32" t="n">
        <x:v>4.3</x:v>
      </x:c>
      <x:c r="AC139" s="32" t="n">
        <x:v>3.9</x:v>
      </x:c>
      <x:c r="AD139" s="32" t="n">
        <x:f>ROUND((I139*'Criteria &amp; Scoring'!$B$5+J139*'Criteria &amp; Scoring'!$B$6+K139*'Criteria &amp; Scoring'!$B$7+L139*'Criteria &amp; Scoring'!$B$8+M139*'Criteria &amp; Scoring'!$B$9+N139*'Criteria &amp; Scoring'!$B$10+O139*'Criteria &amp; Scoring'!$B$11)/SUM('Criteria &amp; Scoring'!$B$5:$B$11),2)</x:f>
        <x:v>3.82</x:v>
      </x:c>
      <x:c r="AE139" s="32" t="n">
        <x:f>ROUND((P139*'Criteria &amp; Scoring'!$B$5+Q139*'Criteria &amp; Scoring'!$B$6+R139*'Criteria &amp; Scoring'!$B$7+S139*'Criteria &amp; Scoring'!$B$8+T139*'Criteria &amp; Scoring'!$B$9+U139*'Criteria &amp; Scoring'!$B$10+V139*'Criteria &amp; Scoring'!$B$11)/SUM('Criteria &amp; Scoring'!$B$5:$B$11),2)</x:f>
        <x:v>3.84</x:v>
      </x:c>
      <x:c r="AF139" s="32" t="n">
        <x:f>ROUND((W139*'Criteria &amp; Scoring'!$B$5+X139*'Criteria &amp; Scoring'!$B$6+Y139*'Criteria &amp; Scoring'!$B$7+Z139*'Criteria &amp; Scoring'!$B$8+AA139*'Criteria &amp; Scoring'!$B$9+AB139*'Criteria &amp; Scoring'!$B$10+AC139*'Criteria &amp; Scoring'!$B$11)/SUM('Criteria &amp; Scoring'!$B$5:$B$11),2)</x:f>
        <x:v>3.81</x:v>
      </x:c>
      <x:c r="AG139" s="32" t="str">
        <x:f>IF(LARGE(AD139:AF139,1)-LARGE(AD139:AF139,2)&lt;0.15,"Context-dependent tie",SUBSTITUTE(INDEX($AD$4:$AF$4,1,MATCH(MAX(AD139:AF139),AD139:AF139,0))," Overall",""))</x:f>
        <x:v>Context-dependent tie</x:v>
      </x:c>
      <x:c r="AH139" s="32" t="str">
        <x:f>IF(AG139="AWS","Start with AWS when infrastructure breadth, native integration and operational maturity are the main differentiators.",IF(AG139="Azure","Start with Azure when Microsoft identity, security, data, productivity or hybrid integration reduces delivery effort.",IF(AG139="GCP","Start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39" s="32" t="str">
        <x:v>Medium</x:v>
      </x:c>
      <x:c r="AJ139" s="32" t="str">
        <x:v>2026-07-12</x:v>
      </x:c>
    </x:row>
    <x:row r="140">
      <x:c r="A140" s="32" t="str">
        <x:v>Compliance reports and evidence</x:v>
      </x:c>
      <x:c r="B140" s="32" t="str">
        <x:v>02 Security, Identity &amp; Compliance</x:v>
      </x:c>
      <x:c r="C140" s="32" t="str">
        <x:v>Governance, Posture &amp; Compliance</x:v>
      </x:c>
      <x:c r="D140" s="32" t="str">
        <x:v>Workload</x:v>
      </x:c>
      <x:c r="E140" s="32" t="str">
        <x:v>What business outcome, scale, control, integration and operating model justify choosing compliance reports and evidence?</x:v>
      </x:c>
      <x:c r="F140" s="32" t="str">
        <x:v>AWS Artifact
AWS Audit Manager</x:v>
      </x:c>
      <x:c r="G140" s="32" t="str">
        <x:v>Microsoft Service Trust Portal
Microsoft Purview Compliance Manager</x:v>
      </x:c>
      <x:c r="H140" s="32" t="str">
        <x:v>Compliance Reports Manager
Audit Manager</x:v>
      </x:c>
      <x:c r="I140" s="32" t="n">
        <x:v>3.9</x:v>
      </x:c>
      <x:c r="J140" s="32" t="n">
        <x:v>2.9</x:v>
      </x:c>
      <x:c r="K140" s="32" t="n">
        <x:v>4.2</x:v>
      </x:c>
      <x:c r="L140" s="32" t="n">
        <x:v>3.8</x:v>
      </x:c>
      <x:c r="M140" s="32" t="n">
        <x:v>3.5</x:v>
      </x:c>
      <x:c r="N140" s="32" t="n">
        <x:v>4.4</x:v>
      </x:c>
      <x:c r="O140" s="32" t="n">
        <x:v>3.6</x:v>
      </x:c>
      <x:c r="P140" s="32" t="n">
        <x:v>4.3</x:v>
      </x:c>
      <x:c r="Q140" s="32" t="n">
        <x:v>2.9</x:v>
      </x:c>
      <x:c r="R140" s="32" t="n">
        <x:v>4.4</x:v>
      </x:c>
      <x:c r="S140" s="32" t="n">
        <x:v>3.8</x:v>
      </x:c>
      <x:c r="T140" s="32" t="n">
        <x:v>3.5</x:v>
      </x:c>
      <x:c r="U140" s="32" t="n">
        <x:v>4.3</x:v>
      </x:c>
      <x:c r="V140" s="32" t="n">
        <x:v>3.7</x:v>
      </x:c>
      <x:c r="W140" s="32" t="n">
        <x:v>3.9</x:v>
      </x:c>
      <x:c r="X140" s="32" t="n">
        <x:v>2.9</x:v>
      </x:c>
      <x:c r="Y140" s="32" t="n">
        <x:v>4.1</x:v>
      </x:c>
      <x:c r="Z140" s="32" t="n">
        <x:v>3.9</x:v>
      </x:c>
      <x:c r="AA140" s="32" t="n">
        <x:v>3.5</x:v>
      </x:c>
      <x:c r="AB140" s="32" t="n">
        <x:v>4.2</x:v>
      </x:c>
      <x:c r="AC140" s="32" t="n">
        <x:v>3.8</x:v>
      </x:c>
      <x:c r="AD140" s="32" t="n">
        <x:f>ROUND((I140*'Criteria &amp; Scoring'!$B$5+J140*'Criteria &amp; Scoring'!$B$6+K140*'Criteria &amp; Scoring'!$B$7+L140*'Criteria &amp; Scoring'!$B$8+M140*'Criteria &amp; Scoring'!$B$9+N140*'Criteria &amp; Scoring'!$B$10+O140*'Criteria &amp; Scoring'!$B$11)/SUM('Criteria &amp; Scoring'!$B$5:$B$11),2)</x:f>
        <x:v>3.73</x:v>
      </x:c>
      <x:c r="AE140" s="32" t="n">
        <x:f>ROUND((P140*'Criteria &amp; Scoring'!$B$5+Q140*'Criteria &amp; Scoring'!$B$6+R140*'Criteria &amp; Scoring'!$B$7+S140*'Criteria &amp; Scoring'!$B$8+T140*'Criteria &amp; Scoring'!$B$9+U140*'Criteria &amp; Scoring'!$B$10+V140*'Criteria &amp; Scoring'!$B$11)/SUM('Criteria &amp; Scoring'!$B$5:$B$11),2)</x:f>
        <x:v>3.85</x:v>
      </x:c>
      <x:c r="AF140" s="32" t="n">
        <x:f>ROUND((W140*'Criteria &amp; Scoring'!$B$5+X140*'Criteria &amp; Scoring'!$B$6+Y140*'Criteria &amp; Scoring'!$B$7+Z140*'Criteria &amp; Scoring'!$B$8+AA140*'Criteria &amp; Scoring'!$B$9+AB140*'Criteria &amp; Scoring'!$B$10+AC140*'Criteria &amp; Scoring'!$B$11)/SUM('Criteria &amp; Scoring'!$B$5:$B$11),2)</x:f>
        <x:v>3.72</x:v>
      </x:c>
      <x:c r="AG140" s="32" t="str">
        <x:f>IF(LARGE(AD140:AF140,1)-LARGE(AD140:AF140,2)&lt;0.15,"Context-dependent tie",SUBSTITUTE(INDEX($AD$4:$AF$4,1,MATCH(MAX(AD140:AF140),AD140:AF140,0))," Overall",""))</x:f>
        <x:v>Context-dependent tie</x:v>
      </x:c>
      <x:c r="AH140" s="32" t="str">
        <x:f>IF(AG140="AWS","Start with AWS when infrastructure breadth, native integration and operational maturity are the main differentiators.",IF(AG140="Azure","Start with Azure when Microsoft identity, security, data, productivity or hybrid integration reduces delivery effort.",IF(AG140="GCP","Start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40" s="32" t="str">
        <x:v>Medium</x:v>
      </x:c>
      <x:c r="AJ140" s="32" t="str">
        <x:v>2026-07-12</x:v>
      </x:c>
    </x:row>
    <x:row r="141">
      <x:c r="A141" s="32" t="str">
        <x:v>Cloud audit trail</x:v>
      </x:c>
      <x:c r="B141" s="32" t="str">
        <x:v>02 Security, Identity &amp; Compliance</x:v>
      </x:c>
      <x:c r="C141" s="32" t="str">
        <x:v>Governance, Posture &amp; Compliance</x:v>
      </x:c>
      <x:c r="D141" s="32" t="str">
        <x:v>Workload</x:v>
      </x:c>
      <x:c r="E141" s="32" t="str">
        <x:v>What business outcome, scale, control, integration and operating model justify choosing cloud audit trail?</x:v>
      </x:c>
      <x:c r="F141" s="32" t="str">
        <x:v>AWS CloudTrail</x:v>
      </x:c>
      <x:c r="G141" s="32" t="str">
        <x:v>Azure Activity Log
Microsoft Entra audit logs</x:v>
      </x:c>
      <x:c r="H141" s="32" t="str">
        <x:v>Cloud Audit Logs</x:v>
      </x:c>
      <x:c r="I141" s="32" t="n">
        <x:v>4.2</x:v>
      </x:c>
      <x:c r="J141" s="32" t="n">
        <x:v>3</x:v>
      </x:c>
      <x:c r="K141" s="32" t="n">
        <x:v>4.4</x:v>
      </x:c>
      <x:c r="L141" s="32" t="n">
        <x:v>3.9</x:v>
      </x:c>
      <x:c r="M141" s="32" t="n">
        <x:v>3.5</x:v>
      </x:c>
      <x:c r="N141" s="32" t="n">
        <x:v>4.6</x:v>
      </x:c>
      <x:c r="O141" s="32" t="n">
        <x:v>3.7</x:v>
      </x:c>
      <x:c r="P141" s="32" t="n">
        <x:v>4.5</x:v>
      </x:c>
      <x:c r="Q141" s="32" t="n">
        <x:v>2.9</x:v>
      </x:c>
      <x:c r="R141" s="32" t="n">
        <x:v>4.5</x:v>
      </x:c>
      <x:c r="S141" s="32" t="n">
        <x:v>3.8</x:v>
      </x:c>
      <x:c r="T141" s="32" t="n">
        <x:v>3.5</x:v>
      </x:c>
      <x:c r="U141" s="32" t="n">
        <x:v>4.4</x:v>
      </x:c>
      <x:c r="V141" s="32" t="n">
        <x:v>3.7</x:v>
      </x:c>
      <x:c r="W141" s="32" t="n">
        <x:v>4.2</x:v>
      </x:c>
      <x:c r="X141" s="32" t="n">
        <x:v>3</x:v>
      </x:c>
      <x:c r="Y141" s="32" t="n">
        <x:v>4.5</x:v>
      </x:c>
      <x:c r="Z141" s="32" t="n">
        <x:v>4</x:v>
      </x:c>
      <x:c r="AA141" s="32" t="n">
        <x:v>3.5</x:v>
      </x:c>
      <x:c r="AB141" s="32" t="n">
        <x:v>4.4</x:v>
      </x:c>
      <x:c r="AC141" s="32" t="n">
        <x:v>3.9</x:v>
      </x:c>
      <x:c r="AD141" s="32" t="n">
        <x:f>ROUND((I141*'Criteria &amp; Scoring'!$B$5+J141*'Criteria &amp; Scoring'!$B$6+K141*'Criteria &amp; Scoring'!$B$7+L141*'Criteria &amp; Scoring'!$B$8+M141*'Criteria &amp; Scoring'!$B$9+N141*'Criteria &amp; Scoring'!$B$10+O141*'Criteria &amp; Scoring'!$B$11)/SUM('Criteria &amp; Scoring'!$B$5:$B$11),2)</x:f>
        <x:v>3.89</x:v>
      </x:c>
      <x:c r="AE141" s="32" t="n">
        <x:f>ROUND((P141*'Criteria &amp; Scoring'!$B$5+Q141*'Criteria &amp; Scoring'!$B$6+R141*'Criteria &amp; Scoring'!$B$7+S141*'Criteria &amp; Scoring'!$B$8+T141*'Criteria &amp; Scoring'!$B$9+U141*'Criteria &amp; Scoring'!$B$10+V141*'Criteria &amp; Scoring'!$B$11)/SUM('Criteria &amp; Scoring'!$B$5:$B$11),2)</x:f>
        <x:v>3.93</x:v>
      </x:c>
      <x:c r="AF141" s="32" t="n">
        <x:f>ROUND((W141*'Criteria &amp; Scoring'!$B$5+X141*'Criteria &amp; Scoring'!$B$6+Y141*'Criteria &amp; Scoring'!$B$7+Z141*'Criteria &amp; Scoring'!$B$8+AA141*'Criteria &amp; Scoring'!$B$9+AB141*'Criteria &amp; Scoring'!$B$10+AC141*'Criteria &amp; Scoring'!$B$11)/SUM('Criteria &amp; Scoring'!$B$5:$B$11),2)</x:f>
        <x:v>3.91</x:v>
      </x:c>
      <x:c r="AG141" s="32" t="str">
        <x:f>IF(LARGE(AD141:AF141,1)-LARGE(AD141:AF141,2)&lt;0.15,"Context-dependent tie",SUBSTITUTE(INDEX($AD$4:$AF$4,1,MATCH(MAX(AD141:AF141),AD141:AF141,0))," Overall",""))</x:f>
        <x:v>Context-dependent tie</x:v>
      </x:c>
      <x:c r="AH141" s="32" t="str">
        <x:f>IF(AG141="AWS","Start with AWS when infrastructure breadth, native integration and operational maturity are the main differentiators.",IF(AG141="Azure","Start with Azure when Microsoft identity, security, data, productivity or hybrid integration reduces delivery effort.",IF(AG141="GCP","Start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41" s="32" t="str">
        <x:v>High</x:v>
      </x:c>
      <x:c r="AJ141" s="32" t="str">
        <x:v>2026-07-12</x:v>
      </x:c>
    </x:row>
    <x:row r="142">
      <x:c r="A142" s="32" t="str">
        <x:v>Provider access transparency</x:v>
      </x:c>
      <x:c r="B142" s="32" t="str">
        <x:v>02 Security, Identity &amp; Compliance</x:v>
      </x:c>
      <x:c r="C142" s="32" t="str">
        <x:v>Data Protection &amp; Privacy</x:v>
      </x:c>
      <x:c r="D142" s="32" t="str">
        <x:v>Workload</x:v>
      </x:c>
      <x:c r="E142" s="32" t="str">
        <x:v>What business outcome, scale, control, integration and operating model justify choosing provider access transparency?</x:v>
      </x:c>
      <x:c r="F142" s="32" t="str">
        <x:v>AWS CloudTrail for provider events / AWS support controls</x:v>
      </x:c>
      <x:c r="G142" s="32" t="str">
        <x:v>Customer Lockbox for Microsoft Azure</x:v>
      </x:c>
      <x:c r="H142" s="32" t="str">
        <x:v>Access Transparency
Cloud provider access management</x:v>
      </x:c>
      <x:c r="I142" s="32" t="n">
        <x:v>3.4</x:v>
      </x:c>
      <x:c r="J142" s="32" t="n">
        <x:v>2.9</x:v>
      </x:c>
      <x:c r="K142" s="32" t="n">
        <x:v>4</x:v>
      </x:c>
      <x:c r="L142" s="32" t="n">
        <x:v>3.8</x:v>
      </x:c>
      <x:c r="M142" s="32" t="n">
        <x:v>3.5</x:v>
      </x:c>
      <x:c r="N142" s="32" t="n">
        <x:v>4.2</x:v>
      </x:c>
      <x:c r="O142" s="32" t="n">
        <x:v>3.6</x:v>
      </x:c>
      <x:c r="P142" s="32" t="n">
        <x:v>3.5</x:v>
      </x:c>
      <x:c r="Q142" s="32" t="n">
        <x:v>3</x:v>
      </x:c>
      <x:c r="R142" s="32" t="n">
        <x:v>4.2</x:v>
      </x:c>
      <x:c r="S142" s="32" t="n">
        <x:v>3.9</x:v>
      </x:c>
      <x:c r="T142" s="32" t="n">
        <x:v>3.5</x:v>
      </x:c>
      <x:c r="U142" s="32" t="n">
        <x:v>4.2</x:v>
      </x:c>
      <x:c r="V142" s="32" t="n">
        <x:v>3.8</x:v>
      </x:c>
      <x:c r="W142" s="32" t="n">
        <x:v>3.4</x:v>
      </x:c>
      <x:c r="X142" s="32" t="n">
        <x:v>2.9</x:v>
      </x:c>
      <x:c r="Y142" s="32" t="n">
        <x:v>4.1</x:v>
      </x:c>
      <x:c r="Z142" s="32" t="n">
        <x:v>3.9</x:v>
      </x:c>
      <x:c r="AA142" s="32" t="n">
        <x:v>3.5</x:v>
      </x:c>
      <x:c r="AB142" s="32" t="n">
        <x:v>4</x:v>
      </x:c>
      <x:c r="AC142" s="32" t="n">
        <x:v>3.8</x:v>
      </x:c>
      <x:c r="AD142" s="32" t="n">
        <x:f>ROUND((I142*'Criteria &amp; Scoring'!$B$5+J142*'Criteria &amp; Scoring'!$B$6+K142*'Criteria &amp; Scoring'!$B$7+L142*'Criteria &amp; Scoring'!$B$8+M142*'Criteria &amp; Scoring'!$B$9+N142*'Criteria &amp; Scoring'!$B$10+O142*'Criteria &amp; Scoring'!$B$11)/SUM('Criteria &amp; Scoring'!$B$5:$B$11),2)</x:f>
        <x:v>3.55</x:v>
      </x:c>
      <x:c r="AE142" s="32" t="n">
        <x:f>ROUND((P142*'Criteria &amp; Scoring'!$B$5+Q142*'Criteria &amp; Scoring'!$B$6+R142*'Criteria &amp; Scoring'!$B$7+S142*'Criteria &amp; Scoring'!$B$8+T142*'Criteria &amp; Scoring'!$B$9+U142*'Criteria &amp; Scoring'!$B$10+V142*'Criteria &amp; Scoring'!$B$11)/SUM('Criteria &amp; Scoring'!$B$5:$B$11),2)</x:f>
        <x:v>3.65</x:v>
      </x:c>
      <x:c r="AF142" s="32" t="n">
        <x:f>ROUND((W142*'Criteria &amp; Scoring'!$B$5+X142*'Criteria &amp; Scoring'!$B$6+Y142*'Criteria &amp; Scoring'!$B$7+Z142*'Criteria &amp; Scoring'!$B$8+AA142*'Criteria &amp; Scoring'!$B$9+AB142*'Criteria &amp; Scoring'!$B$10+AC142*'Criteria &amp; Scoring'!$B$11)/SUM('Criteria &amp; Scoring'!$B$5:$B$11),2)</x:f>
        <x:v>3.57</x:v>
      </x:c>
      <x:c r="AG142" s="32" t="str">
        <x:f>IF(LARGE(AD142:AF142,1)-LARGE(AD142:AF142,2)&lt;0.15,"Context-dependent tie",SUBSTITUTE(INDEX($AD$4:$AF$4,1,MATCH(MAX(AD142:AF142),AD142:AF142,0))," Overall",""))</x:f>
        <x:v>Context-dependent tie</x:v>
      </x:c>
      <x:c r="AH142" s="32" t="str">
        <x:f>IF(AG142="AWS","Start with AWS when infrastructure breadth, native integration and operational maturity are the main differentiators.",IF(AG142="Azure","Start with Azure when Microsoft identity, security, data, productivity or hybrid integration reduces delivery effort.",IF(AG142="GCP","Start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42" s="32" t="str">
        <x:v>Low</x:v>
      </x:c>
      <x:c r="AJ142" s="32" t="str">
        <x:v>2026-07-12</x:v>
      </x:c>
    </x:row>
    <x:row r="143">
      <x:c r="A143" s="32" t="str">
        <x:v>Service data perimeter</x:v>
      </x:c>
      <x:c r="B143" s="32" t="str">
        <x:v>02 Security, Identity &amp; Compliance</x:v>
      </x:c>
      <x:c r="C143" s="32" t="str">
        <x:v>Data Protection &amp; Privacy</x:v>
      </x:c>
      <x:c r="D143" s="32" t="str">
        <x:v>Workload</x:v>
      </x:c>
      <x:c r="E143" s="32" t="str">
        <x:v>What business outcome, scale, control, integration and operating model justify choosing service data perimeter?</x:v>
      </x:c>
      <x:c r="F143" s="32" t="str">
        <x:v>AWS Organizations SCPs
VPC endpoints
AWS Network Firewall</x:v>
      </x:c>
      <x:c r="G143" s="32" t="str">
        <x:v>Azure Policy
Private Link
Microsoft Purview</x:v>
      </x:c>
      <x:c r="H143" s="32" t="str">
        <x:v>VPC Service Controls
Access Context Manager</x:v>
      </x:c>
      <x:c r="I143" s="32" t="n">
        <x:v>3.9</x:v>
      </x:c>
      <x:c r="J143" s="32" t="n">
        <x:v>1.9</x:v>
      </x:c>
      <x:c r="K143" s="32" t="n">
        <x:v>4.2</x:v>
      </x:c>
      <x:c r="L143" s="32" t="n">
        <x:v>3.8</x:v>
      </x:c>
      <x:c r="M143" s="32" t="n">
        <x:v>3.5</x:v>
      </x:c>
      <x:c r="N143" s="32" t="n">
        <x:v>4.4</x:v>
      </x:c>
      <x:c r="O143" s="32" t="n">
        <x:v>3.6</x:v>
      </x:c>
      <x:c r="P143" s="32" t="n">
        <x:v>3.9</x:v>
      </x:c>
      <x:c r="Q143" s="32" t="n">
        <x:v>1.9</x:v>
      </x:c>
      <x:c r="R143" s="32" t="n">
        <x:v>4.4</x:v>
      </x:c>
      <x:c r="S143" s="32" t="n">
        <x:v>3.8</x:v>
      </x:c>
      <x:c r="T143" s="32" t="n">
        <x:v>3.5</x:v>
      </x:c>
      <x:c r="U143" s="32" t="n">
        <x:v>4.3</x:v>
      </x:c>
      <x:c r="V143" s="32" t="n">
        <x:v>3.7</x:v>
      </x:c>
      <x:c r="W143" s="32" t="n">
        <x:v>3.9</x:v>
      </x:c>
      <x:c r="X143" s="32" t="n">
        <x:v>1.9</x:v>
      </x:c>
      <x:c r="Y143" s="32" t="n">
        <x:v>4.3</x:v>
      </x:c>
      <x:c r="Z143" s="32" t="n">
        <x:v>3.9</x:v>
      </x:c>
      <x:c r="AA143" s="32" t="n">
        <x:v>3.5</x:v>
      </x:c>
      <x:c r="AB143" s="32" t="n">
        <x:v>4.2</x:v>
      </x:c>
      <x:c r="AC143" s="32" t="n">
        <x:v>3.8</x:v>
      </x:c>
      <x:c r="AD143" s="32" t="n">
        <x:f>ROUND((I143*'Criteria &amp; Scoring'!$B$5+J143*'Criteria &amp; Scoring'!$B$6+K143*'Criteria &amp; Scoring'!$B$7+L143*'Criteria &amp; Scoring'!$B$8+M143*'Criteria &amp; Scoring'!$B$9+N143*'Criteria &amp; Scoring'!$B$10+O143*'Criteria &amp; Scoring'!$B$11)/SUM('Criteria &amp; Scoring'!$B$5:$B$11),2)</x:f>
        <x:v>3.53</x:v>
      </x:c>
      <x:c r="AE143" s="32" t="n">
        <x:f>ROUND((P143*'Criteria &amp; Scoring'!$B$5+Q143*'Criteria &amp; Scoring'!$B$6+R143*'Criteria &amp; Scoring'!$B$7+S143*'Criteria &amp; Scoring'!$B$8+T143*'Criteria &amp; Scoring'!$B$9+U143*'Criteria &amp; Scoring'!$B$10+V143*'Criteria &amp; Scoring'!$B$11)/SUM('Criteria &amp; Scoring'!$B$5:$B$11),2)</x:f>
        <x:v>3.55</x:v>
      </x:c>
      <x:c r="AF143" s="32" t="n">
        <x:f>ROUND((W143*'Criteria &amp; Scoring'!$B$5+X143*'Criteria &amp; Scoring'!$B$6+Y143*'Criteria &amp; Scoring'!$B$7+Z143*'Criteria &amp; Scoring'!$B$8+AA143*'Criteria &amp; Scoring'!$B$9+AB143*'Criteria &amp; Scoring'!$B$10+AC143*'Criteria &amp; Scoring'!$B$11)/SUM('Criteria &amp; Scoring'!$B$5:$B$11),2)</x:f>
        <x:v>3.55</x:v>
      </x:c>
      <x:c r="AG143" s="32" t="str">
        <x:f>IF(LARGE(AD143:AF143,1)-LARGE(AD143:AF143,2)&lt;0.15,"Context-dependent tie",SUBSTITUTE(INDEX($AD$4:$AF$4,1,MATCH(MAX(AD143:AF143),AD143:AF143,0))," Overall",""))</x:f>
        <x:v>Context-dependent tie</x:v>
      </x:c>
      <x:c r="AH143" s="32" t="str">
        <x:f>IF(AG143="AWS","Start with AWS when infrastructure breadth, native integration and operational maturity are the main differentiators.",IF(AG143="Azure","Start with Azure when Microsoft identity, security, data, productivity or hybrid integration reduces delivery effort.",IF(AG143="GCP","Start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43" s="32" t="str">
        <x:v>Medium</x:v>
      </x:c>
      <x:c r="AJ143" s="32" t="str">
        <x:v>2026-07-12</x:v>
      </x:c>
    </x:row>
    <x:row r="144">
      <x:c r="A144" s="32" t="str">
        <x:v>External attack-surface management</x:v>
      </x:c>
      <x:c r="B144" s="32" t="str">
        <x:v>02 Security, Identity &amp; Compliance</x:v>
      </x:c>
      <x:c r="C144" s="32" t="str">
        <x:v>Threat Detection &amp; Security Operations</x:v>
      </x:c>
      <x:c r="D144" s="32" t="str">
        <x:v>Workload</x:v>
      </x:c>
      <x:c r="E144" s="32" t="str">
        <x:v>Do you need posture, detection, investigation, SIEM/SOAR, or all of them in one operating model?</x:v>
      </x:c>
      <x:c r="F144" s="32" t="str">
        <x:v>Amazon Inspector external exposure insights
AWS Security Hub</x:v>
      </x:c>
      <x:c r="G144" s="32" t="str">
        <x:v>Microsoft Defender External Attack Surface Management</x:v>
      </x:c>
      <x:c r="H144" s="32" t="str">
        <x:v>Security Command Center attack-path and exposure management</x:v>
      </x:c>
      <x:c r="I144" s="32" t="n">
        <x:v>3.4</x:v>
      </x:c>
      <x:c r="J144" s="32" t="n">
        <x:v>2.8</x:v>
      </x:c>
      <x:c r="K144" s="32" t="n">
        <x:v>4</x:v>
      </x:c>
      <x:c r="L144" s="32" t="n">
        <x:v>3.8</x:v>
      </x:c>
      <x:c r="M144" s="32" t="n">
        <x:v>3.5</x:v>
      </x:c>
      <x:c r="N144" s="32" t="n">
        <x:v>4.2</x:v>
      </x:c>
      <x:c r="O144" s="32" t="n">
        <x:v>3.6</x:v>
      </x:c>
      <x:c r="P144" s="32" t="n">
        <x:v>4</x:v>
      </x:c>
      <x:c r="Q144" s="32" t="n">
        <x:v>3</x:v>
      </x:c>
      <x:c r="R144" s="32" t="n">
        <x:v>4.5</x:v>
      </x:c>
      <x:c r="S144" s="32" t="n">
        <x:v>3.9</x:v>
      </x:c>
      <x:c r="T144" s="32" t="n">
        <x:v>3.5</x:v>
      </x:c>
      <x:c r="U144" s="32" t="n">
        <x:v>4.4</x:v>
      </x:c>
      <x:c r="V144" s="32" t="n">
        <x:v>3.8</x:v>
      </x:c>
      <x:c r="W144" s="32" t="n">
        <x:v>3.5</x:v>
      </x:c>
      <x:c r="X144" s="32" t="n">
        <x:v>3</x:v>
      </x:c>
      <x:c r="Y144" s="32" t="n">
        <x:v>3.9</x:v>
      </x:c>
      <x:c r="Z144" s="32" t="n">
        <x:v>4</x:v>
      </x:c>
      <x:c r="AA144" s="32" t="n">
        <x:v>3.5</x:v>
      </x:c>
      <x:c r="AB144" s="32" t="n">
        <x:v>4.1</x:v>
      </x:c>
      <x:c r="AC144" s="32" t="n">
        <x:v>3.9</x:v>
      </x:c>
      <x:c r="AD144" s="32" t="n">
        <x:f>ROUND((I144*'Criteria &amp; Scoring'!$B$5+J144*'Criteria &amp; Scoring'!$B$6+K144*'Criteria &amp; Scoring'!$B$7+L144*'Criteria &amp; Scoring'!$B$8+M144*'Criteria &amp; Scoring'!$B$9+N144*'Criteria &amp; Scoring'!$B$10+O144*'Criteria &amp; Scoring'!$B$11)/SUM('Criteria &amp; Scoring'!$B$5:$B$11),2)</x:f>
        <x:v>3.53</x:v>
      </x:c>
      <x:c r="AE144" s="32" t="n">
        <x:f>ROUND((P144*'Criteria &amp; Scoring'!$B$5+Q144*'Criteria &amp; Scoring'!$B$6+R144*'Criteria &amp; Scoring'!$B$7+S144*'Criteria &amp; Scoring'!$B$8+T144*'Criteria &amp; Scoring'!$B$9+U144*'Criteria &amp; Scoring'!$B$10+V144*'Criteria &amp; Scoring'!$B$11)/SUM('Criteria &amp; Scoring'!$B$5:$B$11),2)</x:f>
        <x:v>3.84</x:v>
      </x:c>
      <x:c r="AF144" s="32" t="n">
        <x:f>ROUND((W144*'Criteria &amp; Scoring'!$B$5+X144*'Criteria &amp; Scoring'!$B$6+Y144*'Criteria &amp; Scoring'!$B$7+Z144*'Criteria &amp; Scoring'!$B$8+AA144*'Criteria &amp; Scoring'!$B$9+AB144*'Criteria &amp; Scoring'!$B$10+AC144*'Criteria &amp; Scoring'!$B$11)/SUM('Criteria &amp; Scoring'!$B$5:$B$11),2)</x:f>
        <x:v>3.62</x:v>
      </x:c>
      <x:c r="AG144" s="32" t="str">
        <x:f>IF(LARGE(AD144:AF144,1)-LARGE(AD144:AF144,2)&lt;0.15,"Context-dependent tie",SUBSTITUTE(INDEX($AD$4:$AF$4,1,MATCH(MAX(AD144:AF144),AD144:AF144,0))," Overall",""))</x:f>
        <x:v>Azure</x:v>
      </x:c>
      <x:c r="AH144" s="32" t="str">
        <x:f>IF(AG144="AWS","Start with AWS when infrastructure breadth, native integration and operational maturity are the main differentiators.",IF(AG144="Azure","Start with Azure when Microsoft identity, security, data, productivity or hybrid integration reduces delivery effort.",IF(AG144="GCP","Start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44" s="32" t="str">
        <x:v>Low</x:v>
      </x:c>
      <x:c r="AJ144" s="32" t="str">
        <x:v>2026-07-12</x:v>
      </x:c>
    </x:row>
    <x:row r="145">
      <x:c r="A145" s="32" t="str">
        <x:v>Generative-AI security assistant</x:v>
      </x:c>
      <x:c r="B145" s="32" t="str">
        <x:v>02 Security, Identity &amp; Compliance</x:v>
      </x:c>
      <x:c r="C145" s="32" t="str">
        <x:v>Threat Detection &amp; Security Operations</x:v>
      </x:c>
      <x:c r="D145" s="32" t="str">
        <x:v>Workload</x:v>
      </x:c>
      <x:c r="E145" s="32" t="str">
        <x:v>Do you need posture, detection, investigation, SIEM/SOAR, or all of them in one operating model?</x:v>
      </x:c>
      <x:c r="F145" s="32" t="str">
        <x:v>Amazon Q Developer security integrations</x:v>
      </x:c>
      <x:c r="G145" s="32" t="str">
        <x:v>Microsoft Security Copilot</x:v>
      </x:c>
      <x:c r="H145" s="32" t="str">
        <x:v>Gemini in Security / Google Security Operations</x:v>
      </x:c>
      <x:c r="I145" s="32" t="n">
        <x:v>4</x:v>
      </x:c>
      <x:c r="J145" s="32" t="n">
        <x:v>2.9</x:v>
      </x:c>
      <x:c r="K145" s="32" t="n">
        <x:v>4.3</x:v>
      </x:c>
      <x:c r="L145" s="32" t="n">
        <x:v>3.9</x:v>
      </x:c>
      <x:c r="M145" s="32" t="n">
        <x:v>3.5</x:v>
      </x:c>
      <x:c r="N145" s="32" t="n">
        <x:v>4.5</x:v>
      </x:c>
      <x:c r="O145" s="32" t="n">
        <x:v>3.7</x:v>
      </x:c>
      <x:c r="P145" s="32" t="n">
        <x:v>4.5</x:v>
      </x:c>
      <x:c r="Q145" s="32" t="n">
        <x:v>3</x:v>
      </x:c>
      <x:c r="R145" s="32" t="n">
        <x:v>4.8</x:v>
      </x:c>
      <x:c r="S145" s="32" t="n">
        <x:v>3.9</x:v>
      </x:c>
      <x:c r="T145" s="32" t="n">
        <x:v>3.5</x:v>
      </x:c>
      <x:c r="U145" s="32" t="n">
        <x:v>4.6</x:v>
      </x:c>
      <x:c r="V145" s="32" t="n">
        <x:v>3.8</x:v>
      </x:c>
      <x:c r="W145" s="32" t="n">
        <x:v>3.9</x:v>
      </x:c>
      <x:c r="X145" s="32" t="n">
        <x:v>2.9</x:v>
      </x:c>
      <x:c r="Y145" s="32" t="n">
        <x:v>4.3</x:v>
      </x:c>
      <x:c r="Z145" s="32" t="n">
        <x:v>3.9</x:v>
      </x:c>
      <x:c r="AA145" s="32" t="n">
        <x:v>3.5</x:v>
      </x:c>
      <x:c r="AB145" s="32" t="n">
        <x:v>4.2</x:v>
      </x:c>
      <x:c r="AC145" s="32" t="n">
        <x:v>3.8</x:v>
      </x:c>
      <x:c r="AD145" s="32" t="n">
        <x:f>ROUND((I145*'Criteria &amp; Scoring'!$B$5+J145*'Criteria &amp; Scoring'!$B$6+K145*'Criteria &amp; Scoring'!$B$7+L145*'Criteria &amp; Scoring'!$B$8+M145*'Criteria &amp; Scoring'!$B$9+N145*'Criteria &amp; Scoring'!$B$10+O145*'Criteria &amp; Scoring'!$B$11)/SUM('Criteria &amp; Scoring'!$B$5:$B$11),2)</x:f>
        <x:v>3.8</x:v>
      </x:c>
      <x:c r="AE145" s="32" t="n">
        <x:f>ROUND((P145*'Criteria &amp; Scoring'!$B$5+Q145*'Criteria &amp; Scoring'!$B$6+R145*'Criteria &amp; Scoring'!$B$7+S145*'Criteria &amp; Scoring'!$B$8+T145*'Criteria &amp; Scoring'!$B$9+U145*'Criteria &amp; Scoring'!$B$10+V145*'Criteria &amp; Scoring'!$B$11)/SUM('Criteria &amp; Scoring'!$B$5:$B$11),2)</x:f>
        <x:v>4.03</x:v>
      </x:c>
      <x:c r="AF145" s="32" t="n">
        <x:f>ROUND((W145*'Criteria &amp; Scoring'!$B$5+X145*'Criteria &amp; Scoring'!$B$6+Y145*'Criteria &amp; Scoring'!$B$7+Z145*'Criteria &amp; Scoring'!$B$8+AA145*'Criteria &amp; Scoring'!$B$9+AB145*'Criteria &amp; Scoring'!$B$10+AC145*'Criteria &amp; Scoring'!$B$11)/SUM('Criteria &amp; Scoring'!$B$5:$B$11),2)</x:f>
        <x:v>3.74</x:v>
      </x:c>
      <x:c r="AG145" s="32" t="str">
        <x:f>IF(LARGE(AD145:AF145,1)-LARGE(AD145:AF145,2)&lt;0.15,"Context-dependent tie",SUBSTITUTE(INDEX($AD$4:$AF$4,1,MATCH(MAX(AD145:AF145),AD145:AF145,0))," Overall",""))</x:f>
        <x:v>Azure</x:v>
      </x:c>
      <x:c r="AH145" s="32" t="str">
        <x:f>IF(AG145="AWS","Start with AWS when infrastructure breadth, native integration and operational maturity are the main differentiators.",IF(AG145="Azure","Start with Azure when Microsoft identity, security, data, productivity or hybrid integration reduces delivery effort.",IF(AG145="GCP","Start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45" s="32" t="str">
        <x:v>Medium</x:v>
      </x:c>
      <x:c r="AJ145" s="32" t="str">
        <x:v>2026-07-12</x:v>
      </x:c>
    </x:row>
    <x:row r="146">
      <x:c r="A146" s="32" t="str">
        <x:v>Managed relational database service</x:v>
      </x:c>
      <x:c r="B146" s="32" t="str">
        <x:v>05 Data Infrastructure</x:v>
      </x:c>
      <x:c r="C146" s="32" t="str">
        <x:v>Relational Databases</x:v>
      </x:c>
      <x:c r="D146" s="32" t="str">
        <x:v>Platform</x:v>
      </x:c>
      <x:c r="E146" s="32" t="str">
        <x:v>What data model, engine compatibility, scale, availability and operational control do you need?</x:v>
      </x:c>
      <x:c r="F146" s="32" t="str">
        <x:v>Amazon Relational Database Service</x:v>
      </x:c>
      <x:c r="G146" s="32" t="str">
        <x:v>Azure SQL Managed Instance
Azure Database for PostgreSQL
Azure Database for MySQL</x:v>
      </x:c>
      <x:c r="H146" s="32" t="str">
        <x:v>Cloud SQL</x:v>
      </x:c>
      <x:c r="I146" s="32" t="n">
        <x:v>4.3</x:v>
      </x:c>
      <x:c r="J146" s="32" t="n">
        <x:v>3</x:v>
      </x:c>
      <x:c r="K146" s="32" t="n">
        <x:v>4.3</x:v>
      </x:c>
      <x:c r="L146" s="32" t="n">
        <x:v>4.3</x:v>
      </x:c>
      <x:c r="M146" s="32" t="n">
        <x:v>3.5</x:v>
      </x:c>
      <x:c r="N146" s="32" t="n">
        <x:v>4.5</x:v>
      </x:c>
      <x:c r="O146" s="32" t="n">
        <x:v>3.7</x:v>
      </x:c>
      <x:c r="P146" s="32" t="n">
        <x:v>4.2</x:v>
      </x:c>
      <x:c r="Q146" s="32" t="n">
        <x:v>2.9</x:v>
      </x:c>
      <x:c r="R146" s="32" t="n">
        <x:v>4.4</x:v>
      </x:c>
      <x:c r="S146" s="32" t="n">
        <x:v>4.4</x:v>
      </x:c>
      <x:c r="T146" s="32" t="n">
        <x:v>3.5</x:v>
      </x:c>
      <x:c r="U146" s="32" t="n">
        <x:v>4.3</x:v>
      </x:c>
      <x:c r="V146" s="32" t="n">
        <x:v>3.7</x:v>
      </x:c>
      <x:c r="W146" s="32" t="n">
        <x:v>4</x:v>
      </x:c>
      <x:c r="X146" s="32" t="n">
        <x:v>3</x:v>
      </x:c>
      <x:c r="Y146" s="32" t="n">
        <x:v>4.4</x:v>
      </x:c>
      <x:c r="Z146" s="32" t="n">
        <x:v>4.7</x:v>
      </x:c>
      <x:c r="AA146" s="32" t="n">
        <x:v>3.5</x:v>
      </x:c>
      <x:c r="AB146" s="32" t="n">
        <x:v>4.3</x:v>
      </x:c>
      <x:c r="AC146" s="32" t="n">
        <x:v>3.9</x:v>
      </x:c>
      <x:c r="AD146" s="32" t="n">
        <x:f>ROUND((I146*'Criteria &amp; Scoring'!$B$5+J146*'Criteria &amp; Scoring'!$B$6+K146*'Criteria &amp; Scoring'!$B$7+L146*'Criteria &amp; Scoring'!$B$8+M146*'Criteria &amp; Scoring'!$B$9+N146*'Criteria &amp; Scoring'!$B$10+O146*'Criteria &amp; Scoring'!$B$11)/SUM('Criteria &amp; Scoring'!$B$5:$B$11),2)</x:f>
        <x:v>3.95</x:v>
      </x:c>
      <x:c r="AE146" s="32" t="n">
        <x:f>ROUND((P146*'Criteria &amp; Scoring'!$B$5+Q146*'Criteria &amp; Scoring'!$B$6+R146*'Criteria &amp; Scoring'!$B$7+S146*'Criteria &amp; Scoring'!$B$8+T146*'Criteria &amp; Scoring'!$B$9+U146*'Criteria &amp; Scoring'!$B$10+V146*'Criteria &amp; Scoring'!$B$11)/SUM('Criteria &amp; Scoring'!$B$5:$B$11),2)</x:f>
        <x:v>3.92</x:v>
      </x:c>
      <x:c r="AF146" s="32" t="n">
        <x:f>ROUND((W146*'Criteria &amp; Scoring'!$B$5+X146*'Criteria &amp; Scoring'!$B$6+Y146*'Criteria &amp; Scoring'!$B$7+Z146*'Criteria &amp; Scoring'!$B$8+AA146*'Criteria &amp; Scoring'!$B$9+AB146*'Criteria &amp; Scoring'!$B$10+AC146*'Criteria &amp; Scoring'!$B$11)/SUM('Criteria &amp; Scoring'!$B$5:$B$11),2)</x:f>
        <x:v>3.94</x:v>
      </x:c>
      <x:c r="AG146" s="32" t="str">
        <x:f>IF(LARGE(AD146:AF146,1)-LARGE(AD146:AF146,2)&lt;0.15,"Context-dependent tie",SUBSTITUTE(INDEX($AD$4:$AF$4,1,MATCH(MAX(AD146:AF146),AD146:AF146,0))," Overall",""))</x:f>
        <x:v>Context-dependent tie</x:v>
      </x:c>
      <x:c r="AH146" s="32" t="str">
        <x:f>IF(AG146="AWS","Start with AWS when infrastructure breadth, native integration and operational maturity are the main differentiators.",IF(AG146="Azure","Start with Azure when Microsoft identity, security, data, productivity or hybrid integration reduces delivery effort.",IF(AG146="GCP","Start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46" s="32" t="str">
        <x:v>Medium</x:v>
      </x:c>
      <x:c r="AJ146" s="32" t="str">
        <x:v>2026-07-12</x:v>
      </x:c>
    </x:row>
    <x:row r="147">
      <x:c r="A147" s="32" t="str">
        <x:v>Cloud-native relational database</x:v>
      </x:c>
      <x:c r="B147" s="32" t="str">
        <x:v>05 Data Infrastructure</x:v>
      </x:c>
      <x:c r="C147" s="32" t="str">
        <x:v>Relational Databases</x:v>
      </x:c>
      <x:c r="D147" s="32" t="str">
        <x:v>Workload</x:v>
      </x:c>
      <x:c r="E147" s="32" t="str">
        <x:v>What data model, engine compatibility, scale, availability and operational control do you need?</x:v>
      </x:c>
      <x:c r="F147" s="32" t="str">
        <x:v>Amazon Aurora</x:v>
      </x:c>
      <x:c r="G147" s="32" t="str">
        <x:v>Azure SQL Database</x:v>
      </x:c>
      <x:c r="H147" s="32" t="str">
        <x:v>AlloyDB for PostgreSQL</x:v>
      </x:c>
      <x:c r="I147" s="32" t="n">
        <x:v>4.3</x:v>
      </x:c>
      <x:c r="J147" s="32" t="n">
        <x:v>3</x:v>
      </x:c>
      <x:c r="K147" s="32" t="n">
        <x:v>4.3</x:v>
      </x:c>
      <x:c r="L147" s="32" t="n">
        <x:v>4.3</x:v>
      </x:c>
      <x:c r="M147" s="32" t="n">
        <x:v>3.5</x:v>
      </x:c>
      <x:c r="N147" s="32" t="n">
        <x:v>4.5</x:v>
      </x:c>
      <x:c r="O147" s="32" t="n">
        <x:v>3.7</x:v>
      </x:c>
      <x:c r="P147" s="32" t="n">
        <x:v>4.3</x:v>
      </x:c>
      <x:c r="Q147" s="32" t="n">
        <x:v>3</x:v>
      </x:c>
      <x:c r="R147" s="32" t="n">
        <x:v>4.5</x:v>
      </x:c>
      <x:c r="S147" s="32" t="n">
        <x:v>4.5</x:v>
      </x:c>
      <x:c r="T147" s="32" t="n">
        <x:v>3.5</x:v>
      </x:c>
      <x:c r="U147" s="32" t="n">
        <x:v>4.4</x:v>
      </x:c>
      <x:c r="V147" s="32" t="n">
        <x:v>3.8</x:v>
      </x:c>
      <x:c r="W147" s="32" t="n">
        <x:v>4</x:v>
      </x:c>
      <x:c r="X147" s="32" t="n">
        <x:v>3</x:v>
      </x:c>
      <x:c r="Y147" s="32" t="n">
        <x:v>4.4</x:v>
      </x:c>
      <x:c r="Z147" s="32" t="n">
        <x:v>4.7</x:v>
      </x:c>
      <x:c r="AA147" s="32" t="n">
        <x:v>3.5</x:v>
      </x:c>
      <x:c r="AB147" s="32" t="n">
        <x:v>4.3</x:v>
      </x:c>
      <x:c r="AC147" s="32" t="n">
        <x:v>3.9</x:v>
      </x:c>
      <x:c r="AD147" s="32" t="n">
        <x:f>ROUND((I147*'Criteria &amp; Scoring'!$B$5+J147*'Criteria &amp; Scoring'!$B$6+K147*'Criteria &amp; Scoring'!$B$7+L147*'Criteria &amp; Scoring'!$B$8+M147*'Criteria &amp; Scoring'!$B$9+N147*'Criteria &amp; Scoring'!$B$10+O147*'Criteria &amp; Scoring'!$B$11)/SUM('Criteria &amp; Scoring'!$B$5:$B$11),2)</x:f>
        <x:v>3.95</x:v>
      </x:c>
      <x:c r="AE147" s="32" t="n">
        <x:f>ROUND((P147*'Criteria &amp; Scoring'!$B$5+Q147*'Criteria &amp; Scoring'!$B$6+R147*'Criteria &amp; Scoring'!$B$7+S147*'Criteria &amp; Scoring'!$B$8+T147*'Criteria &amp; Scoring'!$B$9+U147*'Criteria &amp; Scoring'!$B$10+V147*'Criteria &amp; Scoring'!$B$11)/SUM('Criteria &amp; Scoring'!$B$5:$B$11),2)</x:f>
        <x:v>4.01</x:v>
      </x:c>
      <x:c r="AF147" s="32" t="n">
        <x:f>ROUND((W147*'Criteria &amp; Scoring'!$B$5+X147*'Criteria &amp; Scoring'!$B$6+Y147*'Criteria &amp; Scoring'!$B$7+Z147*'Criteria &amp; Scoring'!$B$8+AA147*'Criteria &amp; Scoring'!$B$9+AB147*'Criteria &amp; Scoring'!$B$10+AC147*'Criteria &amp; Scoring'!$B$11)/SUM('Criteria &amp; Scoring'!$B$5:$B$11),2)</x:f>
        <x:v>3.94</x:v>
      </x:c>
      <x:c r="AG147" s="32" t="str">
        <x:f>IF(LARGE(AD147:AF147,1)-LARGE(AD147:AF147,2)&lt;0.15,"Context-dependent tie",SUBSTITUTE(INDEX($AD$4:$AF$4,1,MATCH(MAX(AD147:AF147),AD147:AF147,0))," Overall",""))</x:f>
        <x:v>Context-dependent tie</x:v>
      </x:c>
      <x:c r="AH147" s="32" t="str">
        <x:f>IF(AG147="AWS","Start with AWS when infrastructure breadth, native integration and operational maturity are the main differentiators.",IF(AG147="Azure","Start with Azure when Microsoft identity, security, data, productivity or hybrid integration reduces delivery effort.",IF(AG147="GCP","Start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47" s="32" t="str">
        <x:v>Medium</x:v>
      </x:c>
      <x:c r="AJ147" s="32" t="str">
        <x:v>2026-07-12</x:v>
      </x:c>
    </x:row>
    <x:row r="148">
      <x:c r="A148" s="32" t="str">
        <x:v>Globally distributed relational database</x:v>
      </x:c>
      <x:c r="B148" s="32" t="str">
        <x:v>05 Data Infrastructure</x:v>
      </x:c>
      <x:c r="C148" s="32" t="str">
        <x:v>Relational Databases</x:v>
      </x:c>
      <x:c r="D148" s="32" t="str">
        <x:v>Workload</x:v>
      </x:c>
      <x:c r="E148" s="32" t="str">
        <x:v>What data model, engine compatibility, scale, availability and operational control do you need?</x:v>
      </x:c>
      <x:c r="F148" s="32" t="str">
        <x:v>Amazon Aurora DSQL</x:v>
      </x:c>
      <x:c r="G148" s="32" t="str">
        <x:v>Azure Cosmos DB for PostgreSQL / Azure SQL Hyperscale</x:v>
      </x:c>
      <x:c r="H148" s="32" t="str">
        <x:v>Spanner</x:v>
      </x:c>
      <x:c r="I148" s="32" t="n">
        <x:v>3.9</x:v>
      </x:c>
      <x:c r="J148" s="32" t="n">
        <x:v>3</x:v>
      </x:c>
      <x:c r="K148" s="32" t="n">
        <x:v>4.1</x:v>
      </x:c>
      <x:c r="L148" s="32" t="n">
        <x:v>4.3</x:v>
      </x:c>
      <x:c r="M148" s="32" t="n">
        <x:v>3.5</x:v>
      </x:c>
      <x:c r="N148" s="32" t="n">
        <x:v>4.3</x:v>
      </x:c>
      <x:c r="O148" s="32" t="n">
        <x:v>3.4</x:v>
      </x:c>
      <x:c r="P148" s="32" t="n">
        <x:v>3.7</x:v>
      </x:c>
      <x:c r="Q148" s="32" t="n">
        <x:v>2.9</x:v>
      </x:c>
      <x:c r="R148" s="32" t="n">
        <x:v>4.4</x:v>
      </x:c>
      <x:c r="S148" s="32" t="n">
        <x:v>4.4</x:v>
      </x:c>
      <x:c r="T148" s="32" t="n">
        <x:v>3.5</x:v>
      </x:c>
      <x:c r="U148" s="32" t="n">
        <x:v>4.1</x:v>
      </x:c>
      <x:c r="V148" s="32" t="n">
        <x:v>3.4</x:v>
      </x:c>
      <x:c r="W148" s="32" t="n">
        <x:v>3.5</x:v>
      </x:c>
      <x:c r="X148" s="32" t="n">
        <x:v>3</x:v>
      </x:c>
      <x:c r="Y148" s="32" t="n">
        <x:v>4.2</x:v>
      </x:c>
      <x:c r="Z148" s="32" t="n">
        <x:v>4.7</x:v>
      </x:c>
      <x:c r="AA148" s="32" t="n">
        <x:v>3.5</x:v>
      </x:c>
      <x:c r="AB148" s="32" t="n">
        <x:v>4.1</x:v>
      </x:c>
      <x:c r="AC148" s="32" t="n">
        <x:v>3.5</x:v>
      </x:c>
      <x:c r="AD148" s="32" t="n">
        <x:f>ROUND((I148*'Criteria &amp; Scoring'!$B$5+J148*'Criteria &amp; Scoring'!$B$6+K148*'Criteria &amp; Scoring'!$B$7+L148*'Criteria &amp; Scoring'!$B$8+M148*'Criteria &amp; Scoring'!$B$9+N148*'Criteria &amp; Scoring'!$B$10+O148*'Criteria &amp; Scoring'!$B$11)/SUM('Criteria &amp; Scoring'!$B$5:$B$11),2)</x:f>
        <x:v>3.79</x:v>
      </x:c>
      <x:c r="AE148" s="32" t="n">
        <x:f>ROUND((P148*'Criteria &amp; Scoring'!$B$5+Q148*'Criteria &amp; Scoring'!$B$6+R148*'Criteria &amp; Scoring'!$B$7+S148*'Criteria &amp; Scoring'!$B$8+T148*'Criteria &amp; Scoring'!$B$9+U148*'Criteria &amp; Scoring'!$B$10+V148*'Criteria &amp; Scoring'!$B$11)/SUM('Criteria &amp; Scoring'!$B$5:$B$11),2)</x:f>
        <x:v>3.76</x:v>
      </x:c>
      <x:c r="AF148" s="32" t="n">
        <x:f>ROUND((W148*'Criteria &amp; Scoring'!$B$5+X148*'Criteria &amp; Scoring'!$B$6+Y148*'Criteria &amp; Scoring'!$B$7+Z148*'Criteria &amp; Scoring'!$B$8+AA148*'Criteria &amp; Scoring'!$B$9+AB148*'Criteria &amp; Scoring'!$B$10+AC148*'Criteria &amp; Scoring'!$B$11)/SUM('Criteria &amp; Scoring'!$B$5:$B$11),2)</x:f>
        <x:v>3.75</x:v>
      </x:c>
      <x:c r="AG148" s="32" t="str">
        <x:f>IF(LARGE(AD148:AF148,1)-LARGE(AD148:AF148,2)&lt;0.15,"Context-dependent tie",SUBSTITUTE(INDEX($AD$4:$AF$4,1,MATCH(MAX(AD148:AF148),AD148:AF148,0))," Overall",""))</x:f>
        <x:v>Context-dependent tie</x:v>
      </x:c>
      <x:c r="AH148" s="32" t="str">
        <x:f>IF(AG148="AWS","Start with AWS when infrastructure breadth, native integration and operational maturity are the main differentiators.",IF(AG148="Azure","Start with Azure when Microsoft identity, security, data, productivity or hybrid integration reduces delivery effort.",IF(AG148="GCP","Start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48" s="32" t="str">
        <x:v>Low</x:v>
      </x:c>
      <x:c r="AJ148" s="32" t="str">
        <x:v>2026-07-12</x:v>
      </x:c>
    </x:row>
    <x:row r="149">
      <x:c r="A149" s="32" t="str">
        <x:v>High-performance PostgreSQL-compatible database</x:v>
      </x:c>
      <x:c r="B149" s="32" t="str">
        <x:v>05 Data Infrastructure</x:v>
      </x:c>
      <x:c r="C149" s="32" t="str">
        <x:v>Relational Databases</x:v>
      </x:c>
      <x:c r="D149" s="32" t="str">
        <x:v>Workload</x:v>
      </x:c>
      <x:c r="E149" s="32" t="str">
        <x:v>What data model, engine compatibility, scale, availability and operational control do you need?</x:v>
      </x:c>
      <x:c r="F149" s="32" t="str">
        <x:v>Amazon Aurora PostgreSQL</x:v>
      </x:c>
      <x:c r="G149" s="32" t="str">
        <x:v>Azure Database for PostgreSQL</x:v>
      </x:c>
      <x:c r="H149" s="32" t="str">
        <x:v>AlloyDB for PostgreSQL</x:v>
      </x:c>
      <x:c r="I149" s="32" t="n">
        <x:v>4.3</x:v>
      </x:c>
      <x:c r="J149" s="32" t="n">
        <x:v>3</x:v>
      </x:c>
      <x:c r="K149" s="32" t="n">
        <x:v>4.3</x:v>
      </x:c>
      <x:c r="L149" s="32" t="n">
        <x:v>4.3</x:v>
      </x:c>
      <x:c r="M149" s="32" t="n">
        <x:v>4.2</x:v>
      </x:c>
      <x:c r="N149" s="32" t="n">
        <x:v>4.5</x:v>
      </x:c>
      <x:c r="O149" s="32" t="n">
        <x:v>3.7</x:v>
      </x:c>
      <x:c r="P149" s="32" t="n">
        <x:v>4.3</x:v>
      </x:c>
      <x:c r="Q149" s="32" t="n">
        <x:v>3</x:v>
      </x:c>
      <x:c r="R149" s="32" t="n">
        <x:v>4.8</x:v>
      </x:c>
      <x:c r="S149" s="32" t="n">
        <x:v>4.5</x:v>
      </x:c>
      <x:c r="T149" s="32" t="n">
        <x:v>4.2</x:v>
      </x:c>
      <x:c r="U149" s="32" t="n">
        <x:v>4.4</x:v>
      </x:c>
      <x:c r="V149" s="32" t="n">
        <x:v>3.8</x:v>
      </x:c>
      <x:c r="W149" s="32" t="n">
        <x:v>4</x:v>
      </x:c>
      <x:c r="X149" s="32" t="n">
        <x:v>3</x:v>
      </x:c>
      <x:c r="Y149" s="32" t="n">
        <x:v>4.4</x:v>
      </x:c>
      <x:c r="Z149" s="32" t="n">
        <x:v>4.7</x:v>
      </x:c>
      <x:c r="AA149" s="32" t="n">
        <x:v>4.2</x:v>
      </x:c>
      <x:c r="AB149" s="32" t="n">
        <x:v>4.3</x:v>
      </x:c>
      <x:c r="AC149" s="32" t="n">
        <x:v>3.9</x:v>
      </x:c>
      <x:c r="AD149" s="32" t="n">
        <x:f>ROUND((I149*'Criteria &amp; Scoring'!$B$5+J149*'Criteria &amp; Scoring'!$B$6+K149*'Criteria &amp; Scoring'!$B$7+L149*'Criteria &amp; Scoring'!$B$8+M149*'Criteria &amp; Scoring'!$B$9+N149*'Criteria &amp; Scoring'!$B$10+O149*'Criteria &amp; Scoring'!$B$11)/SUM('Criteria &amp; Scoring'!$B$5:$B$11),2)</x:f>
        <x:v>4.02</x:v>
      </x:c>
      <x:c r="AE149" s="32" t="n">
        <x:f>ROUND((P149*'Criteria &amp; Scoring'!$B$5+Q149*'Criteria &amp; Scoring'!$B$6+R149*'Criteria &amp; Scoring'!$B$7+S149*'Criteria &amp; Scoring'!$B$8+T149*'Criteria &amp; Scoring'!$B$9+U149*'Criteria &amp; Scoring'!$B$10+V149*'Criteria &amp; Scoring'!$B$11)/SUM('Criteria &amp; Scoring'!$B$5:$B$11),2)</x:f>
        <x:v>4.12</x:v>
      </x:c>
      <x:c r="AF149" s="32" t="n">
        <x:f>ROUND((W149*'Criteria &amp; Scoring'!$B$5+X149*'Criteria &amp; Scoring'!$B$6+Y149*'Criteria &amp; Scoring'!$B$7+Z149*'Criteria &amp; Scoring'!$B$8+AA149*'Criteria &amp; Scoring'!$B$9+AB149*'Criteria &amp; Scoring'!$B$10+AC149*'Criteria &amp; Scoring'!$B$11)/SUM('Criteria &amp; Scoring'!$B$5:$B$11),2)</x:f>
        <x:v>4.01</x:v>
      </x:c>
      <x:c r="AG149" s="32" t="str">
        <x:f>IF(LARGE(AD149:AF149,1)-LARGE(AD149:AF149,2)&lt;0.15,"Context-dependent tie",SUBSTITUTE(INDEX($AD$4:$AF$4,1,MATCH(MAX(AD149:AF149),AD149:AF149,0))," Overall",""))</x:f>
        <x:v>Context-dependent tie</x:v>
      </x:c>
      <x:c r="AH149" s="32" t="str">
        <x:f>IF(AG149="AWS","Start with AWS when infrastructure breadth, native integration and operational maturity are the main differentiators.",IF(AG149="Azure","Start with Azure when Microsoft identity, security, data, productivity or hybrid integration reduces delivery effort.",IF(AG149="GCP","Start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49" s="32" t="str">
        <x:v>Medium</x:v>
      </x:c>
      <x:c r="AJ149" s="32" t="str">
        <x:v>2026-07-12</x:v>
      </x:c>
    </x:row>
    <x:row r="150">
      <x:c r="A150" s="32" t="str">
        <x:v>Managed SQL Server</x:v>
      </x:c>
      <x:c r="B150" s="32" t="str">
        <x:v>05 Data Infrastructure</x:v>
      </x:c>
      <x:c r="C150" s="32" t="str">
        <x:v>Relational Databases</x:v>
      </x:c>
      <x:c r="D150" s="32" t="str">
        <x:v>Workload</x:v>
      </x:c>
      <x:c r="E150" s="32" t="str">
        <x:v>What data model, engine compatibility, scale, availability and operational control do you need?</x:v>
      </x:c>
      <x:c r="F150" s="32" t="str">
        <x:v>Amazon RDS for SQL Server
SQL Server on Amazon EC2</x:v>
      </x:c>
      <x:c r="G150" s="32" t="str">
        <x:v>Azure SQL Managed Instance
SQL Server on Azure VMs</x:v>
      </x:c>
      <x:c r="H150" s="32" t="str">
        <x:v>Cloud SQL for SQL Server</x:v>
      </x:c>
      <x:c r="I150" s="32" t="n">
        <x:v>4.2</x:v>
      </x:c>
      <x:c r="J150" s="32" t="n">
        <x:v>2.9</x:v>
      </x:c>
      <x:c r="K150" s="32" t="n">
        <x:v>4.2</x:v>
      </x:c>
      <x:c r="L150" s="32" t="n">
        <x:v>4.3</x:v>
      </x:c>
      <x:c r="M150" s="32" t="n">
        <x:v>3.5</x:v>
      </x:c>
      <x:c r="N150" s="32" t="n">
        <x:v>4.4</x:v>
      </x:c>
      <x:c r="O150" s="32" t="n">
        <x:v>3.6</x:v>
      </x:c>
      <x:c r="P150" s="32" t="n">
        <x:v>4.2</x:v>
      </x:c>
      <x:c r="Q150" s="32" t="n">
        <x:v>2.9</x:v>
      </x:c>
      <x:c r="R150" s="32" t="n">
        <x:v>4.7</x:v>
      </x:c>
      <x:c r="S150" s="32" t="n">
        <x:v>4.4</x:v>
      </x:c>
      <x:c r="T150" s="32" t="n">
        <x:v>3.5</x:v>
      </x:c>
      <x:c r="U150" s="32" t="n">
        <x:v>4.3</x:v>
      </x:c>
      <x:c r="V150" s="32" t="n">
        <x:v>3.7</x:v>
      </x:c>
      <x:c r="W150" s="32" t="n">
        <x:v>4</x:v>
      </x:c>
      <x:c r="X150" s="32" t="n">
        <x:v>3</x:v>
      </x:c>
      <x:c r="Y150" s="32" t="n">
        <x:v>4.4</x:v>
      </x:c>
      <x:c r="Z150" s="32" t="n">
        <x:v>4.7</x:v>
      </x:c>
      <x:c r="AA150" s="32" t="n">
        <x:v>3.5</x:v>
      </x:c>
      <x:c r="AB150" s="32" t="n">
        <x:v>4.3</x:v>
      </x:c>
      <x:c r="AC150" s="32" t="n">
        <x:v>3.9</x:v>
      </x:c>
      <x:c r="AD150" s="32" t="n">
        <x:f>ROUND((I150*'Criteria &amp; Scoring'!$B$5+J150*'Criteria &amp; Scoring'!$B$6+K150*'Criteria &amp; Scoring'!$B$7+L150*'Criteria &amp; Scoring'!$B$8+M150*'Criteria &amp; Scoring'!$B$9+N150*'Criteria &amp; Scoring'!$B$10+O150*'Criteria &amp; Scoring'!$B$11)/SUM('Criteria &amp; Scoring'!$B$5:$B$11),2)</x:f>
        <x:v>3.88</x:v>
      </x:c>
      <x:c r="AE150" s="32" t="n">
        <x:f>ROUND((P150*'Criteria &amp; Scoring'!$B$5+Q150*'Criteria &amp; Scoring'!$B$6+R150*'Criteria &amp; Scoring'!$B$7+S150*'Criteria &amp; Scoring'!$B$8+T150*'Criteria &amp; Scoring'!$B$9+U150*'Criteria &amp; Scoring'!$B$10+V150*'Criteria &amp; Scoring'!$B$11)/SUM('Criteria &amp; Scoring'!$B$5:$B$11),2)</x:f>
        <x:v>3.96</x:v>
      </x:c>
      <x:c r="AF150" s="32" t="n">
        <x:f>ROUND((W150*'Criteria &amp; Scoring'!$B$5+X150*'Criteria &amp; Scoring'!$B$6+Y150*'Criteria &amp; Scoring'!$B$7+Z150*'Criteria &amp; Scoring'!$B$8+AA150*'Criteria &amp; Scoring'!$B$9+AB150*'Criteria &amp; Scoring'!$B$10+AC150*'Criteria &amp; Scoring'!$B$11)/SUM('Criteria &amp; Scoring'!$B$5:$B$11),2)</x:f>
        <x:v>3.94</x:v>
      </x:c>
      <x:c r="AG150" s="32" t="str">
        <x:f>IF(LARGE(AD150:AF150,1)-LARGE(AD150:AF150,2)&lt;0.15,"Context-dependent tie",SUBSTITUTE(INDEX($AD$4:$AF$4,1,MATCH(MAX(AD150:AF150),AD150:AF150,0))," Overall",""))</x:f>
        <x:v>Context-dependent tie</x:v>
      </x:c>
      <x:c r="AH150" s="32" t="str">
        <x:f>IF(AG150="AWS","Start with AWS when infrastructure breadth, native integration and operational maturity are the main differentiators.",IF(AG150="Azure","Start with Azure when Microsoft identity, security, data, productivity or hybrid integration reduces delivery effort.",IF(AG150="GCP","Start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50" s="32" t="str">
        <x:v>Medium</x:v>
      </x:c>
      <x:c r="AJ150" s="32" t="str">
        <x:v>2026-07-12</x:v>
      </x:c>
    </x:row>
    <x:row r="151">
      <x:c r="A151" s="32" t="str">
        <x:v>Managed MySQL</x:v>
      </x:c>
      <x:c r="B151" s="32" t="str">
        <x:v>05 Data Infrastructure</x:v>
      </x:c>
      <x:c r="C151" s="32" t="str">
        <x:v>Relational Databases</x:v>
      </x:c>
      <x:c r="D151" s="32" t="str">
        <x:v>Workload</x:v>
      </x:c>
      <x:c r="E151" s="32" t="str">
        <x:v>What data model, engine compatibility, scale, availability and operational control do you need?</x:v>
      </x:c>
      <x:c r="F151" s="32" t="str">
        <x:v>Amazon RDS for MySQL
Amazon Aurora MySQL</x:v>
      </x:c>
      <x:c r="G151" s="32" t="str">
        <x:v>Azure Database for MySQL</x:v>
      </x:c>
      <x:c r="H151" s="32" t="str">
        <x:v>Cloud SQL for MySQL</x:v>
      </x:c>
      <x:c r="I151" s="32" t="n">
        <x:v>4.4</x:v>
      </x:c>
      <x:c r="J151" s="32" t="n">
        <x:v>2.9</x:v>
      </x:c>
      <x:c r="K151" s="32" t="n">
        <x:v>4.3</x:v>
      </x:c>
      <x:c r="L151" s="32" t="n">
        <x:v>4.3</x:v>
      </x:c>
      <x:c r="M151" s="32" t="n">
        <x:v>4.1</x:v>
      </x:c>
      <x:c r="N151" s="32" t="n">
        <x:v>4.5</x:v>
      </x:c>
      <x:c r="O151" s="32" t="n">
        <x:v>3.6</x:v>
      </x:c>
      <x:c r="P151" s="32" t="n">
        <x:v>4.5</x:v>
      </x:c>
      <x:c r="Q151" s="32" t="n">
        <x:v>3</x:v>
      </x:c>
      <x:c r="R151" s="32" t="n">
        <x:v>4.8</x:v>
      </x:c>
      <x:c r="S151" s="32" t="n">
        <x:v>4.5</x:v>
      </x:c>
      <x:c r="T151" s="32" t="n">
        <x:v>4.2</x:v>
      </x:c>
      <x:c r="U151" s="32" t="n">
        <x:v>4.5</x:v>
      </x:c>
      <x:c r="V151" s="32" t="n">
        <x:v>3.8</x:v>
      </x:c>
      <x:c r="W151" s="32" t="n">
        <x:v>4.2</x:v>
      </x:c>
      <x:c r="X151" s="32" t="n">
        <x:v>3</x:v>
      </x:c>
      <x:c r="Y151" s="32" t="n">
        <x:v>4.5</x:v>
      </x:c>
      <x:c r="Z151" s="32" t="n">
        <x:v>4.7</x:v>
      </x:c>
      <x:c r="AA151" s="32" t="n">
        <x:v>4.2</x:v>
      </x:c>
      <x:c r="AB151" s="32" t="n">
        <x:v>4.4</x:v>
      </x:c>
      <x:c r="AC151" s="32" t="n">
        <x:v>3.9</x:v>
      </x:c>
      <x:c r="AD151" s="32" t="n">
        <x:f>ROUND((I151*'Criteria &amp; Scoring'!$B$5+J151*'Criteria &amp; Scoring'!$B$6+K151*'Criteria &amp; Scoring'!$B$7+L151*'Criteria &amp; Scoring'!$B$8+M151*'Criteria &amp; Scoring'!$B$9+N151*'Criteria &amp; Scoring'!$B$10+O151*'Criteria &amp; Scoring'!$B$11)/SUM('Criteria &amp; Scoring'!$B$5:$B$11),2)</x:f>
        <x:v>4.01</x:v>
      </x:c>
      <x:c r="AE151" s="32" t="n">
        <x:f>ROUND((P151*'Criteria &amp; Scoring'!$B$5+Q151*'Criteria &amp; Scoring'!$B$6+R151*'Criteria &amp; Scoring'!$B$7+S151*'Criteria &amp; Scoring'!$B$8+T151*'Criteria &amp; Scoring'!$B$9+U151*'Criteria &amp; Scoring'!$B$10+V151*'Criteria &amp; Scoring'!$B$11)/SUM('Criteria &amp; Scoring'!$B$5:$B$11),2)</x:f>
        <x:v>4.18</x:v>
      </x:c>
      <x:c r="AF151" s="32" t="n">
        <x:f>ROUND((W151*'Criteria &amp; Scoring'!$B$5+X151*'Criteria &amp; Scoring'!$B$6+Y151*'Criteria &amp; Scoring'!$B$7+Z151*'Criteria &amp; Scoring'!$B$8+AA151*'Criteria &amp; Scoring'!$B$9+AB151*'Criteria &amp; Scoring'!$B$10+AC151*'Criteria &amp; Scoring'!$B$11)/SUM('Criteria &amp; Scoring'!$B$5:$B$11),2)</x:f>
        <x:v>4.09</x:v>
      </x:c>
      <x:c r="AG151" s="32" t="str">
        <x:f>IF(LARGE(AD151:AF151,1)-LARGE(AD151:AF151,2)&lt;0.15,"Context-dependent tie",SUBSTITUTE(INDEX($AD$4:$AF$4,1,MATCH(MAX(AD151:AF151),AD151:AF151,0))," Overall",""))</x:f>
        <x:v>Context-dependent tie</x:v>
      </x:c>
      <x:c r="AH151" s="32" t="str">
        <x:f>IF(AG151="AWS","Start with AWS when infrastructure breadth, native integration and operational maturity are the main differentiators.",IF(AG151="Azure","Start with Azure when Microsoft identity, security, data, productivity or hybrid integration reduces delivery effort.",IF(AG151="GCP","Start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51" s="32" t="str">
        <x:v>High</x:v>
      </x:c>
      <x:c r="AJ151" s="32" t="str">
        <x:v>2026-07-12</x:v>
      </x:c>
    </x:row>
    <x:row r="152">
      <x:c r="A152" s="32" t="str">
        <x:v>Managed Oracle database</x:v>
      </x:c>
      <x:c r="B152" s="32" t="str">
        <x:v>05 Data Infrastructure</x:v>
      </x:c>
      <x:c r="C152" s="32" t="str">
        <x:v>Relational Databases</x:v>
      </x:c>
      <x:c r="D152" s="32" t="str">
        <x:v>Workload</x:v>
      </x:c>
      <x:c r="E152" s="32" t="str">
        <x:v>What data model, engine compatibility, scale, availability and operational control do you need?</x:v>
      </x:c>
      <x:c r="F152" s="32" t="str">
        <x:v>Amazon RDS for Oracle
Oracle Database@AWS</x:v>
      </x:c>
      <x:c r="G152" s="32" t="str">
        <x:v>Oracle Database@Azure
Oracle on Azure VMs</x:v>
      </x:c>
      <x:c r="H152" s="32" t="str">
        <x:v>Oracle Database@Google Cloud
Oracle on Google Cloud Compute</x:v>
      </x:c>
      <x:c r="I152" s="32" t="n">
        <x:v>4.2</x:v>
      </x:c>
      <x:c r="J152" s="32" t="n">
        <x:v>2.9</x:v>
      </x:c>
      <x:c r="K152" s="32" t="n">
        <x:v>4.2</x:v>
      </x:c>
      <x:c r="L152" s="32" t="n">
        <x:v>4.3</x:v>
      </x:c>
      <x:c r="M152" s="32" t="n">
        <x:v>3.5</x:v>
      </x:c>
      <x:c r="N152" s="32" t="n">
        <x:v>4.4</x:v>
      </x:c>
      <x:c r="O152" s="32" t="n">
        <x:v>3.6</x:v>
      </x:c>
      <x:c r="P152" s="32" t="n">
        <x:v>4.2</x:v>
      </x:c>
      <x:c r="Q152" s="32" t="n">
        <x:v>2.9</x:v>
      </x:c>
      <x:c r="R152" s="32" t="n">
        <x:v>4.4</x:v>
      </x:c>
      <x:c r="S152" s="32" t="n">
        <x:v>4.4</x:v>
      </x:c>
      <x:c r="T152" s="32" t="n">
        <x:v>3.5</x:v>
      </x:c>
      <x:c r="U152" s="32" t="n">
        <x:v>4.3</x:v>
      </x:c>
      <x:c r="V152" s="32" t="n">
        <x:v>3.7</x:v>
      </x:c>
      <x:c r="W152" s="32" t="n">
        <x:v>3.9</x:v>
      </x:c>
      <x:c r="X152" s="32" t="n">
        <x:v>2.9</x:v>
      </x:c>
      <x:c r="Y152" s="32" t="n">
        <x:v>4.3</x:v>
      </x:c>
      <x:c r="Z152" s="32" t="n">
        <x:v>4.6</x:v>
      </x:c>
      <x:c r="AA152" s="32" t="n">
        <x:v>3.5</x:v>
      </x:c>
      <x:c r="AB152" s="32" t="n">
        <x:v>4.2</x:v>
      </x:c>
      <x:c r="AC152" s="32" t="n">
        <x:v>3.8</x:v>
      </x:c>
      <x:c r="AD152" s="32" t="n">
        <x:f>ROUND((I152*'Criteria &amp; Scoring'!$B$5+J152*'Criteria &amp; Scoring'!$B$6+K152*'Criteria &amp; Scoring'!$B$7+L152*'Criteria &amp; Scoring'!$B$8+M152*'Criteria &amp; Scoring'!$B$9+N152*'Criteria &amp; Scoring'!$B$10+O152*'Criteria &amp; Scoring'!$B$11)/SUM('Criteria &amp; Scoring'!$B$5:$B$11),2)</x:f>
        <x:v>3.88</x:v>
      </x:c>
      <x:c r="AE152" s="32" t="n">
        <x:f>ROUND((P152*'Criteria &amp; Scoring'!$B$5+Q152*'Criteria &amp; Scoring'!$B$6+R152*'Criteria &amp; Scoring'!$B$7+S152*'Criteria &amp; Scoring'!$B$8+T152*'Criteria &amp; Scoring'!$B$9+U152*'Criteria &amp; Scoring'!$B$10+V152*'Criteria &amp; Scoring'!$B$11)/SUM('Criteria &amp; Scoring'!$B$5:$B$11),2)</x:f>
        <x:v>3.92</x:v>
      </x:c>
      <x:c r="AF152" s="32" t="n">
        <x:f>ROUND((W152*'Criteria &amp; Scoring'!$B$5+X152*'Criteria &amp; Scoring'!$B$6+Y152*'Criteria &amp; Scoring'!$B$7+Z152*'Criteria &amp; Scoring'!$B$8+AA152*'Criteria &amp; Scoring'!$B$9+AB152*'Criteria &amp; Scoring'!$B$10+AC152*'Criteria &amp; Scoring'!$B$11)/SUM('Criteria &amp; Scoring'!$B$5:$B$11),2)</x:f>
        <x:v>3.85</x:v>
      </x:c>
      <x:c r="AG152" s="32" t="str">
        <x:f>IF(LARGE(AD152:AF152,1)-LARGE(AD152:AF152,2)&lt;0.15,"Context-dependent tie",SUBSTITUTE(INDEX($AD$4:$AF$4,1,MATCH(MAX(AD152:AF152),AD152:AF152,0))," Overall",""))</x:f>
        <x:v>Context-dependent tie</x:v>
      </x:c>
      <x:c r="AH152" s="32" t="str">
        <x:f>IF(AG152="AWS","Start with AWS when infrastructure breadth, native integration and operational maturity are the main differentiators.",IF(AG152="Azure","Start with Azure when Microsoft identity, security, data, productivity or hybrid integration reduces delivery effort.",IF(AG152="GCP","Start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52" s="32" t="str">
        <x:v>Medium</x:v>
      </x:c>
      <x:c r="AJ152" s="32" t="str">
        <x:v>2026-07-12</x:v>
      </x:c>
    </x:row>
    <x:row r="153">
      <x:c r="A153" s="32" t="str">
        <x:v>Managed IBM Db2 database</x:v>
      </x:c>
      <x:c r="B153" s="32" t="str">
        <x:v>05 Data Infrastructure</x:v>
      </x:c>
      <x:c r="C153" s="32" t="str">
        <x:v>Relational Databases</x:v>
      </x:c>
      <x:c r="D153" s="32" t="str">
        <x:v>Workload</x:v>
      </x:c>
      <x:c r="E153" s="32" t="str">
        <x:v>What data model, engine compatibility, scale, availability and operational control do you need?</x:v>
      </x:c>
      <x:c r="F153" s="32" t="str">
        <x:v>Amazon RDS for Db2</x:v>
      </x:c>
      <x:c r="G153" s="32" t="str">
        <x:v>IBM Db2 on Azure</x:v>
      </x:c>
      <x:c r="H153" s="32" t="str">
        <x:v>IBM Db2 on Google Cloud</x:v>
      </x:c>
      <x:c r="I153" s="32" t="n">
        <x:v>3.9</x:v>
      </x:c>
      <x:c r="J153" s="32" t="n">
        <x:v>3</x:v>
      </x:c>
      <x:c r="K153" s="32" t="n">
        <x:v>4.1</x:v>
      </x:c>
      <x:c r="L153" s="32" t="n">
        <x:v>4.3</x:v>
      </x:c>
      <x:c r="M153" s="32" t="n">
        <x:v>3.5</x:v>
      </x:c>
      <x:c r="N153" s="32" t="n">
        <x:v>4.3</x:v>
      </x:c>
      <x:c r="O153" s="32" t="n">
        <x:v>3.7</x:v>
      </x:c>
      <x:c r="P153" s="32" t="n">
        <x:v>3.8</x:v>
      </x:c>
      <x:c r="Q153" s="32" t="n">
        <x:v>3</x:v>
      </x:c>
      <x:c r="R153" s="32" t="n">
        <x:v>4.2</x:v>
      </x:c>
      <x:c r="S153" s="32" t="n">
        <x:v>4.5</x:v>
      </x:c>
      <x:c r="T153" s="32" t="n">
        <x:v>3.5</x:v>
      </x:c>
      <x:c r="U153" s="32" t="n">
        <x:v>4.2</x:v>
      </x:c>
      <x:c r="V153" s="32" t="n">
        <x:v>3.8</x:v>
      </x:c>
      <x:c r="W153" s="32" t="n">
        <x:v>3.5</x:v>
      </x:c>
      <x:c r="X153" s="32" t="n">
        <x:v>3</x:v>
      </x:c>
      <x:c r="Y153" s="32" t="n">
        <x:v>4.2</x:v>
      </x:c>
      <x:c r="Z153" s="32" t="n">
        <x:v>4.7</x:v>
      </x:c>
      <x:c r="AA153" s="32" t="n">
        <x:v>3.5</x:v>
      </x:c>
      <x:c r="AB153" s="32" t="n">
        <x:v>4.1</x:v>
      </x:c>
      <x:c r="AC153" s="32" t="n">
        <x:v>3.9</x:v>
      </x:c>
      <x:c r="AD153" s="32" t="n">
        <x:f>ROUND((I153*'Criteria &amp; Scoring'!$B$5+J153*'Criteria &amp; Scoring'!$B$6+K153*'Criteria &amp; Scoring'!$B$7+L153*'Criteria &amp; Scoring'!$B$8+M153*'Criteria &amp; Scoring'!$B$9+N153*'Criteria &amp; Scoring'!$B$10+O153*'Criteria &amp; Scoring'!$B$11)/SUM('Criteria &amp; Scoring'!$B$5:$B$11),2)</x:f>
        <x:v>3.8</x:v>
      </x:c>
      <x:c r="AE153" s="32" t="n">
        <x:f>ROUND((P153*'Criteria &amp; Scoring'!$B$5+Q153*'Criteria &amp; Scoring'!$B$6+R153*'Criteria &amp; Scoring'!$B$7+S153*'Criteria &amp; Scoring'!$B$8+T153*'Criteria &amp; Scoring'!$B$9+U153*'Criteria &amp; Scoring'!$B$10+V153*'Criteria &amp; Scoring'!$B$11)/SUM('Criteria &amp; Scoring'!$B$5:$B$11),2)</x:f>
        <x:v>3.82</x:v>
      </x:c>
      <x:c r="AF153" s="32" t="n">
        <x:f>ROUND((W153*'Criteria &amp; Scoring'!$B$5+X153*'Criteria &amp; Scoring'!$B$6+Y153*'Criteria &amp; Scoring'!$B$7+Z153*'Criteria &amp; Scoring'!$B$8+AA153*'Criteria &amp; Scoring'!$B$9+AB153*'Criteria &amp; Scoring'!$B$10+AC153*'Criteria &amp; Scoring'!$B$11)/SUM('Criteria &amp; Scoring'!$B$5:$B$11),2)</x:f>
        <x:v>3.77</x:v>
      </x:c>
      <x:c r="AG153" s="32" t="str">
        <x:f>IF(LARGE(AD153:AF153,1)-LARGE(AD153:AF153,2)&lt;0.15,"Context-dependent tie",SUBSTITUTE(INDEX($AD$4:$AF$4,1,MATCH(MAX(AD153:AF153),AD153:AF153,0))," Overall",""))</x:f>
        <x:v>Context-dependent tie</x:v>
      </x:c>
      <x:c r="AH153" s="32" t="str">
        <x:f>IF(AG153="AWS","Start with AWS when infrastructure breadth, native integration and operational maturity are the main differentiators.",IF(AG153="Azure","Start with Azure when Microsoft identity, security, data, productivity or hybrid integration reduces delivery effort.",IF(AG153="GCP","Start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53" s="32" t="str">
        <x:v>Low</x:v>
      </x:c>
      <x:c r="AJ153" s="32" t="str">
        <x:v>2026-07-12</x:v>
      </x:c>
    </x:row>
    <x:row r="154">
      <x:c r="A154" s="32" t="str">
        <x:v>Managed key-value database</x:v>
      </x:c>
      <x:c r="B154" s="32" t="str">
        <x:v>05 Data Infrastructure</x:v>
      </x:c>
      <x:c r="C154" s="32" t="str">
        <x:v>NoSQL Databases</x:v>
      </x:c>
      <x:c r="D154" s="32" t="str">
        <x:v>Workload</x:v>
      </x:c>
      <x:c r="E154" s="32" t="str">
        <x:v>Which access pattern matters most: key-value, document, wide-column, consistency or global distribution?</x:v>
      </x:c>
      <x:c r="F154" s="32" t="str">
        <x:v>Amazon DynamoDB</x:v>
      </x:c>
      <x:c r="G154" s="32" t="str">
        <x:v>Azure Cosmos DB</x:v>
      </x:c>
      <x:c r="H154" s="32" t="str">
        <x:v>Bigtable
Firestore</x:v>
      </x:c>
      <x:c r="I154" s="32" t="n">
        <x:v>4</x:v>
      </x:c>
      <x:c r="J154" s="32" t="n">
        <x:v>3</x:v>
      </x:c>
      <x:c r="K154" s="32" t="n">
        <x:v>4.3</x:v>
      </x:c>
      <x:c r="L154" s="32" t="n">
        <x:v>4.3</x:v>
      </x:c>
      <x:c r="M154" s="32" t="n">
        <x:v>3.5</x:v>
      </x:c>
      <x:c r="N154" s="32" t="n">
        <x:v>4.5</x:v>
      </x:c>
      <x:c r="O154" s="32" t="n">
        <x:v>3.7</x:v>
      </x:c>
      <x:c r="P154" s="32" t="n">
        <x:v>4</x:v>
      </x:c>
      <x:c r="Q154" s="32" t="n">
        <x:v>3</x:v>
      </x:c>
      <x:c r="R154" s="32" t="n">
        <x:v>4.8</x:v>
      </x:c>
      <x:c r="S154" s="32" t="n">
        <x:v>4.5</x:v>
      </x:c>
      <x:c r="T154" s="32" t="n">
        <x:v>3.5</x:v>
      </x:c>
      <x:c r="U154" s="32" t="n">
        <x:v>4.4</x:v>
      </x:c>
      <x:c r="V154" s="32" t="n">
        <x:v>3.8</x:v>
      </x:c>
      <x:c r="W154" s="32" t="n">
        <x:v>3.9</x:v>
      </x:c>
      <x:c r="X154" s="32" t="n">
        <x:v>2.9</x:v>
      </x:c>
      <x:c r="Y154" s="32" t="n">
        <x:v>4.3</x:v>
      </x:c>
      <x:c r="Z154" s="32" t="n">
        <x:v>4.6</x:v>
      </x:c>
      <x:c r="AA154" s="32" t="n">
        <x:v>3.5</x:v>
      </x:c>
      <x:c r="AB154" s="32" t="n">
        <x:v>4.2</x:v>
      </x:c>
      <x:c r="AC154" s="32" t="n">
        <x:v>3.8</x:v>
      </x:c>
      <x:c r="AD154" s="32" t="n">
        <x:f>ROUND((I154*'Criteria &amp; Scoring'!$B$5+J154*'Criteria &amp; Scoring'!$B$6+K154*'Criteria &amp; Scoring'!$B$7+L154*'Criteria &amp; Scoring'!$B$8+M154*'Criteria &amp; Scoring'!$B$9+N154*'Criteria &amp; Scoring'!$B$10+O154*'Criteria &amp; Scoring'!$B$11)/SUM('Criteria &amp; Scoring'!$B$5:$B$11),2)</x:f>
        <x:v>3.88</x:v>
      </x:c>
      <x:c r="AE154" s="32" t="n">
        <x:f>ROUND((P154*'Criteria &amp; Scoring'!$B$5+Q154*'Criteria &amp; Scoring'!$B$6+R154*'Criteria &amp; Scoring'!$B$7+S154*'Criteria &amp; Scoring'!$B$8+T154*'Criteria &amp; Scoring'!$B$9+U154*'Criteria &amp; Scoring'!$B$10+V154*'Criteria &amp; Scoring'!$B$11)/SUM('Criteria &amp; Scoring'!$B$5:$B$11),2)</x:f>
        <x:v>3.98</x:v>
      </x:c>
      <x:c r="AF154" s="32" t="n">
        <x:f>ROUND((W154*'Criteria &amp; Scoring'!$B$5+X154*'Criteria &amp; Scoring'!$B$6+Y154*'Criteria &amp; Scoring'!$B$7+Z154*'Criteria &amp; Scoring'!$B$8+AA154*'Criteria &amp; Scoring'!$B$9+AB154*'Criteria &amp; Scoring'!$B$10+AC154*'Criteria &amp; Scoring'!$B$11)/SUM('Criteria &amp; Scoring'!$B$5:$B$11),2)</x:f>
        <x:v>3.85</x:v>
      </x:c>
      <x:c r="AG154" s="32" t="str">
        <x:f>IF(LARGE(AD154:AF154,1)-LARGE(AD154:AF154,2)&lt;0.15,"Context-dependent tie",SUBSTITUTE(INDEX($AD$4:$AF$4,1,MATCH(MAX(AD154:AF154),AD154:AF154,0))," Overall",""))</x:f>
        <x:v>Context-dependent tie</x:v>
      </x:c>
      <x:c r="AH154" s="32" t="str">
        <x:f>IF(AG154="AWS","Start with AWS when infrastructure breadth, native integration and operational maturity are the main differentiators.",IF(AG154="Azure","Start with Azure when Microsoft identity, security, data, productivity or hybrid integration reduces delivery effort.",IF(AG154="GCP","Start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54" s="32" t="str">
        <x:v>Medium</x:v>
      </x:c>
      <x:c r="AJ154" s="32" t="str">
        <x:v>2026-07-12</x:v>
      </x:c>
    </x:row>
    <x:row r="155">
      <x:c r="A155" s="32" t="str">
        <x:v>Managed document database</x:v>
      </x:c>
      <x:c r="B155" s="32" t="str">
        <x:v>05 Data Infrastructure</x:v>
      </x:c>
      <x:c r="C155" s="32" t="str">
        <x:v>NoSQL Databases</x:v>
      </x:c>
      <x:c r="D155" s="32" t="str">
        <x:v>Workload</x:v>
      </x:c>
      <x:c r="E155" s="32" t="str">
        <x:v>Which access pattern matters most: key-value, document, wide-column, consistency or global distribution?</x:v>
      </x:c>
      <x:c r="F155" s="32" t="str">
        <x:v>Amazon DocumentDB
Amazon DynamoDB</x:v>
      </x:c>
      <x:c r="G155" s="32" t="str">
        <x:v>Azure Cosmos DB
Azure DocumentDB</x:v>
      </x:c>
      <x:c r="H155" s="32" t="str">
        <x:v>Firestore in Native mode
Firestore with MongoDB compatibility</x:v>
      </x:c>
      <x:c r="I155" s="32" t="n">
        <x:v>3.9</x:v>
      </x:c>
      <x:c r="J155" s="32" t="n">
        <x:v>2.9</x:v>
      </x:c>
      <x:c r="K155" s="32" t="n">
        <x:v>4.2</x:v>
      </x:c>
      <x:c r="L155" s="32" t="n">
        <x:v>4.3</x:v>
      </x:c>
      <x:c r="M155" s="32" t="n">
        <x:v>3.5</x:v>
      </x:c>
      <x:c r="N155" s="32" t="n">
        <x:v>4.4</x:v>
      </x:c>
      <x:c r="O155" s="32" t="n">
        <x:v>3.6</x:v>
      </x:c>
      <x:c r="P155" s="32" t="n">
        <x:v>3.9</x:v>
      </x:c>
      <x:c r="Q155" s="32" t="n">
        <x:v>2.9</x:v>
      </x:c>
      <x:c r="R155" s="32" t="n">
        <x:v>4.7</x:v>
      </x:c>
      <x:c r="S155" s="32" t="n">
        <x:v>4.4</x:v>
      </x:c>
      <x:c r="T155" s="32" t="n">
        <x:v>3.5</x:v>
      </x:c>
      <x:c r="U155" s="32" t="n">
        <x:v>4.3</x:v>
      </x:c>
      <x:c r="V155" s="32" t="n">
        <x:v>3.7</x:v>
      </x:c>
      <x:c r="W155" s="32" t="n">
        <x:v>3.9</x:v>
      </x:c>
      <x:c r="X155" s="32" t="n">
        <x:v>2.9</x:v>
      </x:c>
      <x:c r="Y155" s="32" t="n">
        <x:v>4.3</x:v>
      </x:c>
      <x:c r="Z155" s="32" t="n">
        <x:v>4.6</x:v>
      </x:c>
      <x:c r="AA155" s="32" t="n">
        <x:v>3.5</x:v>
      </x:c>
      <x:c r="AB155" s="32" t="n">
        <x:v>4.2</x:v>
      </x:c>
      <x:c r="AC155" s="32" t="n">
        <x:v>3.8</x:v>
      </x:c>
      <x:c r="AD155" s="32" t="n">
        <x:f>ROUND((I155*'Criteria &amp; Scoring'!$B$5+J155*'Criteria &amp; Scoring'!$B$6+K155*'Criteria &amp; Scoring'!$B$7+L155*'Criteria &amp; Scoring'!$B$8+M155*'Criteria &amp; Scoring'!$B$9+N155*'Criteria &amp; Scoring'!$B$10+O155*'Criteria &amp; Scoring'!$B$11)/SUM('Criteria &amp; Scoring'!$B$5:$B$11),2)</x:f>
        <x:v>3.8</x:v>
      </x:c>
      <x:c r="AE155" s="32" t="n">
        <x:f>ROUND((P155*'Criteria &amp; Scoring'!$B$5+Q155*'Criteria &amp; Scoring'!$B$6+R155*'Criteria &amp; Scoring'!$B$7+S155*'Criteria &amp; Scoring'!$B$8+T155*'Criteria &amp; Scoring'!$B$9+U155*'Criteria &amp; Scoring'!$B$10+V155*'Criteria &amp; Scoring'!$B$11)/SUM('Criteria &amp; Scoring'!$B$5:$B$11),2)</x:f>
        <x:v>3.89</x:v>
      </x:c>
      <x:c r="AF155" s="32" t="n">
        <x:f>ROUND((W155*'Criteria &amp; Scoring'!$B$5+X155*'Criteria &amp; Scoring'!$B$6+Y155*'Criteria &amp; Scoring'!$B$7+Z155*'Criteria &amp; Scoring'!$B$8+AA155*'Criteria &amp; Scoring'!$B$9+AB155*'Criteria &amp; Scoring'!$B$10+AC155*'Criteria &amp; Scoring'!$B$11)/SUM('Criteria &amp; Scoring'!$B$5:$B$11),2)</x:f>
        <x:v>3.85</x:v>
      </x:c>
      <x:c r="AG155" s="32" t="str">
        <x:f>IF(LARGE(AD155:AF155,1)-LARGE(AD155:AF155,2)&lt;0.15,"Context-dependent tie",SUBSTITUTE(INDEX($AD$4:$AF$4,1,MATCH(MAX(AD155:AF155),AD155:AF155,0))," Overall",""))</x:f>
        <x:v>Context-dependent tie</x:v>
      </x:c>
      <x:c r="AH155" s="32" t="str">
        <x:f>IF(AG155="AWS","Start with AWS when infrastructure breadth, native integration and operational maturity are the main differentiators.",IF(AG155="Azure","Start with Azure when Microsoft identity, security, data, productivity or hybrid integration reduces delivery effort.",IF(AG155="GCP","Start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55" s="32" t="str">
        <x:v>Medium</x:v>
      </x:c>
      <x:c r="AJ155" s="32" t="str">
        <x:v>2026-07-12</x:v>
      </x:c>
    </x:row>
    <x:row r="156">
      <x:c r="A156" s="32" t="str">
        <x:v>MongoDB-compatible managed database</x:v>
      </x:c>
      <x:c r="B156" s="32" t="str">
        <x:v>05 Data Infrastructure</x:v>
      </x:c>
      <x:c r="C156" s="32" t="str">
        <x:v>NoSQL Databases</x:v>
      </x:c>
      <x:c r="D156" s="32" t="str">
        <x:v>Workload</x:v>
      </x:c>
      <x:c r="E156" s="32" t="str">
        <x:v>Which access pattern matters most: key-value, document, wide-column, consistency or global distribution?</x:v>
      </x:c>
      <x:c r="F156" s="32" t="str">
        <x:v>Amazon DocumentDB</x:v>
      </x:c>
      <x:c r="G156" s="32" t="str">
        <x:v>Azure Cosmos DB for MongoDB
Azure DocumentDB</x:v>
      </x:c>
      <x:c r="H156" s="32" t="str">
        <x:v>Firestore with MongoDB compatibility</x:v>
      </x:c>
      <x:c r="I156" s="32" t="n">
        <x:v>4</x:v>
      </x:c>
      <x:c r="J156" s="32" t="n">
        <x:v>3</x:v>
      </x:c>
      <x:c r="K156" s="32" t="n">
        <x:v>4.3</x:v>
      </x:c>
      <x:c r="L156" s="32" t="n">
        <x:v>4.3</x:v>
      </x:c>
      <x:c r="M156" s="32" t="n">
        <x:v>3.5</x:v>
      </x:c>
      <x:c r="N156" s="32" t="n">
        <x:v>4.5</x:v>
      </x:c>
      <x:c r="O156" s="32" t="n">
        <x:v>3.7</x:v>
      </x:c>
      <x:c r="P156" s="32" t="n">
        <x:v>3.9</x:v>
      </x:c>
      <x:c r="Q156" s="32" t="n">
        <x:v>2.9</x:v>
      </x:c>
      <x:c r="R156" s="32" t="n">
        <x:v>4.7</x:v>
      </x:c>
      <x:c r="S156" s="32" t="n">
        <x:v>4.4</x:v>
      </x:c>
      <x:c r="T156" s="32" t="n">
        <x:v>3.5</x:v>
      </x:c>
      <x:c r="U156" s="32" t="n">
        <x:v>4.3</x:v>
      </x:c>
      <x:c r="V156" s="32" t="n">
        <x:v>3.7</x:v>
      </x:c>
      <x:c r="W156" s="32" t="n">
        <x:v>4</x:v>
      </x:c>
      <x:c r="X156" s="32" t="n">
        <x:v>3</x:v>
      </x:c>
      <x:c r="Y156" s="32" t="n">
        <x:v>4.4</x:v>
      </x:c>
      <x:c r="Z156" s="32" t="n">
        <x:v>4.7</x:v>
      </x:c>
      <x:c r="AA156" s="32" t="n">
        <x:v>3.5</x:v>
      </x:c>
      <x:c r="AB156" s="32" t="n">
        <x:v>4.3</x:v>
      </x:c>
      <x:c r="AC156" s="32" t="n">
        <x:v>3.9</x:v>
      </x:c>
      <x:c r="AD156" s="32" t="n">
        <x:f>ROUND((I156*'Criteria &amp; Scoring'!$B$5+J156*'Criteria &amp; Scoring'!$B$6+K156*'Criteria &amp; Scoring'!$B$7+L156*'Criteria &amp; Scoring'!$B$8+M156*'Criteria &amp; Scoring'!$B$9+N156*'Criteria &amp; Scoring'!$B$10+O156*'Criteria &amp; Scoring'!$B$11)/SUM('Criteria &amp; Scoring'!$B$5:$B$11),2)</x:f>
        <x:v>3.88</x:v>
      </x:c>
      <x:c r="AE156" s="32" t="n">
        <x:f>ROUND((P156*'Criteria &amp; Scoring'!$B$5+Q156*'Criteria &amp; Scoring'!$B$6+R156*'Criteria &amp; Scoring'!$B$7+S156*'Criteria &amp; Scoring'!$B$8+T156*'Criteria &amp; Scoring'!$B$9+U156*'Criteria &amp; Scoring'!$B$10+V156*'Criteria &amp; Scoring'!$B$11)/SUM('Criteria &amp; Scoring'!$B$5:$B$11),2)</x:f>
        <x:v>3.89</x:v>
      </x:c>
      <x:c r="AF156" s="32" t="n">
        <x:f>ROUND((W156*'Criteria &amp; Scoring'!$B$5+X156*'Criteria &amp; Scoring'!$B$6+Y156*'Criteria &amp; Scoring'!$B$7+Z156*'Criteria &amp; Scoring'!$B$8+AA156*'Criteria &amp; Scoring'!$B$9+AB156*'Criteria &amp; Scoring'!$B$10+AC156*'Criteria &amp; Scoring'!$B$11)/SUM('Criteria &amp; Scoring'!$B$5:$B$11),2)</x:f>
        <x:v>3.94</x:v>
      </x:c>
      <x:c r="AG156" s="32" t="str">
        <x:f>IF(LARGE(AD156:AF156,1)-LARGE(AD156:AF156,2)&lt;0.15,"Context-dependent tie",SUBSTITUTE(INDEX($AD$4:$AF$4,1,MATCH(MAX(AD156:AF156),AD156:AF156,0))," Overall",""))</x:f>
        <x:v>Context-dependent tie</x:v>
      </x:c>
      <x:c r="AH156" s="32" t="str">
        <x:f>IF(AG156="AWS","Start with AWS when infrastructure breadth, native integration and operational maturity are the main differentiators.",IF(AG156="Azure","Start with Azure when Microsoft identity, security, data, productivity or hybrid integration reduces delivery effort.",IF(AG156="GCP","Start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56" s="32" t="str">
        <x:v>Medium</x:v>
      </x:c>
      <x:c r="AJ156" s="32" t="str">
        <x:v>2026-07-12</x:v>
      </x:c>
    </x:row>
    <x:row r="157">
      <x:c r="A157" s="32" t="str">
        <x:v>Managed wide-column database</x:v>
      </x:c>
      <x:c r="B157" s="32" t="str">
        <x:v>05 Data Infrastructure</x:v>
      </x:c>
      <x:c r="C157" s="32" t="str">
        <x:v>NoSQL Databases</x:v>
      </x:c>
      <x:c r="D157" s="32" t="str">
        <x:v>Workload</x:v>
      </x:c>
      <x:c r="E157" s="32" t="str">
        <x:v>Which access pattern matters most: key-value, document, wide-column, consistency or global distribution?</x:v>
      </x:c>
      <x:c r="F157" s="32" t="str">
        <x:v>Amazon Keyspaces for Apache Cassandra
Amazon DynamoDB</x:v>
      </x:c>
      <x:c r="G157" s="32" t="str">
        <x:v>Azure Managed Instance for Apache Cassandra
Azure Cosmos DB</x:v>
      </x:c>
      <x:c r="H157" s="32" t="str">
        <x:v>Bigtable</x:v>
      </x:c>
      <x:c r="I157" s="32" t="n">
        <x:v>3.9</x:v>
      </x:c>
      <x:c r="J157" s="32" t="n">
        <x:v>2.9</x:v>
      </x:c>
      <x:c r="K157" s="32" t="n">
        <x:v>4.2</x:v>
      </x:c>
      <x:c r="L157" s="32" t="n">
        <x:v>4.3</x:v>
      </x:c>
      <x:c r="M157" s="32" t="n">
        <x:v>3.5</x:v>
      </x:c>
      <x:c r="N157" s="32" t="n">
        <x:v>4.4</x:v>
      </x:c>
      <x:c r="O157" s="32" t="n">
        <x:v>3.6</x:v>
      </x:c>
      <x:c r="P157" s="32" t="n">
        <x:v>3.9</x:v>
      </x:c>
      <x:c r="Q157" s="32" t="n">
        <x:v>2.9</x:v>
      </x:c>
      <x:c r="R157" s="32" t="n">
        <x:v>4.7</x:v>
      </x:c>
      <x:c r="S157" s="32" t="n">
        <x:v>4.4</x:v>
      </x:c>
      <x:c r="T157" s="32" t="n">
        <x:v>3.5</x:v>
      </x:c>
      <x:c r="U157" s="32" t="n">
        <x:v>4.3</x:v>
      </x:c>
      <x:c r="V157" s="32" t="n">
        <x:v>3.7</x:v>
      </x:c>
      <x:c r="W157" s="32" t="n">
        <x:v>4</x:v>
      </x:c>
      <x:c r="X157" s="32" t="n">
        <x:v>3</x:v>
      </x:c>
      <x:c r="Y157" s="32" t="n">
        <x:v>4.4</x:v>
      </x:c>
      <x:c r="Z157" s="32" t="n">
        <x:v>4.7</x:v>
      </x:c>
      <x:c r="AA157" s="32" t="n">
        <x:v>3.5</x:v>
      </x:c>
      <x:c r="AB157" s="32" t="n">
        <x:v>4.3</x:v>
      </x:c>
      <x:c r="AC157" s="32" t="n">
        <x:v>3.9</x:v>
      </x:c>
      <x:c r="AD157" s="32" t="n">
        <x:f>ROUND((I157*'Criteria &amp; Scoring'!$B$5+J157*'Criteria &amp; Scoring'!$B$6+K157*'Criteria &amp; Scoring'!$B$7+L157*'Criteria &amp; Scoring'!$B$8+M157*'Criteria &amp; Scoring'!$B$9+N157*'Criteria &amp; Scoring'!$B$10+O157*'Criteria &amp; Scoring'!$B$11)/SUM('Criteria &amp; Scoring'!$B$5:$B$11),2)</x:f>
        <x:v>3.8</x:v>
      </x:c>
      <x:c r="AE157" s="32" t="n">
        <x:f>ROUND((P157*'Criteria &amp; Scoring'!$B$5+Q157*'Criteria &amp; Scoring'!$B$6+R157*'Criteria &amp; Scoring'!$B$7+S157*'Criteria &amp; Scoring'!$B$8+T157*'Criteria &amp; Scoring'!$B$9+U157*'Criteria &amp; Scoring'!$B$10+V157*'Criteria &amp; Scoring'!$B$11)/SUM('Criteria &amp; Scoring'!$B$5:$B$11),2)</x:f>
        <x:v>3.89</x:v>
      </x:c>
      <x:c r="AF157" s="32" t="n">
        <x:f>ROUND((W157*'Criteria &amp; Scoring'!$B$5+X157*'Criteria &amp; Scoring'!$B$6+Y157*'Criteria &amp; Scoring'!$B$7+Z157*'Criteria &amp; Scoring'!$B$8+AA157*'Criteria &amp; Scoring'!$B$9+AB157*'Criteria &amp; Scoring'!$B$10+AC157*'Criteria &amp; Scoring'!$B$11)/SUM('Criteria &amp; Scoring'!$B$5:$B$11),2)</x:f>
        <x:v>3.94</x:v>
      </x:c>
      <x:c r="AG157" s="32" t="str">
        <x:f>IF(LARGE(AD157:AF157,1)-LARGE(AD157:AF157,2)&lt;0.15,"Context-dependent tie",SUBSTITUTE(INDEX($AD$4:$AF$4,1,MATCH(MAX(AD157:AF157),AD157:AF157,0))," Overall",""))</x:f>
        <x:v>Context-dependent tie</x:v>
      </x:c>
      <x:c r="AH157" s="32" t="str">
        <x:f>IF(AG157="AWS","Start with AWS when infrastructure breadth, native integration and operational maturity are the main differentiators.",IF(AG157="Azure","Start with Azure when Microsoft identity, security, data, productivity or hybrid integration reduces delivery effort.",IF(AG157="GCP","Start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57" s="32" t="str">
        <x:v>Medium</x:v>
      </x:c>
      <x:c r="AJ157" s="32" t="str">
        <x:v>2026-07-12</x:v>
      </x:c>
    </x:row>
    <x:row r="158">
      <x:c r="A158" s="32" t="str">
        <x:v>Managed graph database</x:v>
      </x:c>
      <x:c r="B158" s="32" t="str">
        <x:v>05 Data Infrastructure</x:v>
      </x:c>
      <x:c r="C158" s="32" t="str">
        <x:v>Specialised Databases</x:v>
      </x:c>
      <x:c r="D158" s="32" t="str">
        <x:v>Platform</x:v>
      </x:c>
      <x:c r="E158" s="32" t="str">
        <x:v>What business outcome, scale, control, integration and operating model justify choosing managed graph database?</x:v>
      </x:c>
      <x:c r="F158" s="32" t="str">
        <x:v>Amazon Neptune</x:v>
      </x:c>
      <x:c r="G158" s="32" t="str">
        <x:v>Azure Cosmos DB for Apache Gremlin</x:v>
      </x:c>
      <x:c r="H158" s="32" t="str">
        <x:v>Spanner Graph</x:v>
      </x:c>
      <x:c r="I158" s="32" t="n">
        <x:v>4</x:v>
      </x:c>
      <x:c r="J158" s="32" t="n">
        <x:v>3</x:v>
      </x:c>
      <x:c r="K158" s="32" t="n">
        <x:v>4.3</x:v>
      </x:c>
      <x:c r="L158" s="32" t="n">
        <x:v>4.3</x:v>
      </x:c>
      <x:c r="M158" s="32" t="n">
        <x:v>3.1</x:v>
      </x:c>
      <x:c r="N158" s="32" t="n">
        <x:v>4.5</x:v>
      </x:c>
      <x:c r="O158" s="32" t="n">
        <x:v>3.7</x:v>
      </x:c>
      <x:c r="P158" s="32" t="n">
        <x:v>4</x:v>
      </x:c>
      <x:c r="Q158" s="32" t="n">
        <x:v>3</x:v>
      </x:c>
      <x:c r="R158" s="32" t="n">
        <x:v>4.5</x:v>
      </x:c>
      <x:c r="S158" s="32" t="n">
        <x:v>4.5</x:v>
      </x:c>
      <x:c r="T158" s="32" t="n">
        <x:v>3.1</x:v>
      </x:c>
      <x:c r="U158" s="32" t="n">
        <x:v>4.4</x:v>
      </x:c>
      <x:c r="V158" s="32" t="n">
        <x:v>3.8</x:v>
      </x:c>
      <x:c r="W158" s="32" t="n">
        <x:v>4</x:v>
      </x:c>
      <x:c r="X158" s="32" t="n">
        <x:v>3</x:v>
      </x:c>
      <x:c r="Y158" s="32" t="n">
        <x:v>4.4</x:v>
      </x:c>
      <x:c r="Z158" s="32" t="n">
        <x:v>4.7</x:v>
      </x:c>
      <x:c r="AA158" s="32" t="n">
        <x:v>3.1</x:v>
      </x:c>
      <x:c r="AB158" s="32" t="n">
        <x:v>4.3</x:v>
      </x:c>
      <x:c r="AC158" s="32" t="n">
        <x:v>3.9</x:v>
      </x:c>
      <x:c r="AD158" s="32" t="n">
        <x:f>ROUND((I158*'Criteria &amp; Scoring'!$B$5+J158*'Criteria &amp; Scoring'!$B$6+K158*'Criteria &amp; Scoring'!$B$7+L158*'Criteria &amp; Scoring'!$B$8+M158*'Criteria &amp; Scoring'!$B$9+N158*'Criteria &amp; Scoring'!$B$10+O158*'Criteria &amp; Scoring'!$B$11)/SUM('Criteria &amp; Scoring'!$B$5:$B$11),2)</x:f>
        <x:v>3.84</x:v>
      </x:c>
      <x:c r="AE158" s="32" t="n">
        <x:f>ROUND((P158*'Criteria &amp; Scoring'!$B$5+Q158*'Criteria &amp; Scoring'!$B$6+R158*'Criteria &amp; Scoring'!$B$7+S158*'Criteria &amp; Scoring'!$B$8+T158*'Criteria &amp; Scoring'!$B$9+U158*'Criteria &amp; Scoring'!$B$10+V158*'Criteria &amp; Scoring'!$B$11)/SUM('Criteria &amp; Scoring'!$B$5:$B$11),2)</x:f>
        <x:v>3.89</x:v>
      </x:c>
      <x:c r="AF158" s="32" t="n">
        <x:f>ROUND((W158*'Criteria &amp; Scoring'!$B$5+X158*'Criteria &amp; Scoring'!$B$6+Y158*'Criteria &amp; Scoring'!$B$7+Z158*'Criteria &amp; Scoring'!$B$8+AA158*'Criteria &amp; Scoring'!$B$9+AB158*'Criteria &amp; Scoring'!$B$10+AC158*'Criteria &amp; Scoring'!$B$11)/SUM('Criteria &amp; Scoring'!$B$5:$B$11),2)</x:f>
        <x:v>3.9</x:v>
      </x:c>
      <x:c r="AG158" s="32" t="str">
        <x:f>IF(LARGE(AD158:AF158,1)-LARGE(AD158:AF158,2)&lt;0.15,"Context-dependent tie",SUBSTITUTE(INDEX($AD$4:$AF$4,1,MATCH(MAX(AD158:AF158),AD158:AF158,0))," Overall",""))</x:f>
        <x:v>Context-dependent tie</x:v>
      </x:c>
      <x:c r="AH158" s="32" t="str">
        <x:f>IF(AG158="AWS","Start with AWS when infrastructure breadth, native integration and operational maturity are the main differentiators.",IF(AG158="Azure","Start with Azure when Microsoft identity, security, data, productivity or hybrid integration reduces delivery effort.",IF(AG158="GCP","Start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58" s="32" t="str">
        <x:v>Medium</x:v>
      </x:c>
      <x:c r="AJ158" s="32" t="str">
        <x:v>2026-07-12</x:v>
      </x:c>
    </x:row>
    <x:row r="159">
      <x:c r="A159" s="32" t="str">
        <x:v>Managed time-series database</x:v>
      </x:c>
      <x:c r="B159" s="32" t="str">
        <x:v>05 Data Infrastructure</x:v>
      </x:c>
      <x:c r="C159" s="32" t="str">
        <x:v>Specialised Databases</x:v>
      </x:c>
      <x:c r="D159" s="32" t="str">
        <x:v>Workload</x:v>
      </x:c>
      <x:c r="E159" s="32" t="str">
        <x:v>What business outcome, scale, control, integration and operating model justify choosing managed time-series database?</x:v>
      </x:c>
      <x:c r="F159" s="32" t="str">
        <x:v>Amazon Timestream</x:v>
      </x:c>
      <x:c r="G159" s="32" t="str">
        <x:v>Azure Data Explorer</x:v>
      </x:c>
      <x:c r="H159" s="32" t="str">
        <x:v>Bigtable
BigQuery</x:v>
      </x:c>
      <x:c r="I159" s="32" t="n">
        <x:v>3.5</x:v>
      </x:c>
      <x:c r="J159" s="32" t="n">
        <x:v>3</x:v>
      </x:c>
      <x:c r="K159" s="32" t="n">
        <x:v>4.1</x:v>
      </x:c>
      <x:c r="L159" s="32" t="n">
        <x:v>4.3</x:v>
      </x:c>
      <x:c r="M159" s="32" t="n">
        <x:v>3.5</x:v>
      </x:c>
      <x:c r="N159" s="32" t="n">
        <x:v>4.3</x:v>
      </x:c>
      <x:c r="O159" s="32" t="n">
        <x:v>3.7</x:v>
      </x:c>
      <x:c r="P159" s="32" t="n">
        <x:v>3.5</x:v>
      </x:c>
      <x:c r="Q159" s="32" t="n">
        <x:v>3</x:v>
      </x:c>
      <x:c r="R159" s="32" t="n">
        <x:v>4.2</x:v>
      </x:c>
      <x:c r="S159" s="32" t="n">
        <x:v>4.5</x:v>
      </x:c>
      <x:c r="T159" s="32" t="n">
        <x:v>3.5</x:v>
      </x:c>
      <x:c r="U159" s="32" t="n">
        <x:v>4.2</x:v>
      </x:c>
      <x:c r="V159" s="32" t="n">
        <x:v>3.8</x:v>
      </x:c>
      <x:c r="W159" s="32" t="n">
        <x:v>3.4</x:v>
      </x:c>
      <x:c r="X159" s="32" t="n">
        <x:v>2.9</x:v>
      </x:c>
      <x:c r="Y159" s="32" t="n">
        <x:v>4.1</x:v>
      </x:c>
      <x:c r="Z159" s="32" t="n">
        <x:v>4.6</x:v>
      </x:c>
      <x:c r="AA159" s="32" t="n">
        <x:v>3.5</x:v>
      </x:c>
      <x:c r="AB159" s="32" t="n">
        <x:v>4</x:v>
      </x:c>
      <x:c r="AC159" s="32" t="n">
        <x:v>3.8</x:v>
      </x:c>
      <x:c r="AD159" s="32" t="n">
        <x:f>ROUND((I159*'Criteria &amp; Scoring'!$B$5+J159*'Criteria &amp; Scoring'!$B$6+K159*'Criteria &amp; Scoring'!$B$7+L159*'Criteria &amp; Scoring'!$B$8+M159*'Criteria &amp; Scoring'!$B$9+N159*'Criteria &amp; Scoring'!$B$10+O159*'Criteria &amp; Scoring'!$B$11)/SUM('Criteria &amp; Scoring'!$B$5:$B$11),2)</x:f>
        <x:v>3.7</x:v>
      </x:c>
      <x:c r="AE159" s="32" t="n">
        <x:f>ROUND((P159*'Criteria &amp; Scoring'!$B$5+Q159*'Criteria &amp; Scoring'!$B$6+R159*'Criteria &amp; Scoring'!$B$7+S159*'Criteria &amp; Scoring'!$B$8+T159*'Criteria &amp; Scoring'!$B$9+U159*'Criteria &amp; Scoring'!$B$10+V159*'Criteria &amp; Scoring'!$B$11)/SUM('Criteria &amp; Scoring'!$B$5:$B$11),2)</x:f>
        <x:v>3.74</x:v>
      </x:c>
      <x:c r="AF159" s="32" t="n">
        <x:f>ROUND((W159*'Criteria &amp; Scoring'!$B$5+X159*'Criteria &amp; Scoring'!$B$6+Y159*'Criteria &amp; Scoring'!$B$7+Z159*'Criteria &amp; Scoring'!$B$8+AA159*'Criteria &amp; Scoring'!$B$9+AB159*'Criteria &amp; Scoring'!$B$10+AC159*'Criteria &amp; Scoring'!$B$11)/SUM('Criteria &amp; Scoring'!$B$5:$B$11),2)</x:f>
        <x:v>3.68</x:v>
      </x:c>
      <x:c r="AG159" s="32" t="str">
        <x:f>IF(LARGE(AD159:AF159,1)-LARGE(AD159:AF159,2)&lt;0.15,"Context-dependent tie",SUBSTITUTE(INDEX($AD$4:$AF$4,1,MATCH(MAX(AD159:AF159),AD159:AF159,0))," Overall",""))</x:f>
        <x:v>Context-dependent tie</x:v>
      </x:c>
      <x:c r="AH159" s="32" t="str">
        <x:f>IF(AG159="AWS","Start with AWS when infrastructure breadth, native integration and operational maturity are the main differentiators.",IF(AG159="Azure","Start with Azure when Microsoft identity, security, data, productivity or hybrid integration reduces delivery effort.",IF(AG159="GCP","Start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59" s="32" t="str">
        <x:v>Low</x:v>
      </x:c>
      <x:c r="AJ159" s="32" t="str">
        <x:v>2026-07-12</x:v>
      </x:c>
    </x:row>
    <x:row r="160">
      <x:c r="A160" s="32" t="str">
        <x:v>Managed Redis or Valkey cache</x:v>
      </x:c>
      <x:c r="B160" s="32" t="str">
        <x:v>05 Data Infrastructure</x:v>
      </x:c>
      <x:c r="C160" s="32" t="str">
        <x:v>Caching &amp; In-Memory Data</x:v>
      </x:c>
      <x:c r="D160" s="32" t="str">
        <x:v>Component</x:v>
      </x:c>
      <x:c r="E160" s="32" t="str">
        <x:v>Is this transient acceleration, durable in-memory data, or a messaging/session-state requirement?</x:v>
      </x:c>
      <x:c r="F160" s="32" t="str">
        <x:v>Amazon ElastiCache
Amazon MemoryDB</x:v>
      </x:c>
      <x:c r="G160" s="32" t="str">
        <x:v>Azure Managed Redis</x:v>
      </x:c>
      <x:c r="H160" s="32" t="str">
        <x:v>Memorystore for Redis
Memorystore for Redis Cluster
Memorystore for Valkey</x:v>
      </x:c>
      <x:c r="I160" s="32" t="n">
        <x:v>3.9</x:v>
      </x:c>
      <x:c r="J160" s="32" t="n">
        <x:v>3.9</x:v>
      </x:c>
      <x:c r="K160" s="32" t="n">
        <x:v>4.2</x:v>
      </x:c>
      <x:c r="L160" s="32" t="n">
        <x:v>4.3</x:v>
      </x:c>
      <x:c r="M160" s="32" t="n">
        <x:v>3.5</x:v>
      </x:c>
      <x:c r="N160" s="32" t="n">
        <x:v>4.4</x:v>
      </x:c>
      <x:c r="O160" s="32" t="n">
        <x:v>3.6</x:v>
      </x:c>
      <x:c r="P160" s="32" t="n">
        <x:v>4</x:v>
      </x:c>
      <x:c r="Q160" s="32" t="n">
        <x:v>4</x:v>
      </x:c>
      <x:c r="R160" s="32" t="n">
        <x:v>4.5</x:v>
      </x:c>
      <x:c r="S160" s="32" t="n">
        <x:v>4.5</x:v>
      </x:c>
      <x:c r="T160" s="32" t="n">
        <x:v>3.5</x:v>
      </x:c>
      <x:c r="U160" s="32" t="n">
        <x:v>4.4</x:v>
      </x:c>
      <x:c r="V160" s="32" t="n">
        <x:v>3.8</x:v>
      </x:c>
      <x:c r="W160" s="32" t="n">
        <x:v>3.9</x:v>
      </x:c>
      <x:c r="X160" s="32" t="n">
        <x:v>3.9</x:v>
      </x:c>
      <x:c r="Y160" s="32" t="n">
        <x:v>4.3</x:v>
      </x:c>
      <x:c r="Z160" s="32" t="n">
        <x:v>4.6</x:v>
      </x:c>
      <x:c r="AA160" s="32" t="n">
        <x:v>3.5</x:v>
      </x:c>
      <x:c r="AB160" s="32" t="n">
        <x:v>4.2</x:v>
      </x:c>
      <x:c r="AC160" s="32" t="n">
        <x:v>3.8</x:v>
      </x:c>
      <x:c r="AD160" s="32" t="n">
        <x:f>ROUND((I160*'Criteria &amp; Scoring'!$B$5+J160*'Criteria &amp; Scoring'!$B$6+K160*'Criteria &amp; Scoring'!$B$7+L160*'Criteria &amp; Scoring'!$B$8+M160*'Criteria &amp; Scoring'!$B$9+N160*'Criteria &amp; Scoring'!$B$10+O160*'Criteria &amp; Scoring'!$B$11)/SUM('Criteria &amp; Scoring'!$B$5:$B$11),2)</x:f>
        <x:v>4</x:v>
      </x:c>
      <x:c r="AE160" s="32" t="n">
        <x:f>ROUND((P160*'Criteria &amp; Scoring'!$B$5+Q160*'Criteria &amp; Scoring'!$B$6+R160*'Criteria &amp; Scoring'!$B$7+S160*'Criteria &amp; Scoring'!$B$8+T160*'Criteria &amp; Scoring'!$B$9+U160*'Criteria &amp; Scoring'!$B$10+V160*'Criteria &amp; Scoring'!$B$11)/SUM('Criteria &amp; Scoring'!$B$5:$B$11),2)</x:f>
        <x:v>4.13</x:v>
      </x:c>
      <x:c r="AF160" s="32" t="n">
        <x:f>ROUND((W160*'Criteria &amp; Scoring'!$B$5+X160*'Criteria &amp; Scoring'!$B$6+Y160*'Criteria &amp; Scoring'!$B$7+Z160*'Criteria &amp; Scoring'!$B$8+AA160*'Criteria &amp; Scoring'!$B$9+AB160*'Criteria &amp; Scoring'!$B$10+AC160*'Criteria &amp; Scoring'!$B$11)/SUM('Criteria &amp; Scoring'!$B$5:$B$11),2)</x:f>
        <x:v>4.05</x:v>
      </x:c>
      <x:c r="AG160" s="32" t="str">
        <x:f>IF(LARGE(AD160:AF160,1)-LARGE(AD160:AF160,2)&lt;0.15,"Context-dependent tie",SUBSTITUTE(INDEX($AD$4:$AF$4,1,MATCH(MAX(AD160:AF160),AD160:AF160,0))," Overall",""))</x:f>
        <x:v>Context-dependent tie</x:v>
      </x:c>
      <x:c r="AH160" s="32" t="str">
        <x:f>IF(AG160="AWS","Start with AWS when infrastructure breadth, native integration and operational maturity are the main differentiators.",IF(AG160="Azure","Start with Azure when Microsoft identity, security, data, productivity or hybrid integration reduces delivery effort.",IF(AG160="GCP","Start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60" s="32" t="str">
        <x:v>Medium</x:v>
      </x:c>
      <x:c r="AJ160" s="32" t="str">
        <x:v>2026-07-12</x:v>
      </x:c>
    </x:row>
    <x:row r="161">
      <x:c r="A161" s="32" t="str">
        <x:v>Managed Memcached</x:v>
      </x:c>
      <x:c r="B161" s="32" t="str">
        <x:v>05 Data Infrastructure</x:v>
      </x:c>
      <x:c r="C161" s="32" t="str">
        <x:v>Caching &amp; In-Memory Data</x:v>
      </x:c>
      <x:c r="D161" s="32" t="str">
        <x:v>Component</x:v>
      </x:c>
      <x:c r="E161" s="32" t="str">
        <x:v>Is this transient acceleration, durable in-memory data, or a messaging/session-state requirement?</x:v>
      </x:c>
      <x:c r="F161" s="32" t="str">
        <x:v>Amazon ElastiCache for Memcached</x:v>
      </x:c>
      <x:c r="G161" s="32" t="str">
        <x:v>Azure Managed Redis as alternative</x:v>
      </x:c>
      <x:c r="H161" s="32" t="str">
        <x:v>Memorystore for Memcached</x:v>
      </x:c>
      <x:c r="I161" s="32" t="n">
        <x:v>3.5</x:v>
      </x:c>
      <x:c r="J161" s="32" t="n">
        <x:v>4</x:v>
      </x:c>
      <x:c r="K161" s="32" t="n">
        <x:v>4.1</x:v>
      </x:c>
      <x:c r="L161" s="32" t="n">
        <x:v>4.3</x:v>
      </x:c>
      <x:c r="M161" s="32" t="n">
        <x:v>3.5</x:v>
      </x:c>
      <x:c r="N161" s="32" t="n">
        <x:v>4.3</x:v>
      </x:c>
      <x:c r="O161" s="32" t="n">
        <x:v>3.7</x:v>
      </x:c>
      <x:c r="P161" s="32" t="n">
        <x:v>2.8</x:v>
      </x:c>
      <x:c r="Q161" s="32" t="n">
        <x:v>3.6</x:v>
      </x:c>
      <x:c r="R161" s="32" t="n">
        <x:v>3.8</x:v>
      </x:c>
      <x:c r="S161" s="32" t="n">
        <x:v>4.1</x:v>
      </x:c>
      <x:c r="T161" s="32" t="n">
        <x:v>3.3</x:v>
      </x:c>
      <x:c r="U161" s="32" t="n">
        <x:v>3.7</x:v>
      </x:c>
      <x:c r="V161" s="32" t="n">
        <x:v>3.6</x:v>
      </x:c>
      <x:c r="W161" s="32" t="n">
        <x:v>3.5</x:v>
      </x:c>
      <x:c r="X161" s="32" t="n">
        <x:v>4</x:v>
      </x:c>
      <x:c r="Y161" s="32" t="n">
        <x:v>4.2</x:v>
      </x:c>
      <x:c r="Z161" s="32" t="n">
        <x:v>4.7</x:v>
      </x:c>
      <x:c r="AA161" s="32" t="n">
        <x:v>3.5</x:v>
      </x:c>
      <x:c r="AB161" s="32" t="n">
        <x:v>4.1</x:v>
      </x:c>
      <x:c r="AC161" s="32" t="n">
        <x:v>3.9</x:v>
      </x:c>
      <x:c r="AD161" s="32" t="n">
        <x:f>ROUND((I161*'Criteria &amp; Scoring'!$B$5+J161*'Criteria &amp; Scoring'!$B$6+K161*'Criteria &amp; Scoring'!$B$7+L161*'Criteria &amp; Scoring'!$B$8+M161*'Criteria &amp; Scoring'!$B$9+N161*'Criteria &amp; Scoring'!$B$10+O161*'Criteria &amp; Scoring'!$B$11)/SUM('Criteria &amp; Scoring'!$B$5:$B$11),2)</x:f>
        <x:v>3.9</x:v>
      </x:c>
      <x:c r="AE161" s="32" t="n">
        <x:f>ROUND((P161*'Criteria &amp; Scoring'!$B$5+Q161*'Criteria &amp; Scoring'!$B$6+R161*'Criteria &amp; Scoring'!$B$7+S161*'Criteria &amp; Scoring'!$B$8+T161*'Criteria &amp; Scoring'!$B$9+U161*'Criteria &amp; Scoring'!$B$10+V161*'Criteria &amp; Scoring'!$B$11)/SUM('Criteria &amp; Scoring'!$B$5:$B$11),2)</x:f>
        <x:v>3.49</x:v>
      </x:c>
      <x:c r="AF161" s="32" t="n">
        <x:f>ROUND((W161*'Criteria &amp; Scoring'!$B$5+X161*'Criteria &amp; Scoring'!$B$6+Y161*'Criteria &amp; Scoring'!$B$7+Z161*'Criteria &amp; Scoring'!$B$8+AA161*'Criteria &amp; Scoring'!$B$9+AB161*'Criteria &amp; Scoring'!$B$10+AC161*'Criteria &amp; Scoring'!$B$11)/SUM('Criteria &amp; Scoring'!$B$5:$B$11),2)</x:f>
        <x:v>3.97</x:v>
      </x:c>
      <x:c r="AG161" s="32" t="str">
        <x:f>IF(LARGE(AD161:AF161,1)-LARGE(AD161:AF161,2)&lt;0.15,"Context-dependent tie",SUBSTITUTE(INDEX($AD$4:$AF$4,1,MATCH(MAX(AD161:AF161),AD161:AF161,0))," Overall",""))</x:f>
        <x:v>Context-dependent tie</x:v>
      </x:c>
      <x:c r="AH161" s="32" t="str">
        <x:f>IF(AG161="AWS","Start with AWS when infrastructure breadth, native integration and operational maturity are the main differentiators.",IF(AG161="Azure","Start with Azure when Microsoft identity, security, data, productivity or hybrid integration reduces delivery effort.",IF(AG161="GCP","Start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61" s="32" t="str">
        <x:v>Low</x:v>
      </x:c>
      <x:c r="AJ161" s="32" t="str">
        <x:v>2026-07-12</x:v>
      </x:c>
    </x:row>
    <x:row r="162">
      <x:c r="A162" s="32" t="str">
        <x:v>Immutable ledger database</x:v>
      </x:c>
      <x:c r="B162" s="32" t="str">
        <x:v>05 Data Infrastructure</x:v>
      </x:c>
      <x:c r="C162" s="32" t="str">
        <x:v>Specialised Databases</x:v>
      </x:c>
      <x:c r="D162" s="32" t="str">
        <x:v>Workload</x:v>
      </x:c>
      <x:c r="E162" s="32" t="str">
        <x:v>What business outcome, scale, control, integration and operating model justify choosing immutable ledger database?</x:v>
      </x:c>
      <x:c r="F162" s="32" t="str">
        <x:v>Amazon QLDB legacy / Amazon Managed Blockchain</x:v>
      </x:c>
      <x:c r="G162" s="32" t="str">
        <x:v>Azure Confidential Ledger</x:v>
      </x:c>
      <x:c r="H162" s="32" t="str">
        <x:v>Blockchain Node Engine / partner ledgers</x:v>
      </x:c>
      <x:c r="I162" s="32" t="n">
        <x:v>2.8</x:v>
      </x:c>
      <x:c r="J162" s="32" t="n">
        <x:v>2.6</x:v>
      </x:c>
      <x:c r="K162" s="32" t="n">
        <x:v>3.7</x:v>
      </x:c>
      <x:c r="L162" s="32" t="n">
        <x:v>4</x:v>
      </x:c>
      <x:c r="M162" s="32" t="n">
        <x:v>3.3</x:v>
      </x:c>
      <x:c r="N162" s="32" t="n">
        <x:v>3.8</x:v>
      </x:c>
      <x:c r="O162" s="32" t="n">
        <x:v>3.5</x:v>
      </x:c>
      <x:c r="P162" s="32" t="n">
        <x:v>3.5</x:v>
      </x:c>
      <x:c r="Q162" s="32" t="n">
        <x:v>3</x:v>
      </x:c>
      <x:c r="R162" s="32" t="n">
        <x:v>4.2</x:v>
      </x:c>
      <x:c r="S162" s="32" t="n">
        <x:v>4.5</x:v>
      </x:c>
      <x:c r="T162" s="32" t="n">
        <x:v>3.5</x:v>
      </x:c>
      <x:c r="U162" s="32" t="n">
        <x:v>4.2</x:v>
      </x:c>
      <x:c r="V162" s="32" t="n">
        <x:v>3.8</x:v>
      </x:c>
      <x:c r="W162" s="32" t="n">
        <x:v>2.8</x:v>
      </x:c>
      <x:c r="X162" s="32" t="n">
        <x:v>2.6</x:v>
      </x:c>
      <x:c r="Y162" s="32" t="n">
        <x:v>3.8</x:v>
      </x:c>
      <x:c r="Z162" s="32" t="n">
        <x:v>4.3</x:v>
      </x:c>
      <x:c r="AA162" s="32" t="n">
        <x:v>3.3</x:v>
      </x:c>
      <x:c r="AB162" s="32" t="n">
        <x:v>3.6</x:v>
      </x:c>
      <x:c r="AC162" s="32" t="n">
        <x:v>3.6</x:v>
      </x:c>
      <x:c r="AD162" s="32" t="n">
        <x:f>ROUND((I162*'Criteria &amp; Scoring'!$B$5+J162*'Criteria &amp; Scoring'!$B$6+K162*'Criteria &amp; Scoring'!$B$7+L162*'Criteria &amp; Scoring'!$B$8+M162*'Criteria &amp; Scoring'!$B$9+N162*'Criteria &amp; Scoring'!$B$10+O162*'Criteria &amp; Scoring'!$B$11)/SUM('Criteria &amp; Scoring'!$B$5:$B$11),2)</x:f>
        <x:v>3.26</x:v>
      </x:c>
      <x:c r="AE162" s="32" t="n">
        <x:f>ROUND((P162*'Criteria &amp; Scoring'!$B$5+Q162*'Criteria &amp; Scoring'!$B$6+R162*'Criteria &amp; Scoring'!$B$7+S162*'Criteria &amp; Scoring'!$B$8+T162*'Criteria &amp; Scoring'!$B$9+U162*'Criteria &amp; Scoring'!$B$10+V162*'Criteria &amp; Scoring'!$B$11)/SUM('Criteria &amp; Scoring'!$B$5:$B$11),2)</x:f>
        <x:v>3.74</x:v>
      </x:c>
      <x:c r="AF162" s="32" t="n">
        <x:f>ROUND((W162*'Criteria &amp; Scoring'!$B$5+X162*'Criteria &amp; Scoring'!$B$6+Y162*'Criteria &amp; Scoring'!$B$7+Z162*'Criteria &amp; Scoring'!$B$8+AA162*'Criteria &amp; Scoring'!$B$9+AB162*'Criteria &amp; Scoring'!$B$10+AC162*'Criteria &amp; Scoring'!$B$11)/SUM('Criteria &amp; Scoring'!$B$5:$B$11),2)</x:f>
        <x:v>3.31</x:v>
      </x:c>
      <x:c r="AG162" s="32" t="str">
        <x:f>IF(LARGE(AD162:AF162,1)-LARGE(AD162:AF162,2)&lt;0.15,"Context-dependent tie",SUBSTITUTE(INDEX($AD$4:$AF$4,1,MATCH(MAX(AD162:AF162),AD162:AF162,0))," Overall",""))</x:f>
        <x:v>Azure</x:v>
      </x:c>
      <x:c r="AH162" s="32" t="str">
        <x:f>IF(AG162="AWS","Start with AWS when infrastructure breadth, native integration and operational maturity are the main differentiators.",IF(AG162="Azure","Start with Azure when Microsoft identity, security, data, productivity or hybrid integration reduces delivery effort.",IF(AG162="GCP","Start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62" s="32" t="str">
        <x:v>Low</x:v>
      </x:c>
      <x:c r="AJ162" s="32" t="str">
        <x:v>2026-07-12</x:v>
      </x:c>
    </x:row>
    <x:row r="163">
      <x:c r="A163" s="32" t="str">
        <x:v>Managed blockchain infrastructure</x:v>
      </x:c>
      <x:c r="B163" s="32" t="str">
        <x:v>05 Data Infrastructure</x:v>
      </x:c>
      <x:c r="C163" s="32" t="str">
        <x:v>Specialised Databases</x:v>
      </x:c>
      <x:c r="D163" s="32" t="str">
        <x:v>Workload</x:v>
      </x:c>
      <x:c r="E163" s="32" t="str">
        <x:v>What business outcome, scale, control, integration and operating model justify choosing managed blockchain infrastructure?</x:v>
      </x:c>
      <x:c r="F163" s="32" t="str">
        <x:v>Amazon Managed Blockchain</x:v>
      </x:c>
      <x:c r="G163" s="32" t="str">
        <x:v>Azure Confidential Ledger / partner blockchain offerings</x:v>
      </x:c>
      <x:c r="H163" s="32" t="str">
        <x:v>Blockchain Node Engine
Blockchain RPC
Blockchain Analytics</x:v>
      </x:c>
      <x:c r="I163" s="32" t="n">
        <x:v>3.5</x:v>
      </x:c>
      <x:c r="J163" s="32" t="n">
        <x:v>3</x:v>
      </x:c>
      <x:c r="K163" s="32" t="n">
        <x:v>4.1</x:v>
      </x:c>
      <x:c r="L163" s="32" t="n">
        <x:v>4.3</x:v>
      </x:c>
      <x:c r="M163" s="32" t="n">
        <x:v>3.5</x:v>
      </x:c>
      <x:c r="N163" s="32" t="n">
        <x:v>4.3</x:v>
      </x:c>
      <x:c r="O163" s="32" t="n">
        <x:v>3.7</x:v>
      </x:c>
      <x:c r="P163" s="32" t="n">
        <x:v>2.8</x:v>
      </x:c>
      <x:c r="Q163" s="32" t="n">
        <x:v>2.6</x:v>
      </x:c>
      <x:c r="R163" s="32" t="n">
        <x:v>3.8</x:v>
      </x:c>
      <x:c r="S163" s="32" t="n">
        <x:v>4.1</x:v>
      </x:c>
      <x:c r="T163" s="32" t="n">
        <x:v>3.3</x:v>
      </x:c>
      <x:c r="U163" s="32" t="n">
        <x:v>3.7</x:v>
      </x:c>
      <x:c r="V163" s="32" t="n">
        <x:v>3.6</x:v>
      </x:c>
      <x:c r="W163" s="32" t="n">
        <x:v>3.4</x:v>
      </x:c>
      <x:c r="X163" s="32" t="n">
        <x:v>2.9</x:v>
      </x:c>
      <x:c r="Y163" s="32" t="n">
        <x:v>4.1</x:v>
      </x:c>
      <x:c r="Z163" s="32" t="n">
        <x:v>4.6</x:v>
      </x:c>
      <x:c r="AA163" s="32" t="n">
        <x:v>3.5</x:v>
      </x:c>
      <x:c r="AB163" s="32" t="n">
        <x:v>4</x:v>
      </x:c>
      <x:c r="AC163" s="32" t="n">
        <x:v>3.8</x:v>
      </x:c>
      <x:c r="AD163" s="32" t="n">
        <x:f>ROUND((I163*'Criteria &amp; Scoring'!$B$5+J163*'Criteria &amp; Scoring'!$B$6+K163*'Criteria &amp; Scoring'!$B$7+L163*'Criteria &amp; Scoring'!$B$8+M163*'Criteria &amp; Scoring'!$B$9+N163*'Criteria &amp; Scoring'!$B$10+O163*'Criteria &amp; Scoring'!$B$11)/SUM('Criteria &amp; Scoring'!$B$5:$B$11),2)</x:f>
        <x:v>3.7</x:v>
      </x:c>
      <x:c r="AE163" s="32" t="n">
        <x:f>ROUND((P163*'Criteria &amp; Scoring'!$B$5+Q163*'Criteria &amp; Scoring'!$B$6+R163*'Criteria &amp; Scoring'!$B$7+S163*'Criteria &amp; Scoring'!$B$8+T163*'Criteria &amp; Scoring'!$B$9+U163*'Criteria &amp; Scoring'!$B$10+V163*'Criteria &amp; Scoring'!$B$11)/SUM('Criteria &amp; Scoring'!$B$5:$B$11),2)</x:f>
        <x:v>3.29</x:v>
      </x:c>
      <x:c r="AF163" s="32" t="n">
        <x:f>ROUND((W163*'Criteria &amp; Scoring'!$B$5+X163*'Criteria &amp; Scoring'!$B$6+Y163*'Criteria &amp; Scoring'!$B$7+Z163*'Criteria &amp; Scoring'!$B$8+AA163*'Criteria &amp; Scoring'!$B$9+AB163*'Criteria &amp; Scoring'!$B$10+AC163*'Criteria &amp; Scoring'!$B$11)/SUM('Criteria &amp; Scoring'!$B$5:$B$11),2)</x:f>
        <x:v>3.68</x:v>
      </x:c>
      <x:c r="AG163" s="32" t="str">
        <x:f>IF(LARGE(AD163:AF163,1)-LARGE(AD163:AF163,2)&lt;0.15,"Context-dependent tie",SUBSTITUTE(INDEX($AD$4:$AF$4,1,MATCH(MAX(AD163:AF163),AD163:AF163,0))," Overall",""))</x:f>
        <x:v>Context-dependent tie</x:v>
      </x:c>
      <x:c r="AH163" s="32" t="str">
        <x:f>IF(AG163="AWS","Start with AWS when infrastructure breadth, native integration and operational maturity are the main differentiators.",IF(AG163="Azure","Start with Azure when Microsoft identity, security, data, productivity or hybrid integration reduces delivery effort.",IF(AG163="GCP","Start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63" s="32" t="str">
        <x:v>Low</x:v>
      </x:c>
      <x:c r="AJ163" s="32" t="str">
        <x:v>2026-07-12</x:v>
      </x:c>
    </x:row>
    <x:row r="164">
      <x:c r="A164" s="32" t="str">
        <x:v>Database migration service</x:v>
      </x:c>
      <x:c r="B164" s="32" t="str">
        <x:v>05 Data Infrastructure</x:v>
      </x:c>
      <x:c r="C164" s="32" t="str">
        <x:v>Database Migration &amp; Estate Management</x:v>
      </x:c>
      <x:c r="D164" s="32" t="str">
        <x:v>Workload</x:v>
      </x:c>
      <x:c r="E164" s="32" t="str">
        <x:v>What business outcome, scale, control, integration and operating model justify choosing database migration service?</x:v>
      </x:c>
      <x:c r="F164" s="32" t="str">
        <x:v>AWS Database Migration Service
AWS Schema Conversion Tool</x:v>
      </x:c>
      <x:c r="G164" s="32" t="str">
        <x:v>Azure Database Migration Service</x:v>
      </x:c>
      <x:c r="H164" s="32" t="str">
        <x:v>Database Migration Service</x:v>
      </x:c>
      <x:c r="I164" s="32" t="n">
        <x:v>4.4</x:v>
      </x:c>
      <x:c r="J164" s="32" t="n">
        <x:v>2.9</x:v>
      </x:c>
      <x:c r="K164" s="32" t="n">
        <x:v>4.5</x:v>
      </x:c>
      <x:c r="L164" s="32" t="n">
        <x:v>4.3</x:v>
      </x:c>
      <x:c r="M164" s="32" t="n">
        <x:v>3.5</x:v>
      </x:c>
      <x:c r="N164" s="32" t="n">
        <x:v>4.6</x:v>
      </x:c>
      <x:c r="O164" s="32" t="n">
        <x:v>3.6</x:v>
      </x:c>
      <x:c r="P164" s="32" t="n">
        <x:v>4.2</x:v>
      </x:c>
      <x:c r="Q164" s="32" t="n">
        <x:v>3</x:v>
      </x:c>
      <x:c r="R164" s="32" t="n">
        <x:v>4.5</x:v>
      </x:c>
      <x:c r="S164" s="32" t="n">
        <x:v>4.5</x:v>
      </x:c>
      <x:c r="T164" s="32" t="n">
        <x:v>3.5</x:v>
      </x:c>
      <x:c r="U164" s="32" t="n">
        <x:v>4.5</x:v>
      </x:c>
      <x:c r="V164" s="32" t="n">
        <x:v>3.8</x:v>
      </x:c>
      <x:c r="W164" s="32" t="n">
        <x:v>4.2</x:v>
      </x:c>
      <x:c r="X164" s="32" t="n">
        <x:v>3</x:v>
      </x:c>
      <x:c r="Y164" s="32" t="n">
        <x:v>4.5</x:v>
      </x:c>
      <x:c r="Z164" s="32" t="n">
        <x:v>4.7</x:v>
      </x:c>
      <x:c r="AA164" s="32" t="n">
        <x:v>3.5</x:v>
      </x:c>
      <x:c r="AB164" s="32" t="n">
        <x:v>4.4</x:v>
      </x:c>
      <x:c r="AC164" s="32" t="n">
        <x:v>3.9</x:v>
      </x:c>
      <x:c r="AD164" s="32" t="n">
        <x:f>ROUND((I164*'Criteria &amp; Scoring'!$B$5+J164*'Criteria &amp; Scoring'!$B$6+K164*'Criteria &amp; Scoring'!$B$7+L164*'Criteria &amp; Scoring'!$B$8+M164*'Criteria &amp; Scoring'!$B$9+N164*'Criteria &amp; Scoring'!$B$10+O164*'Criteria &amp; Scoring'!$B$11)/SUM('Criteria &amp; Scoring'!$B$5:$B$11),2)</x:f>
        <x:v>3.99</x:v>
      </x:c>
      <x:c r="AE164" s="32" t="n">
        <x:f>ROUND((P164*'Criteria &amp; Scoring'!$B$5+Q164*'Criteria &amp; Scoring'!$B$6+R164*'Criteria &amp; Scoring'!$B$7+S164*'Criteria &amp; Scoring'!$B$8+T164*'Criteria &amp; Scoring'!$B$9+U164*'Criteria &amp; Scoring'!$B$10+V164*'Criteria &amp; Scoring'!$B$11)/SUM('Criteria &amp; Scoring'!$B$5:$B$11),2)</x:f>
        <x:v>3.99</x:v>
      </x:c>
      <x:c r="AF164" s="32" t="n">
        <x:f>ROUND((W164*'Criteria &amp; Scoring'!$B$5+X164*'Criteria &amp; Scoring'!$B$6+Y164*'Criteria &amp; Scoring'!$B$7+Z164*'Criteria &amp; Scoring'!$B$8+AA164*'Criteria &amp; Scoring'!$B$9+AB164*'Criteria &amp; Scoring'!$B$10+AC164*'Criteria &amp; Scoring'!$B$11)/SUM('Criteria &amp; Scoring'!$B$5:$B$11),2)</x:f>
        <x:v>4.02</x:v>
      </x:c>
      <x:c r="AG164" s="32" t="str">
        <x:f>IF(LARGE(AD164:AF164,1)-LARGE(AD164:AF164,2)&lt;0.15,"Context-dependent tie",SUBSTITUTE(INDEX($AD$4:$AF$4,1,MATCH(MAX(AD164:AF164),AD164:AF164,0))," Overall",""))</x:f>
        <x:v>Context-dependent tie</x:v>
      </x:c>
      <x:c r="AH164" s="32" t="str">
        <x:f>IF(AG164="AWS","Start with AWS when infrastructure breadth, native integration and operational maturity are the main differentiators.",IF(AG164="Azure","Start with Azure when Microsoft identity, security, data, productivity or hybrid integration reduces delivery effort.",IF(AG164="GCP","Start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64" s="32" t="str">
        <x:v>High</x:v>
      </x:c>
      <x:c r="AJ164" s="32" t="str">
        <x:v>2026-07-12</x:v>
      </x:c>
    </x:row>
    <x:row r="165">
      <x:c r="A165" s="32" t="str">
        <x:v>Database fleet management</x:v>
      </x:c>
      <x:c r="B165" s="32" t="str">
        <x:v>05 Data Infrastructure</x:v>
      </x:c>
      <x:c r="C165" s="32" t="str">
        <x:v>Database Migration &amp; Estate Management</x:v>
      </x:c>
      <x:c r="D165" s="32" t="str">
        <x:v>Workload</x:v>
      </x:c>
      <x:c r="E165" s="32" t="str">
        <x:v>What business outcome, scale, control, integration and operating model justify choosing database fleet management?</x:v>
      </x:c>
      <x:c r="F165" s="32" t="str">
        <x:v>Amazon RDS fleet capabilities
AWS Systems Manager</x:v>
      </x:c>
      <x:c r="G165" s="32" t="str">
        <x:v>Azure Arc-enabled data services
Azure SQL fleet tools</x:v>
      </x:c>
      <x:c r="H165" s="32" t="str">
        <x:v>Database Center</x:v>
      </x:c>
      <x:c r="I165" s="32" t="n">
        <x:v>3.8</x:v>
      </x:c>
      <x:c r="J165" s="32" t="n">
        <x:v>2.9</x:v>
      </x:c>
      <x:c r="K165" s="32" t="n">
        <x:v>4.2</x:v>
      </x:c>
      <x:c r="L165" s="32" t="n">
        <x:v>4.3</x:v>
      </x:c>
      <x:c r="M165" s="32" t="n">
        <x:v>3.5</x:v>
      </x:c>
      <x:c r="N165" s="32" t="n">
        <x:v>4.3</x:v>
      </x:c>
      <x:c r="O165" s="32" t="n">
        <x:v>3.6</x:v>
      </x:c>
      <x:c r="P165" s="32" t="n">
        <x:v>3.4</x:v>
      </x:c>
      <x:c r="Q165" s="32" t="n">
        <x:v>2.9</x:v>
      </x:c>
      <x:c r="R165" s="32" t="n">
        <x:v>4.1</x:v>
      </x:c>
      <x:c r="S165" s="32" t="n">
        <x:v>4.4</x:v>
      </x:c>
      <x:c r="T165" s="32" t="n">
        <x:v>3.5</x:v>
      </x:c>
      <x:c r="U165" s="32" t="n">
        <x:v>4.1</x:v>
      </x:c>
      <x:c r="V165" s="32" t="n">
        <x:v>3.7</x:v>
      </x:c>
      <x:c r="W165" s="32" t="n">
        <x:v>3.5</x:v>
      </x:c>
      <x:c r="X165" s="32" t="n">
        <x:v>3</x:v>
      </x:c>
      <x:c r="Y165" s="32" t="n">
        <x:v>4.2</x:v>
      </x:c>
      <x:c r="Z165" s="32" t="n">
        <x:v>4.7</x:v>
      </x:c>
      <x:c r="AA165" s="32" t="n">
        <x:v>3.5</x:v>
      </x:c>
      <x:c r="AB165" s="32" t="n">
        <x:v>4.1</x:v>
      </x:c>
      <x:c r="AC165" s="32" t="n">
        <x:v>3.9</x:v>
      </x:c>
      <x:c r="AD165" s="32" t="n">
        <x:f>ROUND((I165*'Criteria &amp; Scoring'!$B$5+J165*'Criteria &amp; Scoring'!$B$6+K165*'Criteria &amp; Scoring'!$B$7+L165*'Criteria &amp; Scoring'!$B$8+M165*'Criteria &amp; Scoring'!$B$9+N165*'Criteria &amp; Scoring'!$B$10+O165*'Criteria &amp; Scoring'!$B$11)/SUM('Criteria &amp; Scoring'!$B$5:$B$11),2)</x:f>
        <x:v>3.77</x:v>
      </x:c>
      <x:c r="AE165" s="32" t="n">
        <x:f>ROUND((P165*'Criteria &amp; Scoring'!$B$5+Q165*'Criteria &amp; Scoring'!$B$6+R165*'Criteria &amp; Scoring'!$B$7+S165*'Criteria &amp; Scoring'!$B$8+T165*'Criteria &amp; Scoring'!$B$9+U165*'Criteria &amp; Scoring'!$B$10+V165*'Criteria &amp; Scoring'!$B$11)/SUM('Criteria &amp; Scoring'!$B$5:$B$11),2)</x:f>
        <x:v>3.65</x:v>
      </x:c>
      <x:c r="AF165" s="32" t="n">
        <x:f>ROUND((W165*'Criteria &amp; Scoring'!$B$5+X165*'Criteria &amp; Scoring'!$B$6+Y165*'Criteria &amp; Scoring'!$B$7+Z165*'Criteria &amp; Scoring'!$B$8+AA165*'Criteria &amp; Scoring'!$B$9+AB165*'Criteria &amp; Scoring'!$B$10+AC165*'Criteria &amp; Scoring'!$B$11)/SUM('Criteria &amp; Scoring'!$B$5:$B$11),2)</x:f>
        <x:v>3.77</x:v>
      </x:c>
      <x:c r="AG165" s="32" t="str">
        <x:f>IF(LARGE(AD165:AF165,1)-LARGE(AD165:AF165,2)&lt;0.15,"Context-dependent tie",SUBSTITUTE(INDEX($AD$4:$AF$4,1,MATCH(MAX(AD165:AF165),AD165:AF165,0))," Overall",""))</x:f>
        <x:v>Context-dependent tie</x:v>
      </x:c>
      <x:c r="AH165" s="32" t="str">
        <x:f>IF(AG165="AWS","Start with AWS when infrastructure breadth, native integration and operational maturity are the main differentiators.",IF(AG165="Azure","Start with Azure when Microsoft identity, security, data, productivity or hybrid integration reduces delivery effort.",IF(AG165="GCP","Start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65" s="32" t="str">
        <x:v>Low</x:v>
      </x:c>
      <x:c r="AJ165" s="32" t="str">
        <x:v>2026-07-12</x:v>
      </x:c>
    </x:row>
    <x:row r="166">
      <x:c r="A166" s="32" t="str">
        <x:v>Object storage</x:v>
      </x:c>
      <x:c r="B166" s="32" t="str">
        <x:v>05 Data Infrastructure</x:v>
      </x:c>
      <x:c r="C166" s="32" t="str">
        <x:v>Object &amp; Archive Storage</x:v>
      </x:c>
      <x:c r="D166" s="32" t="str">
        <x:v>Workload</x:v>
      </x:c>
      <x:c r="E166" s="32" t="str">
        <x:v>What access frequency, durability, retention, retrieval time and residency constraints apply?</x:v>
      </x:c>
      <x:c r="F166" s="32" t="str">
        <x:v>Amazon Simple Storage Service</x:v>
      </x:c>
      <x:c r="G166" s="32" t="str">
        <x:v>Azure Blob Storage</x:v>
      </x:c>
      <x:c r="H166" s="32" t="str">
        <x:v>Cloud Storage</x:v>
      </x:c>
      <x:c r="I166" s="32" t="n">
        <x:v>4.5</x:v>
      </x:c>
      <x:c r="J166" s="32" t="n">
        <x:v>4.2</x:v>
      </x:c>
      <x:c r="K166" s="32" t="n">
        <x:v>4.6</x:v>
      </x:c>
      <x:c r="L166" s="32" t="n">
        <x:v>4.3</x:v>
      </x:c>
      <x:c r="M166" s="32" t="n">
        <x:v>3.5</x:v>
      </x:c>
      <x:c r="N166" s="32" t="n">
        <x:v>4.8</x:v>
      </x:c>
      <x:c r="O166" s="32" t="n">
        <x:v>4</x:v>
      </x:c>
      <x:c r="P166" s="32" t="n">
        <x:v>4.2</x:v>
      </x:c>
      <x:c r="Q166" s="32" t="n">
        <x:v>4</x:v>
      </x:c>
      <x:c r="R166" s="32" t="n">
        <x:v>4.5</x:v>
      </x:c>
      <x:c r="S166" s="32" t="n">
        <x:v>4.5</x:v>
      </x:c>
      <x:c r="T166" s="32" t="n">
        <x:v>3.5</x:v>
      </x:c>
      <x:c r="U166" s="32" t="n">
        <x:v>4.5</x:v>
      </x:c>
      <x:c r="V166" s="32" t="n">
        <x:v>4.1</x:v>
      </x:c>
      <x:c r="W166" s="32" t="n">
        <x:v>4.2</x:v>
      </x:c>
      <x:c r="X166" s="32" t="n">
        <x:v>4</x:v>
      </x:c>
      <x:c r="Y166" s="32" t="n">
        <x:v>4.2</x:v>
      </x:c>
      <x:c r="Z166" s="32" t="n">
        <x:v>4.7</x:v>
      </x:c>
      <x:c r="AA166" s="32" t="n">
        <x:v>3.5</x:v>
      </x:c>
      <x:c r="AB166" s="32" t="n">
        <x:v>4.4</x:v>
      </x:c>
      <x:c r="AC166" s="32" t="n">
        <x:v>4.2</x:v>
      </x:c>
      <x:c r="AD166" s="32" t="n">
        <x:f>ROUND((I166*'Criteria &amp; Scoring'!$B$5+J166*'Criteria &amp; Scoring'!$B$6+K166*'Criteria &amp; Scoring'!$B$7+L166*'Criteria &amp; Scoring'!$B$8+M166*'Criteria &amp; Scoring'!$B$9+N166*'Criteria &amp; Scoring'!$B$10+O166*'Criteria &amp; Scoring'!$B$11)/SUM('Criteria &amp; Scoring'!$B$5:$B$11),2)</x:f>
        <x:v>4.33</x:v>
      </x:c>
      <x:c r="AE166" s="32" t="n">
        <x:f>ROUND((P166*'Criteria &amp; Scoring'!$B$5+Q166*'Criteria &amp; Scoring'!$B$6+R166*'Criteria &amp; Scoring'!$B$7+S166*'Criteria &amp; Scoring'!$B$8+T166*'Criteria &amp; Scoring'!$B$9+U166*'Criteria &amp; Scoring'!$B$10+V166*'Criteria &amp; Scoring'!$B$11)/SUM('Criteria &amp; Scoring'!$B$5:$B$11),2)</x:f>
        <x:v>4.21</x:v>
      </x:c>
      <x:c r="AF166" s="32" t="n">
        <x:f>ROUND((W166*'Criteria &amp; Scoring'!$B$5+X166*'Criteria &amp; Scoring'!$B$6+Y166*'Criteria &amp; Scoring'!$B$7+Z166*'Criteria &amp; Scoring'!$B$8+AA166*'Criteria &amp; Scoring'!$B$9+AB166*'Criteria &amp; Scoring'!$B$10+AC166*'Criteria &amp; Scoring'!$B$11)/SUM('Criteria &amp; Scoring'!$B$5:$B$11),2)</x:f>
        <x:v>4.19</x:v>
      </x:c>
      <x:c r="AG166" s="32" t="str">
        <x:f>IF(LARGE(AD166:AF166,1)-LARGE(AD166:AF166,2)&lt;0.15,"Context-dependent tie",SUBSTITUTE(INDEX($AD$4:$AF$4,1,MATCH(MAX(AD166:AF166),AD166:AF166,0))," Overall",""))</x:f>
        <x:v>Context-dependent tie</x:v>
      </x:c>
      <x:c r="AH166" s="32" t="str">
        <x:f>IF(AG166="AWS","Start with AWS when infrastructure breadth, native integration and operational maturity are the main differentiators.",IF(AG166="Azure","Start with Azure when Microsoft identity, security, data, productivity or hybrid integration reduces delivery effort.",IF(AG166="GCP","Start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66" s="32" t="str">
        <x:v>High</x:v>
      </x:c>
      <x:c r="AJ166" s="32" t="str">
        <x:v>2026-07-12</x:v>
      </x:c>
    </x:row>
    <x:row r="167">
      <x:c r="A167" s="32" t="str">
        <x:v>Long-term archive storage</x:v>
      </x:c>
      <x:c r="B167" s="32" t="str">
        <x:v>05 Data Infrastructure</x:v>
      </x:c>
      <x:c r="C167" s="32" t="str">
        <x:v>Object &amp; Archive Storage</x:v>
      </x:c>
      <x:c r="D167" s="32" t="str">
        <x:v>Workload</x:v>
      </x:c>
      <x:c r="E167" s="32" t="str">
        <x:v>What access frequency, durability, retention, retrieval time and residency constraints apply?</x:v>
      </x:c>
      <x:c r="F167" s="32" t="str">
        <x:v>Amazon S3 Glacier storage classes</x:v>
      </x:c>
      <x:c r="G167" s="32" t="str">
        <x:v>Azure Archive Storage</x:v>
      </x:c>
      <x:c r="H167" s="32" t="str">
        <x:v>Cloud Storage Archive</x:v>
      </x:c>
      <x:c r="I167" s="32" t="n">
        <x:v>4.5</x:v>
      </x:c>
      <x:c r="J167" s="32" t="n">
        <x:v>3.2</x:v>
      </x:c>
      <x:c r="K167" s="32" t="n">
        <x:v>4.6</x:v>
      </x:c>
      <x:c r="L167" s="32" t="n">
        <x:v>4.3</x:v>
      </x:c>
      <x:c r="M167" s="32" t="n">
        <x:v>3.5</x:v>
      </x:c>
      <x:c r="N167" s="32" t="n">
        <x:v>4.8</x:v>
      </x:c>
      <x:c r="O167" s="32" t="n">
        <x:v>3.7</x:v>
      </x:c>
      <x:c r="P167" s="32" t="n">
        <x:v>4.2</x:v>
      </x:c>
      <x:c r="Q167" s="32" t="n">
        <x:v>3</x:v>
      </x:c>
      <x:c r="R167" s="32" t="n">
        <x:v>4.5</x:v>
      </x:c>
      <x:c r="S167" s="32" t="n">
        <x:v>4.5</x:v>
      </x:c>
      <x:c r="T167" s="32" t="n">
        <x:v>3.5</x:v>
      </x:c>
      <x:c r="U167" s="32" t="n">
        <x:v>4.5</x:v>
      </x:c>
      <x:c r="V167" s="32" t="n">
        <x:v>3.8</x:v>
      </x:c>
      <x:c r="W167" s="32" t="n">
        <x:v>4.2</x:v>
      </x:c>
      <x:c r="X167" s="32" t="n">
        <x:v>3</x:v>
      </x:c>
      <x:c r="Y167" s="32" t="n">
        <x:v>4.2</x:v>
      </x:c>
      <x:c r="Z167" s="32" t="n">
        <x:v>4.7</x:v>
      </x:c>
      <x:c r="AA167" s="32" t="n">
        <x:v>3.5</x:v>
      </x:c>
      <x:c r="AB167" s="32" t="n">
        <x:v>4.4</x:v>
      </x:c>
      <x:c r="AC167" s="32" t="n">
        <x:v>3.9</x:v>
      </x:c>
      <x:c r="AD167" s="32" t="n">
        <x:f>ROUND((I167*'Criteria &amp; Scoring'!$B$5+J167*'Criteria &amp; Scoring'!$B$6+K167*'Criteria &amp; Scoring'!$B$7+L167*'Criteria &amp; Scoring'!$B$8+M167*'Criteria &amp; Scoring'!$B$9+N167*'Criteria &amp; Scoring'!$B$10+O167*'Criteria &amp; Scoring'!$B$11)/SUM('Criteria &amp; Scoring'!$B$5:$B$11),2)</x:f>
        <x:v>4.12</x:v>
      </x:c>
      <x:c r="AE167" s="32" t="n">
        <x:f>ROUND((P167*'Criteria &amp; Scoring'!$B$5+Q167*'Criteria &amp; Scoring'!$B$6+R167*'Criteria &amp; Scoring'!$B$7+S167*'Criteria &amp; Scoring'!$B$8+T167*'Criteria &amp; Scoring'!$B$9+U167*'Criteria &amp; Scoring'!$B$10+V167*'Criteria &amp; Scoring'!$B$11)/SUM('Criteria &amp; Scoring'!$B$5:$B$11),2)</x:f>
        <x:v>3.99</x:v>
      </x:c>
      <x:c r="AF167" s="32" t="n">
        <x:f>ROUND((W167*'Criteria &amp; Scoring'!$B$5+X167*'Criteria &amp; Scoring'!$B$6+Y167*'Criteria &amp; Scoring'!$B$7+Z167*'Criteria &amp; Scoring'!$B$8+AA167*'Criteria &amp; Scoring'!$B$9+AB167*'Criteria &amp; Scoring'!$B$10+AC167*'Criteria &amp; Scoring'!$B$11)/SUM('Criteria &amp; Scoring'!$B$5:$B$11),2)</x:f>
        <x:v>3.97</x:v>
      </x:c>
      <x:c r="AG167" s="32" t="str">
        <x:f>IF(LARGE(AD167:AF167,1)-LARGE(AD167:AF167,2)&lt;0.15,"Context-dependent tie",SUBSTITUTE(INDEX($AD$4:$AF$4,1,MATCH(MAX(AD167:AF167),AD167:AF167,0))," Overall",""))</x:f>
        <x:v>Context-dependent tie</x:v>
      </x:c>
      <x:c r="AH167" s="32" t="str">
        <x:f>IF(AG167="AWS","Start with AWS when infrastructure breadth, native integration and operational maturity are the main differentiators.",IF(AG167="Azure","Start with Azure when Microsoft identity, security, data, productivity or hybrid integration reduces delivery effort.",IF(AG167="GCP","Start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67" s="32" t="str">
        <x:v>High</x:v>
      </x:c>
      <x:c r="AJ167" s="32" t="str">
        <x:v>2026-07-12</x:v>
      </x:c>
    </x:row>
    <x:row r="168">
      <x:c r="A168" s="32" t="str">
        <x:v>Persistent block storage</x:v>
      </x:c>
      <x:c r="B168" s="32" t="str">
        <x:v>05 Data Infrastructure</x:v>
      </x:c>
      <x:c r="C168" s="32" t="str">
        <x:v>Block &amp; Local Storage</x:v>
      </x:c>
      <x:c r="D168" s="32" t="str">
        <x:v>Workload</x:v>
      </x:c>
      <x:c r="E168" s="32" t="str">
        <x:v>What business outcome, scale, control, integration and operating model justify choosing persistent block storage?</x:v>
      </x:c>
      <x:c r="F168" s="32" t="str">
        <x:v>Amazon Elastic Block Store</x:v>
      </x:c>
      <x:c r="G168" s="32" t="str">
        <x:v>Azure Disk Storage</x:v>
      </x:c>
      <x:c r="H168" s="32" t="str">
        <x:v>Persistent Disk
Hyperdisk</x:v>
      </x:c>
      <x:c r="I168" s="32" t="n">
        <x:v>4.2</x:v>
      </x:c>
      <x:c r="J168" s="32" t="n">
        <x:v>3</x:v>
      </x:c>
      <x:c r="K168" s="32" t="n">
        <x:v>4.6</x:v>
      </x:c>
      <x:c r="L168" s="32" t="n">
        <x:v>4.3</x:v>
      </x:c>
      <x:c r="M168" s="32" t="n">
        <x:v>3.5</x:v>
      </x:c>
      <x:c r="N168" s="32" t="n">
        <x:v>4.8</x:v>
      </x:c>
      <x:c r="O168" s="32" t="n">
        <x:v>3.7</x:v>
      </x:c>
      <x:c r="P168" s="32" t="n">
        <x:v>4.2</x:v>
      </x:c>
      <x:c r="Q168" s="32" t="n">
        <x:v>3</x:v>
      </x:c>
      <x:c r="R168" s="32" t="n">
        <x:v>4.5</x:v>
      </x:c>
      <x:c r="S168" s="32" t="n">
        <x:v>4.5</x:v>
      </x:c>
      <x:c r="T168" s="32" t="n">
        <x:v>3.5</x:v>
      </x:c>
      <x:c r="U168" s="32" t="n">
        <x:v>4.5</x:v>
      </x:c>
      <x:c r="V168" s="32" t="n">
        <x:v>3.8</x:v>
      </x:c>
      <x:c r="W168" s="32" t="n">
        <x:v>4</x:v>
      </x:c>
      <x:c r="X168" s="32" t="n">
        <x:v>2.9</x:v>
      </x:c>
      <x:c r="Y168" s="32" t="n">
        <x:v>4.2</x:v>
      </x:c>
      <x:c r="Z168" s="32" t="n">
        <x:v>4.6</x:v>
      </x:c>
      <x:c r="AA168" s="32" t="n">
        <x:v>3.5</x:v>
      </x:c>
      <x:c r="AB168" s="32" t="n">
        <x:v>4.3</x:v>
      </x:c>
      <x:c r="AC168" s="32" t="n">
        <x:v>3.8</x:v>
      </x:c>
      <x:c r="AD168" s="32" t="n">
        <x:f>ROUND((I168*'Criteria &amp; Scoring'!$B$5+J168*'Criteria &amp; Scoring'!$B$6+K168*'Criteria &amp; Scoring'!$B$7+L168*'Criteria &amp; Scoring'!$B$8+M168*'Criteria &amp; Scoring'!$B$9+N168*'Criteria &amp; Scoring'!$B$10+O168*'Criteria &amp; Scoring'!$B$11)/SUM('Criteria &amp; Scoring'!$B$5:$B$11),2)</x:f>
        <x:v>4</x:v>
      </x:c>
      <x:c r="AE168" s="32" t="n">
        <x:f>ROUND((P168*'Criteria &amp; Scoring'!$B$5+Q168*'Criteria &amp; Scoring'!$B$6+R168*'Criteria &amp; Scoring'!$B$7+S168*'Criteria &amp; Scoring'!$B$8+T168*'Criteria &amp; Scoring'!$B$9+U168*'Criteria &amp; Scoring'!$B$10+V168*'Criteria &amp; Scoring'!$B$11)/SUM('Criteria &amp; Scoring'!$B$5:$B$11),2)</x:f>
        <x:v>3.99</x:v>
      </x:c>
      <x:c r="AF168" s="32" t="n">
        <x:f>ROUND((W168*'Criteria &amp; Scoring'!$B$5+X168*'Criteria &amp; Scoring'!$B$6+Y168*'Criteria &amp; Scoring'!$B$7+Z168*'Criteria &amp; Scoring'!$B$8+AA168*'Criteria &amp; Scoring'!$B$9+AB168*'Criteria &amp; Scoring'!$B$10+AC168*'Criteria &amp; Scoring'!$B$11)/SUM('Criteria &amp; Scoring'!$B$5:$B$11),2)</x:f>
        <x:v>3.87</x:v>
      </x:c>
      <x:c r="AG168" s="32" t="str">
        <x:f>IF(LARGE(AD168:AF168,1)-LARGE(AD168:AF168,2)&lt;0.15,"Context-dependent tie",SUBSTITUTE(INDEX($AD$4:$AF$4,1,MATCH(MAX(AD168:AF168),AD168:AF168,0))," Overall",""))</x:f>
        <x:v>Context-dependent tie</x:v>
      </x:c>
      <x:c r="AH168" s="32" t="str">
        <x:f>IF(AG168="AWS","Start with AWS when infrastructure breadth, native integration and operational maturity are the main differentiators.",IF(AG168="Azure","Start with Azure when Microsoft identity, security, data, productivity or hybrid integration reduces delivery effort.",IF(AG168="GCP","Start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68" s="32" t="str">
        <x:v>High</x:v>
      </x:c>
      <x:c r="AJ168" s="32" t="str">
        <x:v>2026-07-12</x:v>
      </x:c>
    </x:row>
    <x:row r="169">
      <x:c r="A169" s="32" t="str">
        <x:v>Local ephemeral SSD</x:v>
      </x:c>
      <x:c r="B169" s="32" t="str">
        <x:v>05 Data Infrastructure</x:v>
      </x:c>
      <x:c r="C169" s="32" t="str">
        <x:v>Block &amp; Local Storage</x:v>
      </x:c>
      <x:c r="D169" s="32" t="str">
        <x:v>Workload</x:v>
      </x:c>
      <x:c r="E169" s="32" t="str">
        <x:v>What business outcome, scale, control, integration and operating model justify choosing local ephemeral ssd?</x:v>
      </x:c>
      <x:c r="F169" s="32" t="str">
        <x:v>EC2 instance store</x:v>
      </x:c>
      <x:c r="G169" s="32" t="str">
        <x:v>Azure Local SSD / temporary disk</x:v>
      </x:c>
      <x:c r="H169" s="32" t="str">
        <x:v>Local SSD</x:v>
      </x:c>
      <x:c r="I169" s="32" t="n">
        <x:v>4</x:v>
      </x:c>
      <x:c r="J169" s="32" t="n">
        <x:v>3</x:v>
      </x:c>
      <x:c r="K169" s="32" t="n">
        <x:v>4.5</x:v>
      </x:c>
      <x:c r="L169" s="32" t="n">
        <x:v>4.3</x:v>
      </x:c>
      <x:c r="M169" s="32" t="n">
        <x:v>3.5</x:v>
      </x:c>
      <x:c r="N169" s="32" t="n">
        <x:v>4.7</x:v>
      </x:c>
      <x:c r="O169" s="32" t="n">
        <x:v>3.7</x:v>
      </x:c>
      <x:c r="P169" s="32" t="n">
        <x:v>3.9</x:v>
      </x:c>
      <x:c r="Q169" s="32" t="n">
        <x:v>2.9</x:v>
      </x:c>
      <x:c r="R169" s="32" t="n">
        <x:v>4.4</x:v>
      </x:c>
      <x:c r="S169" s="32" t="n">
        <x:v>4.4</x:v>
      </x:c>
      <x:c r="T169" s="32" t="n">
        <x:v>3.5</x:v>
      </x:c>
      <x:c r="U169" s="32" t="n">
        <x:v>4.3</x:v>
      </x:c>
      <x:c r="V169" s="32" t="n">
        <x:v>3.7</x:v>
      </x:c>
      <x:c r="W169" s="32" t="n">
        <x:v>4</x:v>
      </x:c>
      <x:c r="X169" s="32" t="n">
        <x:v>3</x:v>
      </x:c>
      <x:c r="Y169" s="32" t="n">
        <x:v>4.2</x:v>
      </x:c>
      <x:c r="Z169" s="32" t="n">
        <x:v>4.7</x:v>
      </x:c>
      <x:c r="AA169" s="32" t="n">
        <x:v>3.5</x:v>
      </x:c>
      <x:c r="AB169" s="32" t="n">
        <x:v>4.3</x:v>
      </x:c>
      <x:c r="AC169" s="32" t="n">
        <x:v>3.9</x:v>
      </x:c>
      <x:c r="AD169" s="32" t="n">
        <x:f>ROUND((I169*'Criteria &amp; Scoring'!$B$5+J169*'Criteria &amp; Scoring'!$B$6+K169*'Criteria &amp; Scoring'!$B$7+L169*'Criteria &amp; Scoring'!$B$8+M169*'Criteria &amp; Scoring'!$B$9+N169*'Criteria &amp; Scoring'!$B$10+O169*'Criteria &amp; Scoring'!$B$11)/SUM('Criteria &amp; Scoring'!$B$5:$B$11),2)</x:f>
        <x:v>3.93</x:v>
      </x:c>
      <x:c r="AE169" s="32" t="n">
        <x:f>ROUND((P169*'Criteria &amp; Scoring'!$B$5+Q169*'Criteria &amp; Scoring'!$B$6+R169*'Criteria &amp; Scoring'!$B$7+S169*'Criteria &amp; Scoring'!$B$8+T169*'Criteria &amp; Scoring'!$B$9+U169*'Criteria &amp; Scoring'!$B$10+V169*'Criteria &amp; Scoring'!$B$11)/SUM('Criteria &amp; Scoring'!$B$5:$B$11),2)</x:f>
        <x:v>3.84</x:v>
      </x:c>
      <x:c r="AF169" s="32" t="n">
        <x:f>ROUND((W169*'Criteria &amp; Scoring'!$B$5+X169*'Criteria &amp; Scoring'!$B$6+Y169*'Criteria &amp; Scoring'!$B$7+Z169*'Criteria &amp; Scoring'!$B$8+AA169*'Criteria &amp; Scoring'!$B$9+AB169*'Criteria &amp; Scoring'!$B$10+AC169*'Criteria &amp; Scoring'!$B$11)/SUM('Criteria &amp; Scoring'!$B$5:$B$11),2)</x:f>
        <x:v>3.91</x:v>
      </x:c>
      <x:c r="AG169" s="32" t="str">
        <x:f>IF(LARGE(AD169:AF169,1)-LARGE(AD169:AF169,2)&lt;0.15,"Context-dependent tie",SUBSTITUTE(INDEX($AD$4:$AF$4,1,MATCH(MAX(AD169:AF169),AD169:AF169,0))," Overall",""))</x:f>
        <x:v>Context-dependent tie</x:v>
      </x:c>
      <x:c r="AH169" s="32" t="str">
        <x:f>IF(AG169="AWS","Start with AWS when infrastructure breadth, native integration and operational maturity are the main differentiators.",IF(AG169="Azure","Start with Azure when Microsoft identity, security, data, productivity or hybrid integration reduces delivery effort.",IF(AG169="GCP","Start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69" s="32" t="str">
        <x:v>Medium</x:v>
      </x:c>
      <x:c r="AJ169" s="32" t="str">
        <x:v>2026-07-12</x:v>
      </x:c>
    </x:row>
    <x:row r="170">
      <x:c r="A170" s="32" t="str">
        <x:v>Managed network file storage</x:v>
      </x:c>
      <x:c r="B170" s="32" t="str">
        <x:v>05 Data Infrastructure</x:v>
      </x:c>
      <x:c r="C170" s="32" t="str">
        <x:v>File &amp; High-Performance Storage</x:v>
      </x:c>
      <x:c r="D170" s="32" t="str">
        <x:v>Workload</x:v>
      </x:c>
      <x:c r="E170" s="32" t="str">
        <x:v>What business outcome, scale, control, integration and operating model justify choosing managed network file storage?</x:v>
      </x:c>
      <x:c r="F170" s="32" t="str">
        <x:v>Amazon Elastic File System</x:v>
      </x:c>
      <x:c r="G170" s="32" t="str">
        <x:v>Azure Files</x:v>
      </x:c>
      <x:c r="H170" s="32" t="str">
        <x:v>Filestore</x:v>
      </x:c>
      <x:c r="I170" s="32" t="n">
        <x:v>4.2</x:v>
      </x:c>
      <x:c r="J170" s="32" t="n">
        <x:v>3</x:v>
      </x:c>
      <x:c r="K170" s="32" t="n">
        <x:v>4.6</x:v>
      </x:c>
      <x:c r="L170" s="32" t="n">
        <x:v>4.3</x:v>
      </x:c>
      <x:c r="M170" s="32" t="n">
        <x:v>3.5</x:v>
      </x:c>
      <x:c r="N170" s="32" t="n">
        <x:v>4.8</x:v>
      </x:c>
      <x:c r="O170" s="32" t="n">
        <x:v>3.7</x:v>
      </x:c>
      <x:c r="P170" s="32" t="n">
        <x:v>4.2</x:v>
      </x:c>
      <x:c r="Q170" s="32" t="n">
        <x:v>3</x:v>
      </x:c>
      <x:c r="R170" s="32" t="n">
        <x:v>4.5</x:v>
      </x:c>
      <x:c r="S170" s="32" t="n">
        <x:v>4.5</x:v>
      </x:c>
      <x:c r="T170" s="32" t="n">
        <x:v>3.5</x:v>
      </x:c>
      <x:c r="U170" s="32" t="n">
        <x:v>4.5</x:v>
      </x:c>
      <x:c r="V170" s="32" t="n">
        <x:v>3.8</x:v>
      </x:c>
      <x:c r="W170" s="32" t="n">
        <x:v>4.2</x:v>
      </x:c>
      <x:c r="X170" s="32" t="n">
        <x:v>3</x:v>
      </x:c>
      <x:c r="Y170" s="32" t="n">
        <x:v>4.5</x:v>
      </x:c>
      <x:c r="Z170" s="32" t="n">
        <x:v>4.7</x:v>
      </x:c>
      <x:c r="AA170" s="32" t="n">
        <x:v>3.5</x:v>
      </x:c>
      <x:c r="AB170" s="32" t="n">
        <x:v>4.4</x:v>
      </x:c>
      <x:c r="AC170" s="32" t="n">
        <x:v>3.9</x:v>
      </x:c>
      <x:c r="AD170" s="32" t="n">
        <x:f>ROUND((I170*'Criteria &amp; Scoring'!$B$5+J170*'Criteria &amp; Scoring'!$B$6+K170*'Criteria &amp; Scoring'!$B$7+L170*'Criteria &amp; Scoring'!$B$8+M170*'Criteria &amp; Scoring'!$B$9+N170*'Criteria &amp; Scoring'!$B$10+O170*'Criteria &amp; Scoring'!$B$11)/SUM('Criteria &amp; Scoring'!$B$5:$B$11),2)</x:f>
        <x:v>4</x:v>
      </x:c>
      <x:c r="AE170" s="32" t="n">
        <x:f>ROUND((P170*'Criteria &amp; Scoring'!$B$5+Q170*'Criteria &amp; Scoring'!$B$6+R170*'Criteria &amp; Scoring'!$B$7+S170*'Criteria &amp; Scoring'!$B$8+T170*'Criteria &amp; Scoring'!$B$9+U170*'Criteria &amp; Scoring'!$B$10+V170*'Criteria &amp; Scoring'!$B$11)/SUM('Criteria &amp; Scoring'!$B$5:$B$11),2)</x:f>
        <x:v>3.99</x:v>
      </x:c>
      <x:c r="AF170" s="32" t="n">
        <x:f>ROUND((W170*'Criteria &amp; Scoring'!$B$5+X170*'Criteria &amp; Scoring'!$B$6+Y170*'Criteria &amp; Scoring'!$B$7+Z170*'Criteria &amp; Scoring'!$B$8+AA170*'Criteria &amp; Scoring'!$B$9+AB170*'Criteria &amp; Scoring'!$B$10+AC170*'Criteria &amp; Scoring'!$B$11)/SUM('Criteria &amp; Scoring'!$B$5:$B$11),2)</x:f>
        <x:v>4.02</x:v>
      </x:c>
      <x:c r="AG170" s="32" t="str">
        <x:f>IF(LARGE(AD170:AF170,1)-LARGE(AD170:AF170,2)&lt;0.15,"Context-dependent tie",SUBSTITUTE(INDEX($AD$4:$AF$4,1,MATCH(MAX(AD170:AF170),AD170:AF170,0))," Overall",""))</x:f>
        <x:v>Context-dependent tie</x:v>
      </x:c>
      <x:c r="AH170" s="32" t="str">
        <x:f>IF(AG170="AWS","Start with AWS when infrastructure breadth, native integration and operational maturity are the main differentiators.",IF(AG170="Azure","Start with Azure when Microsoft identity, security, data, productivity or hybrid integration reduces delivery effort.",IF(AG170="GCP","Start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70" s="32" t="str">
        <x:v>High</x:v>
      </x:c>
      <x:c r="AJ170" s="32" t="str">
        <x:v>2026-07-12</x:v>
      </x:c>
    </x:row>
    <x:row r="171">
      <x:c r="A171" s="32" t="str">
        <x:v>Managed enterprise NAS</x:v>
      </x:c>
      <x:c r="B171" s="32" t="str">
        <x:v>05 Data Infrastructure</x:v>
      </x:c>
      <x:c r="C171" s="32" t="str">
        <x:v>File &amp; High-Performance Storage</x:v>
      </x:c>
      <x:c r="D171" s="32" t="str">
        <x:v>Workload</x:v>
      </x:c>
      <x:c r="E171" s="32" t="str">
        <x:v>What business outcome, scale, control, integration and operating model justify choosing managed enterprise nas?</x:v>
      </x:c>
      <x:c r="F171" s="32" t="str">
        <x:v>Amazon FSx for NetApp ONTAP</x:v>
      </x:c>
      <x:c r="G171" s="32" t="str">
        <x:v>Azure NetApp Files</x:v>
      </x:c>
      <x:c r="H171" s="32" t="str">
        <x:v>NetApp Volumes</x:v>
      </x:c>
      <x:c r="I171" s="32" t="n">
        <x:v>4.2</x:v>
      </x:c>
      <x:c r="J171" s="32" t="n">
        <x:v>3</x:v>
      </x:c>
      <x:c r="K171" s="32" t="n">
        <x:v>4.6</x:v>
      </x:c>
      <x:c r="L171" s="32" t="n">
        <x:v>4.3</x:v>
      </x:c>
      <x:c r="M171" s="32" t="n">
        <x:v>3.5</x:v>
      </x:c>
      <x:c r="N171" s="32" t="n">
        <x:v>4.8</x:v>
      </x:c>
      <x:c r="O171" s="32" t="n">
        <x:v>3.7</x:v>
      </x:c>
      <x:c r="P171" s="32" t="n">
        <x:v>4.2</x:v>
      </x:c>
      <x:c r="Q171" s="32" t="n">
        <x:v>3</x:v>
      </x:c>
      <x:c r="R171" s="32" t="n">
        <x:v>4.5</x:v>
      </x:c>
      <x:c r="S171" s="32" t="n">
        <x:v>4.5</x:v>
      </x:c>
      <x:c r="T171" s="32" t="n">
        <x:v>3.5</x:v>
      </x:c>
      <x:c r="U171" s="32" t="n">
        <x:v>4.5</x:v>
      </x:c>
      <x:c r="V171" s="32" t="n">
        <x:v>3.8</x:v>
      </x:c>
      <x:c r="W171" s="32" t="n">
        <x:v>4.2</x:v>
      </x:c>
      <x:c r="X171" s="32" t="n">
        <x:v>3</x:v>
      </x:c>
      <x:c r="Y171" s="32" t="n">
        <x:v>4.2</x:v>
      </x:c>
      <x:c r="Z171" s="32" t="n">
        <x:v>4.7</x:v>
      </x:c>
      <x:c r="AA171" s="32" t="n">
        <x:v>3.5</x:v>
      </x:c>
      <x:c r="AB171" s="32" t="n">
        <x:v>4.4</x:v>
      </x:c>
      <x:c r="AC171" s="32" t="n">
        <x:v>3.9</x:v>
      </x:c>
      <x:c r="AD171" s="32" t="n">
        <x:f>ROUND((I171*'Criteria &amp; Scoring'!$B$5+J171*'Criteria &amp; Scoring'!$B$6+K171*'Criteria &amp; Scoring'!$B$7+L171*'Criteria &amp; Scoring'!$B$8+M171*'Criteria &amp; Scoring'!$B$9+N171*'Criteria &amp; Scoring'!$B$10+O171*'Criteria &amp; Scoring'!$B$11)/SUM('Criteria &amp; Scoring'!$B$5:$B$11),2)</x:f>
        <x:v>4</x:v>
      </x:c>
      <x:c r="AE171" s="32" t="n">
        <x:f>ROUND((P171*'Criteria &amp; Scoring'!$B$5+Q171*'Criteria &amp; Scoring'!$B$6+R171*'Criteria &amp; Scoring'!$B$7+S171*'Criteria &amp; Scoring'!$B$8+T171*'Criteria &amp; Scoring'!$B$9+U171*'Criteria &amp; Scoring'!$B$10+V171*'Criteria &amp; Scoring'!$B$11)/SUM('Criteria &amp; Scoring'!$B$5:$B$11),2)</x:f>
        <x:v>3.99</x:v>
      </x:c>
      <x:c r="AF171" s="32" t="n">
        <x:f>ROUND((W171*'Criteria &amp; Scoring'!$B$5+X171*'Criteria &amp; Scoring'!$B$6+Y171*'Criteria &amp; Scoring'!$B$7+Z171*'Criteria &amp; Scoring'!$B$8+AA171*'Criteria &amp; Scoring'!$B$9+AB171*'Criteria &amp; Scoring'!$B$10+AC171*'Criteria &amp; Scoring'!$B$11)/SUM('Criteria &amp; Scoring'!$B$5:$B$11),2)</x:f>
        <x:v>3.97</x:v>
      </x:c>
      <x:c r="AG171" s="32" t="str">
        <x:f>IF(LARGE(AD171:AF171,1)-LARGE(AD171:AF171,2)&lt;0.15,"Context-dependent tie",SUBSTITUTE(INDEX($AD$4:$AF$4,1,MATCH(MAX(AD171:AF171),AD171:AF171,0))," Overall",""))</x:f>
        <x:v>Context-dependent tie</x:v>
      </x:c>
      <x:c r="AH171" s="32" t="str">
        <x:f>IF(AG171="AWS","Start with AWS when infrastructure breadth, native integration and operational maturity are the main differentiators.",IF(AG171="Azure","Start with Azure when Microsoft identity, security, data, productivity or hybrid integration reduces delivery effort.",IF(AG171="GCP","Start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71" s="32" t="str">
        <x:v>High</x:v>
      </x:c>
      <x:c r="AJ171" s="32" t="str">
        <x:v>2026-07-12</x:v>
      </x:c>
    </x:row>
    <x:row r="172">
      <x:c r="A172" s="32" t="str">
        <x:v>High-performance parallel file system</x:v>
      </x:c>
      <x:c r="B172" s="32" t="str">
        <x:v>05 Data Infrastructure</x:v>
      </x:c>
      <x:c r="C172" s="32" t="str">
        <x:v>File &amp; High-Performance Storage</x:v>
      </x:c>
      <x:c r="D172" s="32" t="str">
        <x:v>Workload</x:v>
      </x:c>
      <x:c r="E172" s="32" t="str">
        <x:v>What business outcome, scale, control, integration and operating model justify choosing high-performance parallel file system?</x:v>
      </x:c>
      <x:c r="F172" s="32" t="str">
        <x:v>Amazon FSx for Lustre</x:v>
      </x:c>
      <x:c r="G172" s="32" t="str">
        <x:v>Azure Managed Lustre</x:v>
      </x:c>
      <x:c r="H172" s="32" t="str">
        <x:v>Managed Lustre</x:v>
      </x:c>
      <x:c r="I172" s="32" t="n">
        <x:v>4.2</x:v>
      </x:c>
      <x:c r="J172" s="32" t="n">
        <x:v>3</x:v>
      </x:c>
      <x:c r="K172" s="32" t="n">
        <x:v>4.6</x:v>
      </x:c>
      <x:c r="L172" s="32" t="n">
        <x:v>4.3</x:v>
      </x:c>
      <x:c r="M172" s="32" t="n">
        <x:v>3.5</x:v>
      </x:c>
      <x:c r="N172" s="32" t="n">
        <x:v>4.8</x:v>
      </x:c>
      <x:c r="O172" s="32" t="n">
        <x:v>3.7</x:v>
      </x:c>
      <x:c r="P172" s="32" t="n">
        <x:v>4.2</x:v>
      </x:c>
      <x:c r="Q172" s="32" t="n">
        <x:v>3</x:v>
      </x:c>
      <x:c r="R172" s="32" t="n">
        <x:v>4.5</x:v>
      </x:c>
      <x:c r="S172" s="32" t="n">
        <x:v>4.5</x:v>
      </x:c>
      <x:c r="T172" s="32" t="n">
        <x:v>3.5</x:v>
      </x:c>
      <x:c r="U172" s="32" t="n">
        <x:v>4.5</x:v>
      </x:c>
      <x:c r="V172" s="32" t="n">
        <x:v>3.8</x:v>
      </x:c>
      <x:c r="W172" s="32" t="n">
        <x:v>4.2</x:v>
      </x:c>
      <x:c r="X172" s="32" t="n">
        <x:v>3</x:v>
      </x:c>
      <x:c r="Y172" s="32" t="n">
        <x:v>4.2</x:v>
      </x:c>
      <x:c r="Z172" s="32" t="n">
        <x:v>4.7</x:v>
      </x:c>
      <x:c r="AA172" s="32" t="n">
        <x:v>3.5</x:v>
      </x:c>
      <x:c r="AB172" s="32" t="n">
        <x:v>4.4</x:v>
      </x:c>
      <x:c r="AC172" s="32" t="n">
        <x:v>3.9</x:v>
      </x:c>
      <x:c r="AD172" s="32" t="n">
        <x:f>ROUND((I172*'Criteria &amp; Scoring'!$B$5+J172*'Criteria &amp; Scoring'!$B$6+K172*'Criteria &amp; Scoring'!$B$7+L172*'Criteria &amp; Scoring'!$B$8+M172*'Criteria &amp; Scoring'!$B$9+N172*'Criteria &amp; Scoring'!$B$10+O172*'Criteria &amp; Scoring'!$B$11)/SUM('Criteria &amp; Scoring'!$B$5:$B$11),2)</x:f>
        <x:v>4</x:v>
      </x:c>
      <x:c r="AE172" s="32" t="n">
        <x:f>ROUND((P172*'Criteria &amp; Scoring'!$B$5+Q172*'Criteria &amp; Scoring'!$B$6+R172*'Criteria &amp; Scoring'!$B$7+S172*'Criteria &amp; Scoring'!$B$8+T172*'Criteria &amp; Scoring'!$B$9+U172*'Criteria &amp; Scoring'!$B$10+V172*'Criteria &amp; Scoring'!$B$11)/SUM('Criteria &amp; Scoring'!$B$5:$B$11),2)</x:f>
        <x:v>3.99</x:v>
      </x:c>
      <x:c r="AF172" s="32" t="n">
        <x:f>ROUND((W172*'Criteria &amp; Scoring'!$B$5+X172*'Criteria &amp; Scoring'!$B$6+Y172*'Criteria &amp; Scoring'!$B$7+Z172*'Criteria &amp; Scoring'!$B$8+AA172*'Criteria &amp; Scoring'!$B$9+AB172*'Criteria &amp; Scoring'!$B$10+AC172*'Criteria &amp; Scoring'!$B$11)/SUM('Criteria &amp; Scoring'!$B$5:$B$11),2)</x:f>
        <x:v>3.97</x:v>
      </x:c>
      <x:c r="AG172" s="32" t="str">
        <x:f>IF(LARGE(AD172:AF172,1)-LARGE(AD172:AF172,2)&lt;0.15,"Context-dependent tie",SUBSTITUTE(INDEX($AD$4:$AF$4,1,MATCH(MAX(AD172:AF172),AD172:AF172,0))," Overall",""))</x:f>
        <x:v>Context-dependent tie</x:v>
      </x:c>
      <x:c r="AH172" s="32" t="str">
        <x:f>IF(AG172="AWS","Start with AWS when infrastructure breadth, native integration and operational maturity are the main differentiators.",IF(AG172="Azure","Start with Azure when Microsoft identity, security, data, productivity or hybrid integration reduces delivery effort.",IF(AG172="GCP","Start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72" s="32" t="str">
        <x:v>High</x:v>
      </x:c>
      <x:c r="AJ172" s="32" t="str">
        <x:v>2026-07-12</x:v>
      </x:c>
    </x:row>
    <x:row r="173">
      <x:c r="A173" s="32" t="str">
        <x:v>Managed Windows file server</x:v>
      </x:c>
      <x:c r="B173" s="32" t="str">
        <x:v>05 Data Infrastructure</x:v>
      </x:c>
      <x:c r="C173" s="32" t="str">
        <x:v>File &amp; High-Performance Storage</x:v>
      </x:c>
      <x:c r="D173" s="32" t="str">
        <x:v>Workload</x:v>
      </x:c>
      <x:c r="E173" s="32" t="str">
        <x:v>What business outcome, scale, control, integration and operating model justify choosing managed windows file server?</x:v>
      </x:c>
      <x:c r="F173" s="32" t="str">
        <x:v>Amazon FSx for Windows File Server</x:v>
      </x:c>
      <x:c r="G173" s="32" t="str">
        <x:v>Azure Files</x:v>
      </x:c>
      <x:c r="H173" s="32" t="str">
        <x:v>Filestore Enterprise / partner solutions</x:v>
      </x:c>
      <x:c r="I173" s="32" t="n">
        <x:v>4</x:v>
      </x:c>
      <x:c r="J173" s="32" t="n">
        <x:v>3</x:v>
      </x:c>
      <x:c r="K173" s="32" t="n">
        <x:v>4.5</x:v>
      </x:c>
      <x:c r="L173" s="32" t="n">
        <x:v>4.3</x:v>
      </x:c>
      <x:c r="M173" s="32" t="n">
        <x:v>3.5</x:v>
      </x:c>
      <x:c r="N173" s="32" t="n">
        <x:v>4.7</x:v>
      </x:c>
      <x:c r="O173" s="32" t="n">
        <x:v>3.7</x:v>
      </x:c>
      <x:c r="P173" s="32" t="n">
        <x:v>4</x:v>
      </x:c>
      <x:c r="Q173" s="32" t="n">
        <x:v>3</x:v>
      </x:c>
      <x:c r="R173" s="32" t="n">
        <x:v>4.5</x:v>
      </x:c>
      <x:c r="S173" s="32" t="n">
        <x:v>4.5</x:v>
      </x:c>
      <x:c r="T173" s="32" t="n">
        <x:v>3.5</x:v>
      </x:c>
      <x:c r="U173" s="32" t="n">
        <x:v>4.4</x:v>
      </x:c>
      <x:c r="V173" s="32" t="n">
        <x:v>3.8</x:v>
      </x:c>
      <x:c r="W173" s="32" t="n">
        <x:v>3.3</x:v>
      </x:c>
      <x:c r="X173" s="32" t="n">
        <x:v>2.6</x:v>
      </x:c>
      <x:c r="Y173" s="32" t="n">
        <x:v>3.7</x:v>
      </x:c>
      <x:c r="Z173" s="32" t="n">
        <x:v>4.3</x:v>
      </x:c>
      <x:c r="AA173" s="32" t="n">
        <x:v>3.3</x:v>
      </x:c>
      <x:c r="AB173" s="32" t="n">
        <x:v>3.9</x:v>
      </x:c>
      <x:c r="AC173" s="32" t="n">
        <x:v>3.6</x:v>
      </x:c>
      <x:c r="AD173" s="32" t="n">
        <x:f>ROUND((I173*'Criteria &amp; Scoring'!$B$5+J173*'Criteria &amp; Scoring'!$B$6+K173*'Criteria &amp; Scoring'!$B$7+L173*'Criteria &amp; Scoring'!$B$8+M173*'Criteria &amp; Scoring'!$B$9+N173*'Criteria &amp; Scoring'!$B$10+O173*'Criteria &amp; Scoring'!$B$11)/SUM('Criteria &amp; Scoring'!$B$5:$B$11),2)</x:f>
        <x:v>3.93</x:v>
      </x:c>
      <x:c r="AE173" s="32" t="n">
        <x:f>ROUND((P173*'Criteria &amp; Scoring'!$B$5+Q173*'Criteria &amp; Scoring'!$B$6+R173*'Criteria &amp; Scoring'!$B$7+S173*'Criteria &amp; Scoring'!$B$8+T173*'Criteria &amp; Scoring'!$B$9+U173*'Criteria &amp; Scoring'!$B$10+V173*'Criteria &amp; Scoring'!$B$11)/SUM('Criteria &amp; Scoring'!$B$5:$B$11),2)</x:f>
        <x:v>3.93</x:v>
      </x:c>
      <x:c r="AF173" s="32" t="n">
        <x:f>ROUND((W173*'Criteria &amp; Scoring'!$B$5+X173*'Criteria &amp; Scoring'!$B$6+Y173*'Criteria &amp; Scoring'!$B$7+Z173*'Criteria &amp; Scoring'!$B$8+AA173*'Criteria &amp; Scoring'!$B$9+AB173*'Criteria &amp; Scoring'!$B$10+AC173*'Criteria &amp; Scoring'!$B$11)/SUM('Criteria &amp; Scoring'!$B$5:$B$11),2)</x:f>
        <x:v>3.45</x:v>
      </x:c>
      <x:c r="AG173" s="32" t="str">
        <x:f>IF(LARGE(AD173:AF173,1)-LARGE(AD173:AF173,2)&lt;0.15,"Context-dependent tie",SUBSTITUTE(INDEX($AD$4:$AF$4,1,MATCH(MAX(AD173:AF173),AD173:AF173,0))," Overall",""))</x:f>
        <x:v>Context-dependent tie</x:v>
      </x:c>
      <x:c r="AH173" s="32" t="str">
        <x:f>IF(AG173="AWS","Start with AWS when infrastructure breadth, native integration and operational maturity are the main differentiators.",IF(AG173="Azure","Start with Azure when Microsoft identity, security, data, productivity or hybrid integration reduces delivery effort.",IF(AG173="GCP","Start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73" s="32" t="str">
        <x:v>Medium</x:v>
      </x:c>
      <x:c r="AJ173" s="32" t="str">
        <x:v>2026-07-12</x:v>
      </x:c>
    </x:row>
    <x:row r="174">
      <x:c r="A174" s="32" t="str">
        <x:v>Hybrid storage gateway</x:v>
      </x:c>
      <x:c r="B174" s="32" t="str">
        <x:v>05 Data Infrastructure</x:v>
      </x:c>
      <x:c r="C174" s="32" t="str">
        <x:v>Data Transfer &amp; Hybrid Storage</x:v>
      </x:c>
      <x:c r="D174" s="32" t="str">
        <x:v>Workload</x:v>
      </x:c>
      <x:c r="E174" s="32" t="str">
        <x:v>What business outcome, scale, control, integration and operating model justify choosing hybrid storage gateway?</x:v>
      </x:c>
      <x:c r="F174" s="32" t="str">
        <x:v>AWS Storage Gateway</x:v>
      </x:c>
      <x:c r="G174" s="32" t="str">
        <x:v>Azure File Sync
Azure Stack Edge</x:v>
      </x:c>
      <x:c r="H174" s="32" t="str">
        <x:v>Storage Transfer Service agents
Google Distributed Cloud</x:v>
      </x:c>
      <x:c r="I174" s="32" t="n">
        <x:v>3.5</x:v>
      </x:c>
      <x:c r="J174" s="32" t="n">
        <x:v>3</x:v>
      </x:c>
      <x:c r="K174" s="32" t="n">
        <x:v>4.3</x:v>
      </x:c>
      <x:c r="L174" s="32" t="n">
        <x:v>4.3</x:v>
      </x:c>
      <x:c r="M174" s="32" t="n">
        <x:v>3.5</x:v>
      </x:c>
      <x:c r="N174" s="32" t="n">
        <x:v>4.4</x:v>
      </x:c>
      <x:c r="O174" s="32" t="n">
        <x:v>3.4</x:v>
      </x:c>
      <x:c r="P174" s="32" t="n">
        <x:v>3.9</x:v>
      </x:c>
      <x:c r="Q174" s="32" t="n">
        <x:v>3.3</x:v>
      </x:c>
      <x:c r="R174" s="32" t="n">
        <x:v>4.4</x:v>
      </x:c>
      <x:c r="S174" s="32" t="n">
        <x:v>4.4</x:v>
      </x:c>
      <x:c r="T174" s="32" t="n">
        <x:v>3.7</x:v>
      </x:c>
      <x:c r="U174" s="32" t="n">
        <x:v>4.3</x:v>
      </x:c>
      <x:c r="V174" s="32" t="n">
        <x:v>3.4</x:v>
      </x:c>
      <x:c r="W174" s="32" t="n">
        <x:v>3.4</x:v>
      </x:c>
      <x:c r="X174" s="32" t="n">
        <x:v>2.9</x:v>
      </x:c>
      <x:c r="Y174" s="32" t="n">
        <x:v>4.1</x:v>
      </x:c>
      <x:c r="Z174" s="32" t="n">
        <x:v>4.6</x:v>
      </x:c>
      <x:c r="AA174" s="32" t="n">
        <x:v>3.5</x:v>
      </x:c>
      <x:c r="AB174" s="32" t="n">
        <x:v>4</x:v>
      </x:c>
      <x:c r="AC174" s="32" t="n">
        <x:v>3.4</x:v>
      </x:c>
      <x:c r="AD174" s="32" t="n">
        <x:f>ROUND((I174*'Criteria &amp; Scoring'!$B$5+J174*'Criteria &amp; Scoring'!$B$6+K174*'Criteria &amp; Scoring'!$B$7+L174*'Criteria &amp; Scoring'!$B$8+M174*'Criteria &amp; Scoring'!$B$9+N174*'Criteria &amp; Scoring'!$B$10+O174*'Criteria &amp; Scoring'!$B$11)/SUM('Criteria &amp; Scoring'!$B$5:$B$11),2)</x:f>
        <x:v>3.73</x:v>
      </x:c>
      <x:c r="AE174" s="32" t="n">
        <x:f>ROUND((P174*'Criteria &amp; Scoring'!$B$5+Q174*'Criteria &amp; Scoring'!$B$6+R174*'Criteria &amp; Scoring'!$B$7+S174*'Criteria &amp; Scoring'!$B$8+T174*'Criteria &amp; Scoring'!$B$9+U174*'Criteria &amp; Scoring'!$B$10+V174*'Criteria &amp; Scoring'!$B$11)/SUM('Criteria &amp; Scoring'!$B$5:$B$11),2)</x:f>
        <x:v>3.93</x:v>
      </x:c>
      <x:c r="AF174" s="32" t="n">
        <x:f>ROUND((W174*'Criteria &amp; Scoring'!$B$5+X174*'Criteria &amp; Scoring'!$B$6+Y174*'Criteria &amp; Scoring'!$B$7+Z174*'Criteria &amp; Scoring'!$B$8+AA174*'Criteria &amp; Scoring'!$B$9+AB174*'Criteria &amp; Scoring'!$B$10+AC174*'Criteria &amp; Scoring'!$B$11)/SUM('Criteria &amp; Scoring'!$B$5:$B$11),2)</x:f>
        <x:v>3.66</x:v>
      </x:c>
      <x:c r="AG174" s="32" t="str">
        <x:f>IF(LARGE(AD174:AF174,1)-LARGE(AD174:AF174,2)&lt;0.15,"Context-dependent tie",SUBSTITUTE(INDEX($AD$4:$AF$4,1,MATCH(MAX(AD174:AF174),AD174:AF174,0))," Overall",""))</x:f>
        <x:v>Azure</x:v>
      </x:c>
      <x:c r="AH174" s="32" t="str">
        <x:f>IF(AG174="AWS","Start with AWS when infrastructure breadth, native integration and operational maturity are the main differentiators.",IF(AG174="Azure","Start with Azure when Microsoft identity, security, data, productivity or hybrid integration reduces delivery effort.",IF(AG174="GCP","Start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74" s="32" t="str">
        <x:v>Low</x:v>
      </x:c>
      <x:c r="AJ174" s="32" t="str">
        <x:v>2026-07-12</x:v>
      </x:c>
    </x:row>
    <x:row r="175">
      <x:c r="A175" s="32" t="str">
        <x:v>Central cloud backup</x:v>
      </x:c>
      <x:c r="B175" s="32" t="str">
        <x:v>05 Data Infrastructure</x:v>
      </x:c>
      <x:c r="C175" s="32" t="str">
        <x:v>Backup &amp; Disaster Recovery</x:v>
      </x:c>
      <x:c r="D175" s="32" t="str">
        <x:v>Workload</x:v>
      </x:c>
      <x:c r="E175" s="32" t="str">
        <x:v>What business outcome, scale, control, integration and operating model justify choosing central cloud backup?</x:v>
      </x:c>
      <x:c r="F175" s="32" t="str">
        <x:v>AWS Backup</x:v>
      </x:c>
      <x:c r="G175" s="32" t="str">
        <x:v>Azure Backup</x:v>
      </x:c>
      <x:c r="H175" s="32" t="str">
        <x:v>Backup and DR Service</x:v>
      </x:c>
      <x:c r="I175" s="32" t="n">
        <x:v>4.2</x:v>
      </x:c>
      <x:c r="J175" s="32" t="n">
        <x:v>3</x:v>
      </x:c>
      <x:c r="K175" s="32" t="n">
        <x:v>4.4</x:v>
      </x:c>
      <x:c r="L175" s="32" t="n">
        <x:v>4.3</x:v>
      </x:c>
      <x:c r="M175" s="32" t="n">
        <x:v>3.5</x:v>
      </x:c>
      <x:c r="N175" s="32" t="n">
        <x:v>4.6</x:v>
      </x:c>
      <x:c r="O175" s="32" t="n">
        <x:v>3.7</x:v>
      </x:c>
      <x:c r="P175" s="32" t="n">
        <x:v>4.2</x:v>
      </x:c>
      <x:c r="Q175" s="32" t="n">
        <x:v>3</x:v>
      </x:c>
      <x:c r="R175" s="32" t="n">
        <x:v>4.5</x:v>
      </x:c>
      <x:c r="S175" s="32" t="n">
        <x:v>4.5</x:v>
      </x:c>
      <x:c r="T175" s="32" t="n">
        <x:v>3.5</x:v>
      </x:c>
      <x:c r="U175" s="32" t="n">
        <x:v>4.5</x:v>
      </x:c>
      <x:c r="V175" s="32" t="n">
        <x:v>3.8</x:v>
      </x:c>
      <x:c r="W175" s="32" t="n">
        <x:v>4.2</x:v>
      </x:c>
      <x:c r="X175" s="32" t="n">
        <x:v>3</x:v>
      </x:c>
      <x:c r="Y175" s="32" t="n">
        <x:v>4.2</x:v>
      </x:c>
      <x:c r="Z175" s="32" t="n">
        <x:v>4.7</x:v>
      </x:c>
      <x:c r="AA175" s="32" t="n">
        <x:v>3.5</x:v>
      </x:c>
      <x:c r="AB175" s="32" t="n">
        <x:v>4.4</x:v>
      </x:c>
      <x:c r="AC175" s="32" t="n">
        <x:v>3.9</x:v>
      </x:c>
      <x:c r="AD175" s="32" t="n">
        <x:f>ROUND((I175*'Criteria &amp; Scoring'!$B$5+J175*'Criteria &amp; Scoring'!$B$6+K175*'Criteria &amp; Scoring'!$B$7+L175*'Criteria &amp; Scoring'!$B$8+M175*'Criteria &amp; Scoring'!$B$9+N175*'Criteria &amp; Scoring'!$B$10+O175*'Criteria &amp; Scoring'!$B$11)/SUM('Criteria &amp; Scoring'!$B$5:$B$11),2)</x:f>
        <x:v>3.95</x:v>
      </x:c>
      <x:c r="AE175" s="32" t="n">
        <x:f>ROUND((P175*'Criteria &amp; Scoring'!$B$5+Q175*'Criteria &amp; Scoring'!$B$6+R175*'Criteria &amp; Scoring'!$B$7+S175*'Criteria &amp; Scoring'!$B$8+T175*'Criteria &amp; Scoring'!$B$9+U175*'Criteria &amp; Scoring'!$B$10+V175*'Criteria &amp; Scoring'!$B$11)/SUM('Criteria &amp; Scoring'!$B$5:$B$11),2)</x:f>
        <x:v>3.99</x:v>
      </x:c>
      <x:c r="AF175" s="32" t="n">
        <x:f>ROUND((W175*'Criteria &amp; Scoring'!$B$5+X175*'Criteria &amp; Scoring'!$B$6+Y175*'Criteria &amp; Scoring'!$B$7+Z175*'Criteria &amp; Scoring'!$B$8+AA175*'Criteria &amp; Scoring'!$B$9+AB175*'Criteria &amp; Scoring'!$B$10+AC175*'Criteria &amp; Scoring'!$B$11)/SUM('Criteria &amp; Scoring'!$B$5:$B$11),2)</x:f>
        <x:v>3.97</x:v>
      </x:c>
      <x:c r="AG175" s="32" t="str">
        <x:f>IF(LARGE(AD175:AF175,1)-LARGE(AD175:AF175,2)&lt;0.15,"Context-dependent tie",SUBSTITUTE(INDEX($AD$4:$AF$4,1,MATCH(MAX(AD175:AF175),AD175:AF175,0))," Overall",""))</x:f>
        <x:v>Context-dependent tie</x:v>
      </x:c>
      <x:c r="AH175" s="32" t="str">
        <x:f>IF(AG175="AWS","Start with AWS when infrastructure breadth, native integration and operational maturity are the main differentiators.",IF(AG175="Azure","Start with Azure when Microsoft identity, security, data, productivity or hybrid integration reduces delivery effort.",IF(AG175="GCP","Start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75" s="32" t="str">
        <x:v>High</x:v>
      </x:c>
      <x:c r="AJ175" s="32" t="str">
        <x:v>2026-07-12</x:v>
      </x:c>
    </x:row>
    <x:row r="176">
      <x:c r="A176" s="32" t="str">
        <x:v>Managed disaster recovery</x:v>
      </x:c>
      <x:c r="B176" s="32" t="str">
        <x:v>05 Data Infrastructure</x:v>
      </x:c>
      <x:c r="C176" s="32" t="str">
        <x:v>Backup &amp; Disaster Recovery</x:v>
      </x:c>
      <x:c r="D176" s="32" t="str">
        <x:v>Workload</x:v>
      </x:c>
      <x:c r="E176" s="32" t="str">
        <x:v>What business outcome, scale, control, integration and operating model justify choosing managed disaster recovery?</x:v>
      </x:c>
      <x:c r="F176" s="32" t="str">
        <x:v>AWS Elastic Disaster Recovery</x:v>
      </x:c>
      <x:c r="G176" s="32" t="str">
        <x:v>Azure Site Recovery</x:v>
      </x:c>
      <x:c r="H176" s="32" t="str">
        <x:v>Backup and DR Service</x:v>
      </x:c>
      <x:c r="I176" s="32" t="n">
        <x:v>4</x:v>
      </x:c>
      <x:c r="J176" s="32" t="n">
        <x:v>3</x:v>
      </x:c>
      <x:c r="K176" s="32" t="n">
        <x:v>4.3</x:v>
      </x:c>
      <x:c r="L176" s="32" t="n">
        <x:v>4.3</x:v>
      </x:c>
      <x:c r="M176" s="32" t="n">
        <x:v>3.5</x:v>
      </x:c>
      <x:c r="N176" s="32" t="n">
        <x:v>4.5</x:v>
      </x:c>
      <x:c r="O176" s="32" t="n">
        <x:v>3.7</x:v>
      </x:c>
      <x:c r="P176" s="32" t="n">
        <x:v>4</x:v>
      </x:c>
      <x:c r="Q176" s="32" t="n">
        <x:v>3</x:v>
      </x:c>
      <x:c r="R176" s="32" t="n">
        <x:v>4.5</x:v>
      </x:c>
      <x:c r="S176" s="32" t="n">
        <x:v>4.5</x:v>
      </x:c>
      <x:c r="T176" s="32" t="n">
        <x:v>3.5</x:v>
      </x:c>
      <x:c r="U176" s="32" t="n">
        <x:v>4.4</x:v>
      </x:c>
      <x:c r="V176" s="32" t="n">
        <x:v>3.8</x:v>
      </x:c>
      <x:c r="W176" s="32" t="n">
        <x:v>4</x:v>
      </x:c>
      <x:c r="X176" s="32" t="n">
        <x:v>3</x:v>
      </x:c>
      <x:c r="Y176" s="32" t="n">
        <x:v>4.2</x:v>
      </x:c>
      <x:c r="Z176" s="32" t="n">
        <x:v>4.7</x:v>
      </x:c>
      <x:c r="AA176" s="32" t="n">
        <x:v>3.5</x:v>
      </x:c>
      <x:c r="AB176" s="32" t="n">
        <x:v>4.3</x:v>
      </x:c>
      <x:c r="AC176" s="32" t="n">
        <x:v>3.9</x:v>
      </x:c>
      <x:c r="AD176" s="32" t="n">
        <x:f>ROUND((I176*'Criteria &amp; Scoring'!$B$5+J176*'Criteria &amp; Scoring'!$B$6+K176*'Criteria &amp; Scoring'!$B$7+L176*'Criteria &amp; Scoring'!$B$8+M176*'Criteria &amp; Scoring'!$B$9+N176*'Criteria &amp; Scoring'!$B$10+O176*'Criteria &amp; Scoring'!$B$11)/SUM('Criteria &amp; Scoring'!$B$5:$B$11),2)</x:f>
        <x:v>3.88</x:v>
      </x:c>
      <x:c r="AE176" s="32" t="n">
        <x:f>ROUND((P176*'Criteria &amp; Scoring'!$B$5+Q176*'Criteria &amp; Scoring'!$B$6+R176*'Criteria &amp; Scoring'!$B$7+S176*'Criteria &amp; Scoring'!$B$8+T176*'Criteria &amp; Scoring'!$B$9+U176*'Criteria &amp; Scoring'!$B$10+V176*'Criteria &amp; Scoring'!$B$11)/SUM('Criteria &amp; Scoring'!$B$5:$B$11),2)</x:f>
        <x:v>3.93</x:v>
      </x:c>
      <x:c r="AF176" s="32" t="n">
        <x:f>ROUND((W176*'Criteria &amp; Scoring'!$B$5+X176*'Criteria &amp; Scoring'!$B$6+Y176*'Criteria &amp; Scoring'!$B$7+Z176*'Criteria &amp; Scoring'!$B$8+AA176*'Criteria &amp; Scoring'!$B$9+AB176*'Criteria &amp; Scoring'!$B$10+AC176*'Criteria &amp; Scoring'!$B$11)/SUM('Criteria &amp; Scoring'!$B$5:$B$11),2)</x:f>
        <x:v>3.91</x:v>
      </x:c>
      <x:c r="AG176" s="32" t="str">
        <x:f>IF(LARGE(AD176:AF176,1)-LARGE(AD176:AF176,2)&lt;0.15,"Context-dependent tie",SUBSTITUTE(INDEX($AD$4:$AF$4,1,MATCH(MAX(AD176:AF176),AD176:AF176,0))," Overall",""))</x:f>
        <x:v>Context-dependent tie</x:v>
      </x:c>
      <x:c r="AH176" s="32" t="str">
        <x:f>IF(AG176="AWS","Start with AWS when infrastructure breadth, native integration and operational maturity are the main differentiators.",IF(AG176="Azure","Start with Azure when Microsoft identity, security, data, productivity or hybrid integration reduces delivery effort.",IF(AG176="GCP","Start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76" s="32" t="str">
        <x:v>Medium</x:v>
      </x:c>
      <x:c r="AJ176" s="32" t="str">
        <x:v>2026-07-12</x:v>
      </x:c>
    </x:row>
    <x:row r="177">
      <x:c r="A177" s="32" t="str">
        <x:v>Online data transfer</x:v>
      </x:c>
      <x:c r="B177" s="32" t="str">
        <x:v>05 Data Infrastructure</x:v>
      </x:c>
      <x:c r="C177" s="32" t="str">
        <x:v>Data Transfer &amp; Hybrid Storage</x:v>
      </x:c>
      <x:c r="D177" s="32" t="str">
        <x:v>Workload</x:v>
      </x:c>
      <x:c r="E177" s="32" t="str">
        <x:v>What business outcome, scale, control, integration and operating model justify choosing online data transfer?</x:v>
      </x:c>
      <x:c r="F177" s="32" t="str">
        <x:v>AWS DataSync
AWS Transfer Family</x:v>
      </x:c>
      <x:c r="G177" s="32" t="str">
        <x:v>Azure Storage Mover
Azure Data Factory</x:v>
      </x:c>
      <x:c r="H177" s="32" t="str">
        <x:v>Storage Transfer Service
Data Transfer Essentials</x:v>
      </x:c>
      <x:c r="I177" s="32" t="n">
        <x:v>3.9</x:v>
      </x:c>
      <x:c r="J177" s="32" t="n">
        <x:v>2.9</x:v>
      </x:c>
      <x:c r="K177" s="32" t="n">
        <x:v>4.4</x:v>
      </x:c>
      <x:c r="L177" s="32" t="n">
        <x:v>4.3</x:v>
      </x:c>
      <x:c r="M177" s="32" t="n">
        <x:v>3.5</x:v>
      </x:c>
      <x:c r="N177" s="32" t="n">
        <x:v>4.5</x:v>
      </x:c>
      <x:c r="O177" s="32" t="n">
        <x:v>3.3</x:v>
      </x:c>
      <x:c r="P177" s="32" t="n">
        <x:v>4.3</x:v>
      </x:c>
      <x:c r="Q177" s="32" t="n">
        <x:v>3.3</x:v>
      </x:c>
      <x:c r="R177" s="32" t="n">
        <x:v>4.7</x:v>
      </x:c>
      <x:c r="S177" s="32" t="n">
        <x:v>4.4</x:v>
      </x:c>
      <x:c r="T177" s="32" t="n">
        <x:v>3.7</x:v>
      </x:c>
      <x:c r="U177" s="32" t="n">
        <x:v>4.5</x:v>
      </x:c>
      <x:c r="V177" s="32" t="n">
        <x:v>3.4</x:v>
      </x:c>
      <x:c r="W177" s="32" t="n">
        <x:v>3.9</x:v>
      </x:c>
      <x:c r="X177" s="32" t="n">
        <x:v>2.9</x:v>
      </x:c>
      <x:c r="Y177" s="32" t="n">
        <x:v>4.3</x:v>
      </x:c>
      <x:c r="Z177" s="32" t="n">
        <x:v>4.6</x:v>
      </x:c>
      <x:c r="AA177" s="32" t="n">
        <x:v>3.5</x:v>
      </x:c>
      <x:c r="AB177" s="32" t="n">
        <x:v>4.2</x:v>
      </x:c>
      <x:c r="AC177" s="32" t="n">
        <x:v>3.4</x:v>
      </x:c>
      <x:c r="AD177" s="32" t="n">
        <x:f>ROUND((I177*'Criteria &amp; Scoring'!$B$5+J177*'Criteria &amp; Scoring'!$B$6+K177*'Criteria &amp; Scoring'!$B$7+L177*'Criteria &amp; Scoring'!$B$8+M177*'Criteria &amp; Scoring'!$B$9+N177*'Criteria &amp; Scoring'!$B$10+O177*'Criteria &amp; Scoring'!$B$11)/SUM('Criteria &amp; Scoring'!$B$5:$B$11),2)</x:f>
        <x:v>3.83</x:v>
      </x:c>
      <x:c r="AE177" s="32" t="n">
        <x:f>ROUND((P177*'Criteria &amp; Scoring'!$B$5+Q177*'Criteria &amp; Scoring'!$B$6+R177*'Criteria &amp; Scoring'!$B$7+S177*'Criteria &amp; Scoring'!$B$8+T177*'Criteria &amp; Scoring'!$B$9+U177*'Criteria &amp; Scoring'!$B$10+V177*'Criteria &amp; Scoring'!$B$11)/SUM('Criteria &amp; Scoring'!$B$5:$B$11),2)</x:f>
        <x:v>4.09</x:v>
      </x:c>
      <x:c r="AF177" s="32" t="n">
        <x:f>ROUND((W177*'Criteria &amp; Scoring'!$B$5+X177*'Criteria &amp; Scoring'!$B$6+Y177*'Criteria &amp; Scoring'!$B$7+Z177*'Criteria &amp; Scoring'!$B$8+AA177*'Criteria &amp; Scoring'!$B$9+AB177*'Criteria &amp; Scoring'!$B$10+AC177*'Criteria &amp; Scoring'!$B$11)/SUM('Criteria &amp; Scoring'!$B$5:$B$11),2)</x:f>
        <x:v>3.83</x:v>
      </x:c>
      <x:c r="AG177" s="32" t="str">
        <x:f>IF(LARGE(AD177:AF177,1)-LARGE(AD177:AF177,2)&lt;0.15,"Context-dependent tie",SUBSTITUTE(INDEX($AD$4:$AF$4,1,MATCH(MAX(AD177:AF177),AD177:AF177,0))," Overall",""))</x:f>
        <x:v>Azure</x:v>
      </x:c>
      <x:c r="AH177" s="32" t="str">
        <x:f>IF(AG177="AWS","Start with AWS when infrastructure breadth, native integration and operational maturity are the main differentiators.",IF(AG177="Azure","Start with Azure when Microsoft identity, security, data, productivity or hybrid integration reduces delivery effort.",IF(AG177="GCP","Start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77" s="32" t="str">
        <x:v>Medium</x:v>
      </x:c>
      <x:c r="AJ177" s="32" t="str">
        <x:v>2026-07-12</x:v>
      </x:c>
    </x:row>
    <x:row r="178">
      <x:c r="A178" s="32" t="str">
        <x:v>Offline data transfer appliance</x:v>
      </x:c>
      <x:c r="B178" s="32" t="str">
        <x:v>05 Data Infrastructure</x:v>
      </x:c>
      <x:c r="C178" s="32" t="str">
        <x:v>Data Transfer &amp; Hybrid Storage</x:v>
      </x:c>
      <x:c r="D178" s="32" t="str">
        <x:v>Workload</x:v>
      </x:c>
      <x:c r="E178" s="32" t="str">
        <x:v>What business outcome, scale, control, integration and operating model justify choosing offline data transfer appliance?</x:v>
      </x:c>
      <x:c r="F178" s="32" t="str">
        <x:v>AWS Snow Family</x:v>
      </x:c>
      <x:c r="G178" s="32" t="str">
        <x:v>Azure Data Box</x:v>
      </x:c>
      <x:c r="H178" s="32" t="str">
        <x:v>Transfer Appliance</x:v>
      </x:c>
      <x:c r="I178" s="32" t="n">
        <x:v>4.2</x:v>
      </x:c>
      <x:c r="J178" s="32" t="n">
        <x:v>3</x:v>
      </x:c>
      <x:c r="K178" s="32" t="n">
        <x:v>4.6</x:v>
      </x:c>
      <x:c r="L178" s="32" t="n">
        <x:v>4.3</x:v>
      </x:c>
      <x:c r="M178" s="32" t="n">
        <x:v>3.5</x:v>
      </x:c>
      <x:c r="N178" s="32" t="n">
        <x:v>4.8</x:v>
      </x:c>
      <x:c r="O178" s="32" t="n">
        <x:v>3.4</x:v>
      </x:c>
      <x:c r="P178" s="32" t="n">
        <x:v>4.7</x:v>
      </x:c>
      <x:c r="Q178" s="32" t="n">
        <x:v>3.4</x:v>
      </x:c>
      <x:c r="R178" s="32" t="n">
        <x:v>4.8</x:v>
      </x:c>
      <x:c r="S178" s="32" t="n">
        <x:v>4.5</x:v>
      </x:c>
      <x:c r="T178" s="32" t="n">
        <x:v>3.7</x:v>
      </x:c>
      <x:c r="U178" s="32" t="n">
        <x:v>4.7</x:v>
      </x:c>
      <x:c r="V178" s="32" t="n">
        <x:v>3.5</x:v>
      </x:c>
      <x:c r="W178" s="32" t="n">
        <x:v>4.2</x:v>
      </x:c>
      <x:c r="X178" s="32" t="n">
        <x:v>3</x:v>
      </x:c>
      <x:c r="Y178" s="32" t="n">
        <x:v>4.5</x:v>
      </x:c>
      <x:c r="Z178" s="32" t="n">
        <x:v>4.7</x:v>
      </x:c>
      <x:c r="AA178" s="32" t="n">
        <x:v>3.5</x:v>
      </x:c>
      <x:c r="AB178" s="32" t="n">
        <x:v>4.4</x:v>
      </x:c>
      <x:c r="AC178" s="32" t="n">
        <x:v>3.5</x:v>
      </x:c>
      <x:c r="AD178" s="32" t="n">
        <x:f>ROUND((I178*'Criteria &amp; Scoring'!$B$5+J178*'Criteria &amp; Scoring'!$B$6+K178*'Criteria &amp; Scoring'!$B$7+L178*'Criteria &amp; Scoring'!$B$8+M178*'Criteria &amp; Scoring'!$B$9+N178*'Criteria &amp; Scoring'!$B$10+O178*'Criteria &amp; Scoring'!$B$11)/SUM('Criteria &amp; Scoring'!$B$5:$B$11),2)</x:f>
        <x:v>3.99</x:v>
      </x:c>
      <x:c r="AE178" s="32" t="n">
        <x:f>ROUND((P178*'Criteria &amp; Scoring'!$B$5+Q178*'Criteria &amp; Scoring'!$B$6+R178*'Criteria &amp; Scoring'!$B$7+S178*'Criteria &amp; Scoring'!$B$8+T178*'Criteria &amp; Scoring'!$B$9+U178*'Criteria &amp; Scoring'!$B$10+V178*'Criteria &amp; Scoring'!$B$11)/SUM('Criteria &amp; Scoring'!$B$5:$B$11),2)</x:f>
        <x:v>4.26</x:v>
      </x:c>
      <x:c r="AF178" s="32" t="n">
        <x:f>ROUND((W178*'Criteria &amp; Scoring'!$B$5+X178*'Criteria &amp; Scoring'!$B$6+Y178*'Criteria &amp; Scoring'!$B$7+Z178*'Criteria &amp; Scoring'!$B$8+AA178*'Criteria &amp; Scoring'!$B$9+AB178*'Criteria &amp; Scoring'!$B$10+AC178*'Criteria &amp; Scoring'!$B$11)/SUM('Criteria &amp; Scoring'!$B$5:$B$11),2)</x:f>
        <x:v>4</x:v>
      </x:c>
      <x:c r="AG178" s="32" t="str">
        <x:f>IF(LARGE(AD178:AF178,1)-LARGE(AD178:AF178,2)&lt;0.15,"Context-dependent tie",SUBSTITUTE(INDEX($AD$4:$AF$4,1,MATCH(MAX(AD178:AF178),AD178:AF178,0))," Overall",""))</x:f>
        <x:v>Azure</x:v>
      </x:c>
      <x:c r="AH178" s="32" t="str">
        <x:f>IF(AG178="AWS","Start with AWS when infrastructure breadth, native integration and operational maturity are the main differentiators.",IF(AG178="Azure","Start with Azure when Microsoft identity, security, data, productivity or hybrid integration reduces delivery effort.",IF(AG178="GCP","Start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78" s="32" t="str">
        <x:v>High</x:v>
      </x:c>
      <x:c r="AJ178" s="32" t="str">
        <x:v>2026-07-12</x:v>
      </x:c>
    </x:row>
    <x:row r="179">
      <x:c r="A179" s="32" t="str">
        <x:v>Storage resource management</x:v>
      </x:c>
      <x:c r="B179" s="32" t="str">
        <x:v>05 Data Infrastructure</x:v>
      </x:c>
      <x:c r="C179" s="32" t="str">
        <x:v>Data Transfer &amp; Hybrid Storage</x:v>
      </x:c>
      <x:c r="D179" s="32" t="str">
        <x:v>Workload</x:v>
      </x:c>
      <x:c r="E179" s="32" t="str">
        <x:v>What business outcome, scale, control, integration and operating model justify choosing storage resource management?</x:v>
      </x:c>
      <x:c r="F179" s="32" t="str">
        <x:v>Amazon S3 Storage Lens
AWS DataSync Discovery</x:v>
      </x:c>
      <x:c r="G179" s="32" t="str">
        <x:v>Azure Storage Actions
Azure Storage Discovery</x:v>
      </x:c>
      <x:c r="H179" s="32" t="str">
        <x:v>Storage Insights / Cloud Asset Inventory</x:v>
      </x:c>
      <x:c r="I179" s="32" t="n">
        <x:v>3.4</x:v>
      </x:c>
      <x:c r="J179" s="32" t="n">
        <x:v>2.9</x:v>
      </x:c>
      <x:c r="K179" s="32" t="n">
        <x:v>4.2</x:v>
      </x:c>
      <x:c r="L179" s="32" t="n">
        <x:v>4.3</x:v>
      </x:c>
      <x:c r="M179" s="32" t="n">
        <x:v>3.5</x:v>
      </x:c>
      <x:c r="N179" s="32" t="n">
        <x:v>4.3</x:v>
      </x:c>
      <x:c r="O179" s="32" t="n">
        <x:v>3.3</x:v>
      </x:c>
      <x:c r="P179" s="32" t="n">
        <x:v>3.9</x:v>
      </x:c>
      <x:c r="Q179" s="32" t="n">
        <x:v>3.3</x:v>
      </x:c>
      <x:c r="R179" s="32" t="n">
        <x:v>4.4</x:v>
      </x:c>
      <x:c r="S179" s="32" t="n">
        <x:v>4.4</x:v>
      </x:c>
      <x:c r="T179" s="32" t="n">
        <x:v>3.7</x:v>
      </x:c>
      <x:c r="U179" s="32" t="n">
        <x:v>4.3</x:v>
      </x:c>
      <x:c r="V179" s="32" t="n">
        <x:v>3.4</x:v>
      </x:c>
      <x:c r="W179" s="32" t="n">
        <x:v>3.4</x:v>
      </x:c>
      <x:c r="X179" s="32" t="n">
        <x:v>2.9</x:v>
      </x:c>
      <x:c r="Y179" s="32" t="n">
        <x:v>4.1</x:v>
      </x:c>
      <x:c r="Z179" s="32" t="n">
        <x:v>4.6</x:v>
      </x:c>
      <x:c r="AA179" s="32" t="n">
        <x:v>3.5</x:v>
      </x:c>
      <x:c r="AB179" s="32" t="n">
        <x:v>4</x:v>
      </x:c>
      <x:c r="AC179" s="32" t="n">
        <x:v>3.4</x:v>
      </x:c>
      <x:c r="AD179" s="32" t="n">
        <x:f>ROUND((I179*'Criteria &amp; Scoring'!$B$5+J179*'Criteria &amp; Scoring'!$B$6+K179*'Criteria &amp; Scoring'!$B$7+L179*'Criteria &amp; Scoring'!$B$8+M179*'Criteria &amp; Scoring'!$B$9+N179*'Criteria &amp; Scoring'!$B$10+O179*'Criteria &amp; Scoring'!$B$11)/SUM('Criteria &amp; Scoring'!$B$5:$B$11),2)</x:f>
        <x:v>3.65</x:v>
      </x:c>
      <x:c r="AE179" s="32" t="n">
        <x:f>ROUND((P179*'Criteria &amp; Scoring'!$B$5+Q179*'Criteria &amp; Scoring'!$B$6+R179*'Criteria &amp; Scoring'!$B$7+S179*'Criteria &amp; Scoring'!$B$8+T179*'Criteria &amp; Scoring'!$B$9+U179*'Criteria &amp; Scoring'!$B$10+V179*'Criteria &amp; Scoring'!$B$11)/SUM('Criteria &amp; Scoring'!$B$5:$B$11),2)</x:f>
        <x:v>3.93</x:v>
      </x:c>
      <x:c r="AF179" s="32" t="n">
        <x:f>ROUND((W179*'Criteria &amp; Scoring'!$B$5+X179*'Criteria &amp; Scoring'!$B$6+Y179*'Criteria &amp; Scoring'!$B$7+Z179*'Criteria &amp; Scoring'!$B$8+AA179*'Criteria &amp; Scoring'!$B$9+AB179*'Criteria &amp; Scoring'!$B$10+AC179*'Criteria &amp; Scoring'!$B$11)/SUM('Criteria &amp; Scoring'!$B$5:$B$11),2)</x:f>
        <x:v>3.66</x:v>
      </x:c>
      <x:c r="AG179" s="32" t="str">
        <x:f>IF(LARGE(AD179:AF179,1)-LARGE(AD179:AF179,2)&lt;0.15,"Context-dependent tie",SUBSTITUTE(INDEX($AD$4:$AF$4,1,MATCH(MAX(AD179:AF179),AD179:AF179,0))," Overall",""))</x:f>
        <x:v>Azure</x:v>
      </x:c>
      <x:c r="AH179" s="32" t="str">
        <x:f>IF(AG179="AWS","Start with AWS when infrastructure breadth, native integration and operational maturity are the main differentiators.",IF(AG179="Azure","Start with Azure when Microsoft identity, security, data, productivity or hybrid integration reduces delivery effort.",IF(AG179="GCP","Start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79" s="32" t="str">
        <x:v>Low</x:v>
      </x:c>
      <x:c r="AJ179" s="32" t="str">
        <x:v>2026-07-12</x:v>
      </x:c>
    </x:row>
    <x:row r="180">
      <x:c r="A180" s="32" t="str">
        <x:v>Managed cloud SAN</x:v>
      </x:c>
      <x:c r="B180" s="32" t="str">
        <x:v>05 Data Infrastructure</x:v>
      </x:c>
      <x:c r="C180" s="32" t="str">
        <x:v>Block &amp; Local Storage</x:v>
      </x:c>
      <x:c r="D180" s="32" t="str">
        <x:v>Workload</x:v>
      </x:c>
      <x:c r="E180" s="32" t="str">
        <x:v>What business outcome, scale, control, integration and operating model justify choosing managed cloud san?</x:v>
      </x:c>
      <x:c r="F180" s="32" t="str">
        <x:v>Amazon EBS / FSx</x:v>
      </x:c>
      <x:c r="G180" s="32" t="str">
        <x:v>Azure Elastic SAN</x:v>
      </x:c>
      <x:c r="H180" s="32" t="str">
        <x:v>Hyperdisk Storage Pools</x:v>
      </x:c>
      <x:c r="I180" s="32" t="n">
        <x:v>3.4</x:v>
      </x:c>
      <x:c r="J180" s="32" t="n">
        <x:v>2.9</x:v>
      </x:c>
      <x:c r="K180" s="32" t="n">
        <x:v>4.2</x:v>
      </x:c>
      <x:c r="L180" s="32" t="n">
        <x:v>4.3</x:v>
      </x:c>
      <x:c r="M180" s="32" t="n">
        <x:v>3.5</x:v>
      </x:c>
      <x:c r="N180" s="32" t="n">
        <x:v>4.3</x:v>
      </x:c>
      <x:c r="O180" s="32" t="n">
        <x:v>3.6</x:v>
      </x:c>
      <x:c r="P180" s="32" t="n">
        <x:v>3.5</x:v>
      </x:c>
      <x:c r="Q180" s="32" t="n">
        <x:v>3</x:v>
      </x:c>
      <x:c r="R180" s="32" t="n">
        <x:v>4.2</x:v>
      </x:c>
      <x:c r="S180" s="32" t="n">
        <x:v>4.5</x:v>
      </x:c>
      <x:c r="T180" s="32" t="n">
        <x:v>3.5</x:v>
      </x:c>
      <x:c r="U180" s="32" t="n">
        <x:v>4.2</x:v>
      </x:c>
      <x:c r="V180" s="32" t="n">
        <x:v>3.8</x:v>
      </x:c>
      <x:c r="W180" s="32" t="n">
        <x:v>3.5</x:v>
      </x:c>
      <x:c r="X180" s="32" t="n">
        <x:v>3</x:v>
      </x:c>
      <x:c r="Y180" s="32" t="n">
        <x:v>3.9</x:v>
      </x:c>
      <x:c r="Z180" s="32" t="n">
        <x:v>4.7</x:v>
      </x:c>
      <x:c r="AA180" s="32" t="n">
        <x:v>3.5</x:v>
      </x:c>
      <x:c r="AB180" s="32" t="n">
        <x:v>4.1</x:v>
      </x:c>
      <x:c r="AC180" s="32" t="n">
        <x:v>3.9</x:v>
      </x:c>
      <x:c r="AD180" s="32" t="n">
        <x:f>ROUND((I180*'Criteria &amp; Scoring'!$B$5+J180*'Criteria &amp; Scoring'!$B$6+K180*'Criteria &amp; Scoring'!$B$7+L180*'Criteria &amp; Scoring'!$B$8+M180*'Criteria &amp; Scoring'!$B$9+N180*'Criteria &amp; Scoring'!$B$10+O180*'Criteria &amp; Scoring'!$B$11)/SUM('Criteria &amp; Scoring'!$B$5:$B$11),2)</x:f>
        <x:v>3.67</x:v>
      </x:c>
      <x:c r="AE180" s="32" t="n">
        <x:f>ROUND((P180*'Criteria &amp; Scoring'!$B$5+Q180*'Criteria &amp; Scoring'!$B$6+R180*'Criteria &amp; Scoring'!$B$7+S180*'Criteria &amp; Scoring'!$B$8+T180*'Criteria &amp; Scoring'!$B$9+U180*'Criteria &amp; Scoring'!$B$10+V180*'Criteria &amp; Scoring'!$B$11)/SUM('Criteria &amp; Scoring'!$B$5:$B$11),2)</x:f>
        <x:v>3.74</x:v>
      </x:c>
      <x:c r="AF180" s="32" t="n">
        <x:f>ROUND((W180*'Criteria &amp; Scoring'!$B$5+X180*'Criteria &amp; Scoring'!$B$6+Y180*'Criteria &amp; Scoring'!$B$7+Z180*'Criteria &amp; Scoring'!$B$8+AA180*'Criteria &amp; Scoring'!$B$9+AB180*'Criteria &amp; Scoring'!$B$10+AC180*'Criteria &amp; Scoring'!$B$11)/SUM('Criteria &amp; Scoring'!$B$5:$B$11),2)</x:f>
        <x:v>3.72</x:v>
      </x:c>
      <x:c r="AG180" s="32" t="str">
        <x:f>IF(LARGE(AD180:AF180,1)-LARGE(AD180:AF180,2)&lt;0.15,"Context-dependent tie",SUBSTITUTE(INDEX($AD$4:$AF$4,1,MATCH(MAX(AD180:AF180),AD180:AF180,0))," Overall",""))</x:f>
        <x:v>Context-dependent tie</x:v>
      </x:c>
      <x:c r="AH180" s="32" t="str">
        <x:f>IF(AG180="AWS","Start with AWS when infrastructure breadth, native integration and operational maturity are the main differentiators.",IF(AG180="Azure","Start with Azure when Microsoft identity, security, data, productivity or hybrid integration reduces delivery effort.",IF(AG180="GCP","Start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80" s="32" t="str">
        <x:v>Low</x:v>
      </x:c>
      <x:c r="AJ180" s="32" t="str">
        <x:v>2026-07-12</x:v>
      </x:c>
    </x:row>
    <x:row r="181">
      <x:c r="A181" s="32" t="str">
        <x:v>Cloud data warehouse</x:v>
      </x:c>
      <x:c r="B181" s="32" t="str">
        <x:v>06 Data Platform, Analytics &amp; BI</x:v>
      </x:c>
      <x:c r="C181" s="32" t="str">
        <x:v>Data Lake, Warehouse &amp; Lakehouse</x:v>
      </x:c>
      <x:c r="D181" s="32" t="str">
        <x:v>Platform</x:v>
      </x:c>
      <x:c r="E181" s="32" t="str">
        <x:v>Is the primary need governed BI, open data-lake processing, real-time analytics, or one unified lakehouse?</x:v>
      </x:c>
      <x:c r="F181" s="32" t="str">
        <x:v>Amazon Redshift
Amazon Redshift Serverless</x:v>
      </x:c>
      <x:c r="G181" s="32" t="str">
        <x:v>Azure Synapse Analytics
Microsoft Fabric Warehouse</x:v>
      </x:c>
      <x:c r="H181" s="32" t="str">
        <x:v>BigQuery</x:v>
      </x:c>
      <x:c r="I181" s="32" t="n">
        <x:v>3.9</x:v>
      </x:c>
      <x:c r="J181" s="32" t="n">
        <x:v>2.9</x:v>
      </x:c>
      <x:c r="K181" s="32" t="n">
        <x:v>4.2</x:v>
      </x:c>
      <x:c r="L181" s="32" t="n">
        <x:v>4.3</x:v>
      </x:c>
      <x:c r="M181" s="32" t="n">
        <x:v>3.1</x:v>
      </x:c>
      <x:c r="N181" s="32" t="n">
        <x:v>4.4</x:v>
      </x:c>
      <x:c r="O181" s="32" t="n">
        <x:v>3.6</x:v>
      </x:c>
      <x:c r="P181" s="32" t="n">
        <x:v>3.9</x:v>
      </x:c>
      <x:c r="Q181" s="32" t="n">
        <x:v>3</x:v>
      </x:c>
      <x:c r="R181" s="32" t="n">
        <x:v>4.4</x:v>
      </x:c>
      <x:c r="S181" s="32" t="n">
        <x:v>4.4</x:v>
      </x:c>
      <x:c r="T181" s="32" t="n">
        <x:v>3.1</x:v>
      </x:c>
      <x:c r="U181" s="32" t="n">
        <x:v>4.3</x:v>
      </x:c>
      <x:c r="V181" s="32" t="n">
        <x:v>3.7</x:v>
      </x:c>
      <x:c r="W181" s="32" t="n">
        <x:v>4.5</x:v>
      </x:c>
      <x:c r="X181" s="32" t="n">
        <x:v>3.4</x:v>
      </x:c>
      <x:c r="Y181" s="32" t="n">
        <x:v>4.4</x:v>
      </x:c>
      <x:c r="Z181" s="32" t="n">
        <x:v>4.7</x:v>
      </x:c>
      <x:c r="AA181" s="32" t="n">
        <x:v>3.1</x:v>
      </x:c>
      <x:c r="AB181" s="32" t="n">
        <x:v>4.6</x:v>
      </x:c>
      <x:c r="AC181" s="32" t="n">
        <x:v>3.9</x:v>
      </x:c>
      <x:c r="AD181" s="32" t="n">
        <x:f>ROUND((I181*'Criteria &amp; Scoring'!$B$5+J181*'Criteria &amp; Scoring'!$B$6+K181*'Criteria &amp; Scoring'!$B$7+L181*'Criteria &amp; Scoring'!$B$8+M181*'Criteria &amp; Scoring'!$B$9+N181*'Criteria &amp; Scoring'!$B$10+O181*'Criteria &amp; Scoring'!$B$11)/SUM('Criteria &amp; Scoring'!$B$5:$B$11),2)</x:f>
        <x:v>3.76</x:v>
      </x:c>
      <x:c r="AE181" s="32" t="n">
        <x:f>ROUND((P181*'Criteria &amp; Scoring'!$B$5+Q181*'Criteria &amp; Scoring'!$B$6+R181*'Criteria &amp; Scoring'!$B$7+S181*'Criteria &amp; Scoring'!$B$8+T181*'Criteria &amp; Scoring'!$B$9+U181*'Criteria &amp; Scoring'!$B$10+V181*'Criteria &amp; Scoring'!$B$11)/SUM('Criteria &amp; Scoring'!$B$5:$B$11),2)</x:f>
        <x:v>3.82</x:v>
      </x:c>
      <x:c r="AF181" s="32" t="n">
        <x:f>ROUND((W181*'Criteria &amp; Scoring'!$B$5+X181*'Criteria &amp; Scoring'!$B$6+Y181*'Criteria &amp; Scoring'!$B$7+Z181*'Criteria &amp; Scoring'!$B$8+AA181*'Criteria &amp; Scoring'!$B$9+AB181*'Criteria &amp; Scoring'!$B$10+AC181*'Criteria &amp; Scoring'!$B$11)/SUM('Criteria &amp; Scoring'!$B$5:$B$11),2)</x:f>
        <x:v>4.14</x:v>
      </x:c>
      <x:c r="AG181" s="32" t="str">
        <x:f>IF(LARGE(AD181:AF181,1)-LARGE(AD181:AF181,2)&lt;0.15,"Context-dependent tie",SUBSTITUTE(INDEX($AD$4:$AF$4,1,MATCH(MAX(AD181:AF181),AD181:AF181,0))," Overall",""))</x:f>
        <x:v>GCP</x:v>
      </x:c>
      <x:c r="AH181" s="32" t="str">
        <x:f>IF(AG181="AWS","Start with AWS when infrastructure breadth, native integration and operational maturity are the main differentiators.",IF(AG181="Azure","Start with Azure when Microsoft identity, security, data, productivity or hybrid integration reduces delivery effort.",IF(AG181="GCP","Start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181" s="32" t="str">
        <x:v>Medium</x:v>
      </x:c>
      <x:c r="AJ181" s="32" t="str">
        <x:v>2026-07-12</x:v>
      </x:c>
    </x:row>
    <x:row r="182">
      <x:c r="A182" s="32" t="str">
        <x:v>Lakehouse platform</x:v>
      </x:c>
      <x:c r="B182" s="32" t="str">
        <x:v>06 Data Platform, Analytics &amp; BI</x:v>
      </x:c>
      <x:c r="C182" s="32" t="str">
        <x:v>Data Lake, Warehouse &amp; Lakehouse</x:v>
      </x:c>
      <x:c r="D182" s="32" t="str">
        <x:v>Platform</x:v>
      </x:c>
      <x:c r="E182" s="32" t="str">
        <x:v>Is the primary need governed BI, open data-lake processing, real-time analytics, or one unified lakehouse?</x:v>
      </x:c>
      <x:c r="F182" s="32" t="str">
        <x:v>Amazon S3
AWS Lake Formation
Amazon Redshift
AWS Glue</x:v>
      </x:c>
      <x:c r="G182" s="32" t="str">
        <x:v>Microsoft Fabric
Azure Databricks
Azure Data Lake Storage</x:v>
      </x:c>
      <x:c r="H182" s="32" t="str">
        <x:v>BigQuery Lakehouse
Lakehouse</x:v>
      </x:c>
      <x:c r="I182" s="32" t="n">
        <x:v>3.9</x:v>
      </x:c>
      <x:c r="J182" s="32" t="n">
        <x:v>2.9</x:v>
      </x:c>
      <x:c r="K182" s="32" t="n">
        <x:v>4.2</x:v>
      </x:c>
      <x:c r="L182" s="32" t="n">
        <x:v>4.3</x:v>
      </x:c>
      <x:c r="M182" s="32" t="n">
        <x:v>3.5</x:v>
      </x:c>
      <x:c r="N182" s="32" t="n">
        <x:v>4.4</x:v>
      </x:c>
      <x:c r="O182" s="32" t="n">
        <x:v>3.6</x:v>
      </x:c>
      <x:c r="P182" s="32" t="n">
        <x:v>3.9</x:v>
      </x:c>
      <x:c r="Q182" s="32" t="n">
        <x:v>3</x:v>
      </x:c>
      <x:c r="R182" s="32" t="n">
        <x:v>4.4</x:v>
      </x:c>
      <x:c r="S182" s="32" t="n">
        <x:v>4.4</x:v>
      </x:c>
      <x:c r="T182" s="32" t="n">
        <x:v>3.5</x:v>
      </x:c>
      <x:c r="U182" s="32" t="n">
        <x:v>4.3</x:v>
      </x:c>
      <x:c r="V182" s="32" t="n">
        <x:v>3.7</x:v>
      </x:c>
      <x:c r="W182" s="32" t="n">
        <x:v>4.3</x:v>
      </x:c>
      <x:c r="X182" s="32" t="n">
        <x:v>3.3</x:v>
      </x:c>
      <x:c r="Y182" s="32" t="n">
        <x:v>4.3</x:v>
      </x:c>
      <x:c r="Z182" s="32" t="n">
        <x:v>4.6</x:v>
      </x:c>
      <x:c r="AA182" s="32" t="n">
        <x:v>3.5</x:v>
      </x:c>
      <x:c r="AB182" s="32" t="n">
        <x:v>4.5</x:v>
      </x:c>
      <x:c r="AC182" s="32" t="n">
        <x:v>3.8</x:v>
      </x:c>
      <x:c r="AD182" s="32" t="n">
        <x:f>ROUND((I182*'Criteria &amp; Scoring'!$B$5+J182*'Criteria &amp; Scoring'!$B$6+K182*'Criteria &amp; Scoring'!$B$7+L182*'Criteria &amp; Scoring'!$B$8+M182*'Criteria &amp; Scoring'!$B$9+N182*'Criteria &amp; Scoring'!$B$10+O182*'Criteria &amp; Scoring'!$B$11)/SUM('Criteria &amp; Scoring'!$B$5:$B$11),2)</x:f>
        <x:v>3.8</x:v>
      </x:c>
      <x:c r="AE182" s="32" t="n">
        <x:f>ROUND((P182*'Criteria &amp; Scoring'!$B$5+Q182*'Criteria &amp; Scoring'!$B$6+R182*'Criteria &amp; Scoring'!$B$7+S182*'Criteria &amp; Scoring'!$B$8+T182*'Criteria &amp; Scoring'!$B$9+U182*'Criteria &amp; Scoring'!$B$10+V182*'Criteria &amp; Scoring'!$B$11)/SUM('Criteria &amp; Scoring'!$B$5:$B$11),2)</x:f>
        <x:v>3.86</x:v>
      </x:c>
      <x:c r="AF182" s="32" t="n">
        <x:f>ROUND((W182*'Criteria &amp; Scoring'!$B$5+X182*'Criteria &amp; Scoring'!$B$6+Y182*'Criteria &amp; Scoring'!$B$7+Z182*'Criteria &amp; Scoring'!$B$8+AA182*'Criteria &amp; Scoring'!$B$9+AB182*'Criteria &amp; Scoring'!$B$10+AC182*'Criteria &amp; Scoring'!$B$11)/SUM('Criteria &amp; Scoring'!$B$5:$B$11),2)</x:f>
        <x:v>4.06</x:v>
      </x:c>
      <x:c r="AG182" s="32" t="str">
        <x:f>IF(LARGE(AD182:AF182,1)-LARGE(AD182:AF182,2)&lt;0.15,"Context-dependent tie",SUBSTITUTE(INDEX($AD$4:$AF$4,1,MATCH(MAX(AD182:AF182),AD182:AF182,0))," Overall",""))</x:f>
        <x:v>GCP</x:v>
      </x:c>
      <x:c r="AH182" s="32" t="str">
        <x:f>IF(AG182="AWS","Start with AWS when infrastructure breadth, native integration and operational maturity are the main differentiators.",IF(AG182="Azure","Start with Azure when Microsoft identity, security, data, productivity or hybrid integration reduces delivery effort.",IF(AG182="GCP","Start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182" s="32" t="str">
        <x:v>Medium</x:v>
      </x:c>
      <x:c r="AJ182" s="32" t="str">
        <x:v>2026-07-12</x:v>
      </x:c>
    </x:row>
    <x:row r="183">
      <x:c r="A183" s="32" t="str">
        <x:v>Cloud data lake storage</x:v>
      </x:c>
      <x:c r="B183" s="32" t="str">
        <x:v>06 Data Platform, Analytics &amp; BI</x:v>
      </x:c>
      <x:c r="C183" s="32" t="str">
        <x:v>Data Lake, Warehouse &amp; Lakehouse</x:v>
      </x:c>
      <x:c r="D183" s="32" t="str">
        <x:v>Workload</x:v>
      </x:c>
      <x:c r="E183" s="32" t="str">
        <x:v>Is the primary need governed BI, open data-lake processing, real-time analytics, or one unified lakehouse?</x:v>
      </x:c>
      <x:c r="F183" s="32" t="str">
        <x:v>Amazon S3
AWS Lake Formation</x:v>
      </x:c>
      <x:c r="G183" s="32" t="str">
        <x:v>Azure Data Lake Storage</x:v>
      </x:c>
      <x:c r="H183" s="32" t="str">
        <x:v>Cloud Storage
BigLake</x:v>
      </x:c>
      <x:c r="I183" s="32" t="n">
        <x:v>3.9</x:v>
      </x:c>
      <x:c r="J183" s="32" t="n">
        <x:v>2.9</x:v>
      </x:c>
      <x:c r="K183" s="32" t="n">
        <x:v>4.4</x:v>
      </x:c>
      <x:c r="L183" s="32" t="n">
        <x:v>4.3</x:v>
      </x:c>
      <x:c r="M183" s="32" t="n">
        <x:v>3.5</x:v>
      </x:c>
      <x:c r="N183" s="32" t="n">
        <x:v>4.5</x:v>
      </x:c>
      <x:c r="O183" s="32" t="n">
        <x:v>3.6</x:v>
      </x:c>
      <x:c r="P183" s="32" t="n">
        <x:v>4</x:v>
      </x:c>
      <x:c r="Q183" s="32" t="n">
        <x:v>3.1</x:v>
      </x:c>
      <x:c r="R183" s="32" t="n">
        <x:v>4.5</x:v>
      </x:c>
      <x:c r="S183" s="32" t="n">
        <x:v>4.5</x:v>
      </x:c>
      <x:c r="T183" s="32" t="n">
        <x:v>3.5</x:v>
      </x:c>
      <x:c r="U183" s="32" t="n">
        <x:v>4.4</x:v>
      </x:c>
      <x:c r="V183" s="32" t="n">
        <x:v>3.8</x:v>
      </x:c>
      <x:c r="W183" s="32" t="n">
        <x:v>4.3</x:v>
      </x:c>
      <x:c r="X183" s="32" t="n">
        <x:v>3.3</x:v>
      </x:c>
      <x:c r="Y183" s="32" t="n">
        <x:v>4.3</x:v>
      </x:c>
      <x:c r="Z183" s="32" t="n">
        <x:v>4.6</x:v>
      </x:c>
      <x:c r="AA183" s="32" t="n">
        <x:v>3.5</x:v>
      </x:c>
      <x:c r="AB183" s="32" t="n">
        <x:v>4.5</x:v>
      </x:c>
      <x:c r="AC183" s="32" t="n">
        <x:v>3.8</x:v>
      </x:c>
      <x:c r="AD183" s="32" t="n">
        <x:f>ROUND((I183*'Criteria &amp; Scoring'!$B$5+J183*'Criteria &amp; Scoring'!$B$6+K183*'Criteria &amp; Scoring'!$B$7+L183*'Criteria &amp; Scoring'!$B$8+M183*'Criteria &amp; Scoring'!$B$9+N183*'Criteria &amp; Scoring'!$B$10+O183*'Criteria &amp; Scoring'!$B$11)/SUM('Criteria &amp; Scoring'!$B$5:$B$11),2)</x:f>
        <x:v>3.84</x:v>
      </x:c>
      <x:c r="AE183" s="32" t="n">
        <x:f>ROUND((P183*'Criteria &amp; Scoring'!$B$5+Q183*'Criteria &amp; Scoring'!$B$6+R183*'Criteria &amp; Scoring'!$B$7+S183*'Criteria &amp; Scoring'!$B$8+T183*'Criteria &amp; Scoring'!$B$9+U183*'Criteria &amp; Scoring'!$B$10+V183*'Criteria &amp; Scoring'!$B$11)/SUM('Criteria &amp; Scoring'!$B$5:$B$11),2)</x:f>
        <x:v>3.95</x:v>
      </x:c>
      <x:c r="AF183" s="32" t="n">
        <x:f>ROUND((W183*'Criteria &amp; Scoring'!$B$5+X183*'Criteria &amp; Scoring'!$B$6+Y183*'Criteria &amp; Scoring'!$B$7+Z183*'Criteria &amp; Scoring'!$B$8+AA183*'Criteria &amp; Scoring'!$B$9+AB183*'Criteria &amp; Scoring'!$B$10+AC183*'Criteria &amp; Scoring'!$B$11)/SUM('Criteria &amp; Scoring'!$B$5:$B$11),2)</x:f>
        <x:v>4.06</x:v>
      </x:c>
      <x:c r="AG183" s="32" t="str">
        <x:f>IF(LARGE(AD183:AF183,1)-LARGE(AD183:AF183,2)&lt;0.15,"Context-dependent tie",SUBSTITUTE(INDEX($AD$4:$AF$4,1,MATCH(MAX(AD183:AF183),AD183:AF183,0))," Overall",""))</x:f>
        <x:v>Context-dependent tie</x:v>
      </x:c>
      <x:c r="AH183" s="32" t="str">
        <x:f>IF(AG183="AWS","Start with AWS when infrastructure breadth, native integration and operational maturity are the main differentiators.",IF(AG183="Azure","Start with Azure when Microsoft identity, security, data, productivity or hybrid integration reduces delivery effort.",IF(AG183="GCP","Start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83" s="32" t="str">
        <x:v>Medium</x:v>
      </x:c>
      <x:c r="AJ183" s="32" t="str">
        <x:v>2026-07-12</x:v>
      </x:c>
    </x:row>
    <x:row r="184">
      <x:c r="A184" s="32" t="str">
        <x:v>Serverless query over data lake</x:v>
      </x:c>
      <x:c r="B184" s="32" t="str">
        <x:v>06 Data Platform, Analytics &amp; BI</x:v>
      </x:c>
      <x:c r="C184" s="32" t="str">
        <x:v>Data Lake, Warehouse &amp; Lakehouse</x:v>
      </x:c>
      <x:c r="D184" s="32" t="str">
        <x:v>Workload</x:v>
      </x:c>
      <x:c r="E184" s="32" t="str">
        <x:v>Is the primary need governed BI, open data-lake processing, real-time analytics, or one unified lakehouse?</x:v>
      </x:c>
      <x:c r="F184" s="32" t="str">
        <x:v>Amazon Athena</x:v>
      </x:c>
      <x:c r="G184" s="32" t="str">
        <x:v>Azure Synapse serverless SQL
Microsoft Fabric</x:v>
      </x:c>
      <x:c r="H184" s="32" t="str">
        <x:v>BigQuery external tables
BigLake</x:v>
      </x:c>
      <x:c r="I184" s="32" t="n">
        <x:v>4.3</x:v>
      </x:c>
      <x:c r="J184" s="32" t="n">
        <x:v>3.2</x:v>
      </x:c>
      <x:c r="K184" s="32" t="n">
        <x:v>4.3</x:v>
      </x:c>
      <x:c r="L184" s="32" t="n">
        <x:v>4.3</x:v>
      </x:c>
      <x:c r="M184" s="32" t="n">
        <x:v>3.1</x:v>
      </x:c>
      <x:c r="N184" s="32" t="n">
        <x:v>4.7</x:v>
      </x:c>
      <x:c r="O184" s="32" t="n">
        <x:v>4</x:v>
      </x:c>
      <x:c r="P184" s="32" t="n">
        <x:v>3.9</x:v>
      </x:c>
      <x:c r="Q184" s="32" t="n">
        <x:v>3</x:v>
      </x:c>
      <x:c r="R184" s="32" t="n">
        <x:v>4.7</x:v>
      </x:c>
      <x:c r="S184" s="32" t="n">
        <x:v>4.4</x:v>
      </x:c>
      <x:c r="T184" s="32" t="n">
        <x:v>3.1</x:v>
      </x:c>
      <x:c r="U184" s="32" t="n">
        <x:v>4.3</x:v>
      </x:c>
      <x:c r="V184" s="32" t="n">
        <x:v>4.1</x:v>
      </x:c>
      <x:c r="W184" s="32" t="n">
        <x:v>4.3</x:v>
      </x:c>
      <x:c r="X184" s="32" t="n">
        <x:v>3.3</x:v>
      </x:c>
      <x:c r="Y184" s="32" t="n">
        <x:v>4.3</x:v>
      </x:c>
      <x:c r="Z184" s="32" t="n">
        <x:v>4.6</x:v>
      </x:c>
      <x:c r="AA184" s="32" t="n">
        <x:v>3.1</x:v>
      </x:c>
      <x:c r="AB184" s="32" t="n">
        <x:v>4.5</x:v>
      </x:c>
      <x:c r="AC184" s="32" t="n">
        <x:v>4.1</x:v>
      </x:c>
      <x:c r="AD184" s="32" t="n">
        <x:f>ROUND((I184*'Criteria &amp; Scoring'!$B$5+J184*'Criteria &amp; Scoring'!$B$6+K184*'Criteria &amp; Scoring'!$B$7+L184*'Criteria &amp; Scoring'!$B$8+M184*'Criteria &amp; Scoring'!$B$9+N184*'Criteria &amp; Scoring'!$B$10+O184*'Criteria &amp; Scoring'!$B$11)/SUM('Criteria &amp; Scoring'!$B$5:$B$11),2)</x:f>
        <x:v>3.99</x:v>
      </x:c>
      <x:c r="AE184" s="32" t="n">
        <x:f>ROUND((P184*'Criteria &amp; Scoring'!$B$5+Q184*'Criteria &amp; Scoring'!$B$6+R184*'Criteria &amp; Scoring'!$B$7+S184*'Criteria &amp; Scoring'!$B$8+T184*'Criteria &amp; Scoring'!$B$9+U184*'Criteria &amp; Scoring'!$B$10+V184*'Criteria &amp; Scoring'!$B$11)/SUM('Criteria &amp; Scoring'!$B$5:$B$11),2)</x:f>
        <x:v>3.89</x:v>
      </x:c>
      <x:c r="AF184" s="32" t="n">
        <x:f>ROUND((W184*'Criteria &amp; Scoring'!$B$5+X184*'Criteria &amp; Scoring'!$B$6+Y184*'Criteria &amp; Scoring'!$B$7+Z184*'Criteria &amp; Scoring'!$B$8+AA184*'Criteria &amp; Scoring'!$B$9+AB184*'Criteria &amp; Scoring'!$B$10+AC184*'Criteria &amp; Scoring'!$B$11)/SUM('Criteria &amp; Scoring'!$B$5:$B$11),2)</x:f>
        <x:v>4.04</x:v>
      </x:c>
      <x:c r="AG184" s="32" t="str">
        <x:f>IF(LARGE(AD184:AF184,1)-LARGE(AD184:AF184,2)&lt;0.15,"Context-dependent tie",SUBSTITUTE(INDEX($AD$4:$AF$4,1,MATCH(MAX(AD184:AF184),AD184:AF184,0))," Overall",""))</x:f>
        <x:v>Context-dependent tie</x:v>
      </x:c>
      <x:c r="AH184" s="32" t="str">
        <x:f>IF(AG184="AWS","Start with AWS when infrastructure breadth, native integration and operational maturity are the main differentiators.",IF(AG184="Azure","Start with Azure when Microsoft identity, security, data, productivity or hybrid integration reduces delivery effort.",IF(AG184="GCP","Start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84" s="32" t="str">
        <x:v>Medium</x:v>
      </x:c>
      <x:c r="AJ184" s="32" t="str">
        <x:v>2026-07-12</x:v>
      </x:c>
    </x:row>
    <x:row r="185">
      <x:c r="A185" s="32" t="str">
        <x:v>Managed Spark and Hadoop</x:v>
      </x:c>
      <x:c r="B185" s="32" t="str">
        <x:v>06 Data Platform, Analytics &amp; BI</x:v>
      </x:c>
      <x:c r="C185" s="32" t="str">
        <x:v>Data Engineering &amp; Orchestration</x:v>
      </x:c>
      <x:c r="D185" s="32" t="str">
        <x:v>Workload</x:v>
      </x:c>
      <x:c r="E185" s="32" t="str">
        <x:v>Do you need batch ETL, ELT, Spark, CDC, orchestration, or a unified managed pipeline experience?</x:v>
      </x:c>
      <x:c r="F185" s="32" t="str">
        <x:v>Amazon EMR</x:v>
      </x:c>
      <x:c r="G185" s="32" t="str">
        <x:v>Azure HDInsight
Azure Databricks</x:v>
      </x:c>
      <x:c r="H185" s="32" t="str">
        <x:v>Managed Service for Apache Spark
Dataproc</x:v>
      </x:c>
      <x:c r="I185" s="32" t="n">
        <x:v>4</x:v>
      </x:c>
      <x:c r="J185" s="32" t="n">
        <x:v>3</x:v>
      </x:c>
      <x:c r="K185" s="32" t="n">
        <x:v>4.3</x:v>
      </x:c>
      <x:c r="L185" s="32" t="n">
        <x:v>4.3</x:v>
      </x:c>
      <x:c r="M185" s="32" t="n">
        <x:v>3.5</x:v>
      </x:c>
      <x:c r="N185" s="32" t="n">
        <x:v>4.5</x:v>
      </x:c>
      <x:c r="O185" s="32" t="n">
        <x:v>3.7</x:v>
      </x:c>
      <x:c r="P185" s="32" t="n">
        <x:v>3.9</x:v>
      </x:c>
      <x:c r="Q185" s="32" t="n">
        <x:v>2.9</x:v>
      </x:c>
      <x:c r="R185" s="32" t="n">
        <x:v>4.7</x:v>
      </x:c>
      <x:c r="S185" s="32" t="n">
        <x:v>4.4</x:v>
      </x:c>
      <x:c r="T185" s="32" t="n">
        <x:v>3.5</x:v>
      </x:c>
      <x:c r="U185" s="32" t="n">
        <x:v>4.3</x:v>
      </x:c>
      <x:c r="V185" s="32" t="n">
        <x:v>3.7</x:v>
      </x:c>
      <x:c r="W185" s="32" t="n">
        <x:v>4.3</x:v>
      </x:c>
      <x:c r="X185" s="32" t="n">
        <x:v>2.9</x:v>
      </x:c>
      <x:c r="Y185" s="32" t="n">
        <x:v>4.3</x:v>
      </x:c>
      <x:c r="Z185" s="32" t="n">
        <x:v>4.6</x:v>
      </x:c>
      <x:c r="AA185" s="32" t="n">
        <x:v>3.5</x:v>
      </x:c>
      <x:c r="AB185" s="32" t="n">
        <x:v>4.2</x:v>
      </x:c>
      <x:c r="AC185" s="32" t="n">
        <x:v>3.8</x:v>
      </x:c>
      <x:c r="AD185" s="32" t="n">
        <x:f>ROUND((I185*'Criteria &amp; Scoring'!$B$5+J185*'Criteria &amp; Scoring'!$B$6+K185*'Criteria &amp; Scoring'!$B$7+L185*'Criteria &amp; Scoring'!$B$8+M185*'Criteria &amp; Scoring'!$B$9+N185*'Criteria &amp; Scoring'!$B$10+O185*'Criteria &amp; Scoring'!$B$11)/SUM('Criteria &amp; Scoring'!$B$5:$B$11),2)</x:f>
        <x:v>3.88</x:v>
      </x:c>
      <x:c r="AE185" s="32" t="n">
        <x:f>ROUND((P185*'Criteria &amp; Scoring'!$B$5+Q185*'Criteria &amp; Scoring'!$B$6+R185*'Criteria &amp; Scoring'!$B$7+S185*'Criteria &amp; Scoring'!$B$8+T185*'Criteria &amp; Scoring'!$B$9+U185*'Criteria &amp; Scoring'!$B$10+V185*'Criteria &amp; Scoring'!$B$11)/SUM('Criteria &amp; Scoring'!$B$5:$B$11),2)</x:f>
        <x:v>3.89</x:v>
      </x:c>
      <x:c r="AF185" s="32" t="n">
        <x:f>ROUND((W185*'Criteria &amp; Scoring'!$B$5+X185*'Criteria &amp; Scoring'!$B$6+Y185*'Criteria &amp; Scoring'!$B$7+Z185*'Criteria &amp; Scoring'!$B$8+AA185*'Criteria &amp; Scoring'!$B$9+AB185*'Criteria &amp; Scoring'!$B$10+AC185*'Criteria &amp; Scoring'!$B$11)/SUM('Criteria &amp; Scoring'!$B$5:$B$11),2)</x:f>
        <x:v>3.95</x:v>
      </x:c>
      <x:c r="AG185" s="32" t="str">
        <x:f>IF(LARGE(AD185:AF185,1)-LARGE(AD185:AF185,2)&lt;0.15,"Context-dependent tie",SUBSTITUTE(INDEX($AD$4:$AF$4,1,MATCH(MAX(AD185:AF185),AD185:AF185,0))," Overall",""))</x:f>
        <x:v>Context-dependent tie</x:v>
      </x:c>
      <x:c r="AH185" s="32" t="str">
        <x:f>IF(AG185="AWS","Start with AWS when infrastructure breadth, native integration and operational maturity are the main differentiators.",IF(AG185="Azure","Start with Azure when Microsoft identity, security, data, productivity or hybrid integration reduces delivery effort.",IF(AG185="GCP","Start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85" s="32" t="str">
        <x:v>Medium</x:v>
      </x:c>
      <x:c r="AJ185" s="32" t="str">
        <x:v>2026-07-12</x:v>
      </x:c>
    </x:row>
    <x:row r="186">
      <x:c r="A186" s="32" t="str">
        <x:v>Streaming event ingestion</x:v>
      </x:c>
      <x:c r="B186" s="32" t="str">
        <x:v>06 Data Platform, Analytics &amp; BI</x:v>
      </x:c>
      <x:c r="C186" s="32" t="str">
        <x:v>Streaming &amp; Real-Time Data</x:v>
      </x:c>
      <x:c r="D186" s="32" t="str">
        <x:v>Workload</x:v>
      </x:c>
      <x:c r="E186" s="32" t="str">
        <x:v>What throughput, ordering, replay, latency and ecosystem compatibility are required?</x:v>
      </x:c>
      <x:c r="F186" s="32" t="str">
        <x:v>Amazon Kinesis Data Streams
Amazon Data Firehose</x:v>
      </x:c>
      <x:c r="G186" s="32" t="str">
        <x:v>Azure Event Hubs</x:v>
      </x:c>
      <x:c r="H186" s="32" t="str">
        <x:v>Pub/Sub
Managed Service for Apache Kafka</x:v>
      </x:c>
      <x:c r="I186" s="32" t="n">
        <x:v>3.9</x:v>
      </x:c>
      <x:c r="J186" s="32" t="n">
        <x:v>2.9</x:v>
      </x:c>
      <x:c r="K186" s="32" t="n">
        <x:v>4.2</x:v>
      </x:c>
      <x:c r="L186" s="32" t="n">
        <x:v>4.3</x:v>
      </x:c>
      <x:c r="M186" s="32" t="n">
        <x:v>3.5</x:v>
      </x:c>
      <x:c r="N186" s="32" t="n">
        <x:v>4.4</x:v>
      </x:c>
      <x:c r="O186" s="32" t="n">
        <x:v>3.6</x:v>
      </x:c>
      <x:c r="P186" s="32" t="n">
        <x:v>4</x:v>
      </x:c>
      <x:c r="Q186" s="32" t="n">
        <x:v>3</x:v>
      </x:c>
      <x:c r="R186" s="32" t="n">
        <x:v>4.5</x:v>
      </x:c>
      <x:c r="S186" s="32" t="n">
        <x:v>4.5</x:v>
      </x:c>
      <x:c r="T186" s="32" t="n">
        <x:v>3.5</x:v>
      </x:c>
      <x:c r="U186" s="32" t="n">
        <x:v>4.4</x:v>
      </x:c>
      <x:c r="V186" s="32" t="n">
        <x:v>3.8</x:v>
      </x:c>
      <x:c r="W186" s="32" t="n">
        <x:v>4.3</x:v>
      </x:c>
      <x:c r="X186" s="32" t="n">
        <x:v>2.9</x:v>
      </x:c>
      <x:c r="Y186" s="32" t="n">
        <x:v>4.3</x:v>
      </x:c>
      <x:c r="Z186" s="32" t="n">
        <x:v>4.6</x:v>
      </x:c>
      <x:c r="AA186" s="32" t="n">
        <x:v>3.5</x:v>
      </x:c>
      <x:c r="AB186" s="32" t="n">
        <x:v>4.2</x:v>
      </x:c>
      <x:c r="AC186" s="32" t="n">
        <x:v>3.8</x:v>
      </x:c>
      <x:c r="AD186" s="32" t="n">
        <x:f>ROUND((I186*'Criteria &amp; Scoring'!$B$5+J186*'Criteria &amp; Scoring'!$B$6+K186*'Criteria &amp; Scoring'!$B$7+L186*'Criteria &amp; Scoring'!$B$8+M186*'Criteria &amp; Scoring'!$B$9+N186*'Criteria &amp; Scoring'!$B$10+O186*'Criteria &amp; Scoring'!$B$11)/SUM('Criteria &amp; Scoring'!$B$5:$B$11),2)</x:f>
        <x:v>3.8</x:v>
      </x:c>
      <x:c r="AE186" s="32" t="n">
        <x:f>ROUND((P186*'Criteria &amp; Scoring'!$B$5+Q186*'Criteria &amp; Scoring'!$B$6+R186*'Criteria &amp; Scoring'!$B$7+S186*'Criteria &amp; Scoring'!$B$8+T186*'Criteria &amp; Scoring'!$B$9+U186*'Criteria &amp; Scoring'!$B$10+V186*'Criteria &amp; Scoring'!$B$11)/SUM('Criteria &amp; Scoring'!$B$5:$B$11),2)</x:f>
        <x:v>3.93</x:v>
      </x:c>
      <x:c r="AF186" s="32" t="n">
        <x:f>ROUND((W186*'Criteria &amp; Scoring'!$B$5+X186*'Criteria &amp; Scoring'!$B$6+Y186*'Criteria &amp; Scoring'!$B$7+Z186*'Criteria &amp; Scoring'!$B$8+AA186*'Criteria &amp; Scoring'!$B$9+AB186*'Criteria &amp; Scoring'!$B$10+AC186*'Criteria &amp; Scoring'!$B$11)/SUM('Criteria &amp; Scoring'!$B$5:$B$11),2)</x:f>
        <x:v>3.95</x:v>
      </x:c>
      <x:c r="AG186" s="32" t="str">
        <x:f>IF(LARGE(AD186:AF186,1)-LARGE(AD186:AF186,2)&lt;0.15,"Context-dependent tie",SUBSTITUTE(INDEX($AD$4:$AF$4,1,MATCH(MAX(AD186:AF186),AD186:AF186,0))," Overall",""))</x:f>
        <x:v>Context-dependent tie</x:v>
      </x:c>
      <x:c r="AH186" s="32" t="str">
        <x:f>IF(AG186="AWS","Start with AWS when infrastructure breadth, native integration and operational maturity are the main differentiators.",IF(AG186="Azure","Start with Azure when Microsoft identity, security, data, productivity or hybrid integration reduces delivery effort.",IF(AG186="GCP","Start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86" s="32" t="str">
        <x:v>Medium</x:v>
      </x:c>
      <x:c r="AJ186" s="32" t="str">
        <x:v>2026-07-12</x:v>
      </x:c>
    </x:row>
    <x:row r="187">
      <x:c r="A187" s="32" t="str">
        <x:v>Managed stream processing</x:v>
      </x:c>
      <x:c r="B187" s="32" t="str">
        <x:v>06 Data Platform, Analytics &amp; BI</x:v>
      </x:c>
      <x:c r="C187" s="32" t="str">
        <x:v>Streaming &amp; Real-Time Data</x:v>
      </x:c>
      <x:c r="D187" s="32" t="str">
        <x:v>Workload</x:v>
      </x:c>
      <x:c r="E187" s="32" t="str">
        <x:v>What throughput, ordering, replay, latency and ecosystem compatibility are required?</x:v>
      </x:c>
      <x:c r="F187" s="32" t="str">
        <x:v>Amazon Managed Service for Apache Flink
Amazon Kinesis Data Analytics</x:v>
      </x:c>
      <x:c r="G187" s="32" t="str">
        <x:v>Azure Stream Analytics
Azure Databricks Structured Streaming</x:v>
      </x:c>
      <x:c r="H187" s="32" t="str">
        <x:v>Dataflow</x:v>
      </x:c>
      <x:c r="I187" s="32" t="n">
        <x:v>3.9</x:v>
      </x:c>
      <x:c r="J187" s="32" t="n">
        <x:v>2.9</x:v>
      </x:c>
      <x:c r="K187" s="32" t="n">
        <x:v>4.2</x:v>
      </x:c>
      <x:c r="L187" s="32" t="n">
        <x:v>4.3</x:v>
      </x:c>
      <x:c r="M187" s="32" t="n">
        <x:v>3.5</x:v>
      </x:c>
      <x:c r="N187" s="32" t="n">
        <x:v>4.4</x:v>
      </x:c>
      <x:c r="O187" s="32" t="n">
        <x:v>3.6</x:v>
      </x:c>
      <x:c r="P187" s="32" t="n">
        <x:v>3.9</x:v>
      </x:c>
      <x:c r="Q187" s="32" t="n">
        <x:v>2.9</x:v>
      </x:c>
      <x:c r="R187" s="32" t="n">
        <x:v>4.4</x:v>
      </x:c>
      <x:c r="S187" s="32" t="n">
        <x:v>4.4</x:v>
      </x:c>
      <x:c r="T187" s="32" t="n">
        <x:v>3.5</x:v>
      </x:c>
      <x:c r="U187" s="32" t="n">
        <x:v>4.3</x:v>
      </x:c>
      <x:c r="V187" s="32" t="n">
        <x:v>3.7</x:v>
      </x:c>
      <x:c r="W187" s="32" t="n">
        <x:v>4.5</x:v>
      </x:c>
      <x:c r="X187" s="32" t="n">
        <x:v>3</x:v>
      </x:c>
      <x:c r="Y187" s="32" t="n">
        <x:v>4.4</x:v>
      </x:c>
      <x:c r="Z187" s="32" t="n">
        <x:v>4.7</x:v>
      </x:c>
      <x:c r="AA187" s="32" t="n">
        <x:v>3.5</x:v>
      </x:c>
      <x:c r="AB187" s="32" t="n">
        <x:v>4.3</x:v>
      </x:c>
      <x:c r="AC187" s="32" t="n">
        <x:v>3.9</x:v>
      </x:c>
      <x:c r="AD187" s="32" t="n">
        <x:f>ROUND((I187*'Criteria &amp; Scoring'!$B$5+J187*'Criteria &amp; Scoring'!$B$6+K187*'Criteria &amp; Scoring'!$B$7+L187*'Criteria &amp; Scoring'!$B$8+M187*'Criteria &amp; Scoring'!$B$9+N187*'Criteria &amp; Scoring'!$B$10+O187*'Criteria &amp; Scoring'!$B$11)/SUM('Criteria &amp; Scoring'!$B$5:$B$11),2)</x:f>
        <x:v>3.8</x:v>
      </x:c>
      <x:c r="AE187" s="32" t="n">
        <x:f>ROUND((P187*'Criteria &amp; Scoring'!$B$5+Q187*'Criteria &amp; Scoring'!$B$6+R187*'Criteria &amp; Scoring'!$B$7+S187*'Criteria &amp; Scoring'!$B$8+T187*'Criteria &amp; Scoring'!$B$9+U187*'Criteria &amp; Scoring'!$B$10+V187*'Criteria &amp; Scoring'!$B$11)/SUM('Criteria &amp; Scoring'!$B$5:$B$11),2)</x:f>
        <x:v>3.84</x:v>
      </x:c>
      <x:c r="AF187" s="32" t="n">
        <x:f>ROUND((W187*'Criteria &amp; Scoring'!$B$5+X187*'Criteria &amp; Scoring'!$B$6+Y187*'Criteria &amp; Scoring'!$B$7+Z187*'Criteria &amp; Scoring'!$B$8+AA187*'Criteria &amp; Scoring'!$B$9+AB187*'Criteria &amp; Scoring'!$B$10+AC187*'Criteria &amp; Scoring'!$B$11)/SUM('Criteria &amp; Scoring'!$B$5:$B$11),2)</x:f>
        <x:v>4.07</x:v>
      </x:c>
      <x:c r="AG187" s="32" t="str">
        <x:f>IF(LARGE(AD187:AF187,1)-LARGE(AD187:AF187,2)&lt;0.15,"Context-dependent tie",SUBSTITUTE(INDEX($AD$4:$AF$4,1,MATCH(MAX(AD187:AF187),AD187:AF187,0))," Overall",""))</x:f>
        <x:v>GCP</x:v>
      </x:c>
      <x:c r="AH187" s="32" t="str">
        <x:f>IF(AG187="AWS","Start with AWS when infrastructure breadth, native integration and operational maturity are the main differentiators.",IF(AG187="Azure","Start with Azure when Microsoft identity, security, data, productivity or hybrid integration reduces delivery effort.",IF(AG187="GCP","Start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187" s="32" t="str">
        <x:v>Medium</x:v>
      </x:c>
      <x:c r="AJ187" s="32" t="str">
        <x:v>2026-07-12</x:v>
      </x:c>
    </x:row>
    <x:row r="188">
      <x:c r="A188" s="32" t="str">
        <x:v>Managed Apache Kafka</x:v>
      </x:c>
      <x:c r="B188" s="32" t="str">
        <x:v>06 Data Platform, Analytics &amp; BI</x:v>
      </x:c>
      <x:c r="C188" s="32" t="str">
        <x:v>Streaming &amp; Real-Time Data</x:v>
      </x:c>
      <x:c r="D188" s="32" t="str">
        <x:v>Workload</x:v>
      </x:c>
      <x:c r="E188" s="32" t="str">
        <x:v>What throughput, ordering, replay, latency and ecosystem compatibility are required?</x:v>
      </x:c>
      <x:c r="F188" s="32" t="str">
        <x:v>Amazon Managed Streaming for Apache Kafka</x:v>
      </x:c>
      <x:c r="G188" s="32" t="str">
        <x:v>Azure Event Hubs Kafka endpoint
Confluent Cloud on Azure</x:v>
      </x:c>
      <x:c r="H188" s="32" t="str">
        <x:v>Managed Service for Apache Kafka</x:v>
      </x:c>
      <x:c r="I188" s="32" t="n">
        <x:v>4</x:v>
      </x:c>
      <x:c r="J188" s="32" t="n">
        <x:v>3</x:v>
      </x:c>
      <x:c r="K188" s="32" t="n">
        <x:v>4.3</x:v>
      </x:c>
      <x:c r="L188" s="32" t="n">
        <x:v>4.3</x:v>
      </x:c>
      <x:c r="M188" s="32" t="n">
        <x:v>4.2</x:v>
      </x:c>
      <x:c r="N188" s="32" t="n">
        <x:v>4.5</x:v>
      </x:c>
      <x:c r="O188" s="32" t="n">
        <x:v>3.7</x:v>
      </x:c>
      <x:c r="P188" s="32" t="n">
        <x:v>3.9</x:v>
      </x:c>
      <x:c r="Q188" s="32" t="n">
        <x:v>2.9</x:v>
      </x:c>
      <x:c r="R188" s="32" t="n">
        <x:v>4.4</x:v>
      </x:c>
      <x:c r="S188" s="32" t="n">
        <x:v>4.4</x:v>
      </x:c>
      <x:c r="T188" s="32" t="n">
        <x:v>4.1</x:v>
      </x:c>
      <x:c r="U188" s="32" t="n">
        <x:v>4.3</x:v>
      </x:c>
      <x:c r="V188" s="32" t="n">
        <x:v>3.7</x:v>
      </x:c>
      <x:c r="W188" s="32" t="n">
        <x:v>4.5</x:v>
      </x:c>
      <x:c r="X188" s="32" t="n">
        <x:v>3</x:v>
      </x:c>
      <x:c r="Y188" s="32" t="n">
        <x:v>4.4</x:v>
      </x:c>
      <x:c r="Z188" s="32" t="n">
        <x:v>4.7</x:v>
      </x:c>
      <x:c r="AA188" s="32" t="n">
        <x:v>4.2</x:v>
      </x:c>
      <x:c r="AB188" s="32" t="n">
        <x:v>4.3</x:v>
      </x:c>
      <x:c r="AC188" s="32" t="n">
        <x:v>3.9</x:v>
      </x:c>
      <x:c r="AD188" s="32" t="n">
        <x:f>ROUND((I188*'Criteria &amp; Scoring'!$B$5+J188*'Criteria &amp; Scoring'!$B$6+K188*'Criteria &amp; Scoring'!$B$7+L188*'Criteria &amp; Scoring'!$B$8+M188*'Criteria &amp; Scoring'!$B$9+N188*'Criteria &amp; Scoring'!$B$10+O188*'Criteria &amp; Scoring'!$B$11)/SUM('Criteria &amp; Scoring'!$B$5:$B$11),2)</x:f>
        <x:v>3.95</x:v>
      </x:c>
      <x:c r="AE188" s="32" t="n">
        <x:f>ROUND((P188*'Criteria &amp; Scoring'!$B$5+Q188*'Criteria &amp; Scoring'!$B$6+R188*'Criteria &amp; Scoring'!$B$7+S188*'Criteria &amp; Scoring'!$B$8+T188*'Criteria &amp; Scoring'!$B$9+U188*'Criteria &amp; Scoring'!$B$10+V188*'Criteria &amp; Scoring'!$B$11)/SUM('Criteria &amp; Scoring'!$B$5:$B$11),2)</x:f>
        <x:v>3.9</x:v>
      </x:c>
      <x:c r="AF188" s="32" t="n">
        <x:f>ROUND((W188*'Criteria &amp; Scoring'!$B$5+X188*'Criteria &amp; Scoring'!$B$6+Y188*'Criteria &amp; Scoring'!$B$7+Z188*'Criteria &amp; Scoring'!$B$8+AA188*'Criteria &amp; Scoring'!$B$9+AB188*'Criteria &amp; Scoring'!$B$10+AC188*'Criteria &amp; Scoring'!$B$11)/SUM('Criteria &amp; Scoring'!$B$5:$B$11),2)</x:f>
        <x:v>4.14</x:v>
      </x:c>
      <x:c r="AG188" s="32" t="str">
        <x:f>IF(LARGE(AD188:AF188,1)-LARGE(AD188:AF188,2)&lt;0.15,"Context-dependent tie",SUBSTITUTE(INDEX($AD$4:$AF$4,1,MATCH(MAX(AD188:AF188),AD188:AF188,0))," Overall",""))</x:f>
        <x:v>GCP</x:v>
      </x:c>
      <x:c r="AH188" s="32" t="str">
        <x:f>IF(AG188="AWS","Start with AWS when infrastructure breadth, native integration and operational maturity are the main differentiators.",IF(AG188="Azure","Start with Azure when Microsoft identity, security, data, productivity or hybrid integration reduces delivery effort.",IF(AG188="GCP","Start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188" s="32" t="str">
        <x:v>Medium</x:v>
      </x:c>
      <x:c r="AJ188" s="32" t="str">
        <x:v>2026-07-12</x:v>
      </x:c>
    </x:row>
    <x:row r="189">
      <x:c r="A189" s="32" t="str">
        <x:v>Managed ETL and data integration</x:v>
      </x:c>
      <x:c r="B189" s="32" t="str">
        <x:v>06 Data Platform, Analytics &amp; BI</x:v>
      </x:c>
      <x:c r="C189" s="32" t="str">
        <x:v>Data Engineering &amp; Orchestration</x:v>
      </x:c>
      <x:c r="D189" s="32" t="str">
        <x:v>Workload</x:v>
      </x:c>
      <x:c r="E189" s="32" t="str">
        <x:v>Do you need batch ETL, ELT, Spark, CDC, orchestration, or a unified managed pipeline experience?</x:v>
      </x:c>
      <x:c r="F189" s="32" t="str">
        <x:v>AWS Glue</x:v>
      </x:c>
      <x:c r="G189" s="32" t="str">
        <x:v>Azure Data Factory
Microsoft Fabric Data Factory</x:v>
      </x:c>
      <x:c r="H189" s="32" t="str">
        <x:v>Cloud Data Fusion
Dataflow</x:v>
      </x:c>
      <x:c r="I189" s="32" t="n">
        <x:v>4</x:v>
      </x:c>
      <x:c r="J189" s="32" t="n">
        <x:v>3</x:v>
      </x:c>
      <x:c r="K189" s="32" t="n">
        <x:v>4.3</x:v>
      </x:c>
      <x:c r="L189" s="32" t="n">
        <x:v>4.3</x:v>
      </x:c>
      <x:c r="M189" s="32" t="n">
        <x:v>3.5</x:v>
      </x:c>
      <x:c r="N189" s="32" t="n">
        <x:v>4.5</x:v>
      </x:c>
      <x:c r="O189" s="32" t="n">
        <x:v>3.7</x:v>
      </x:c>
      <x:c r="P189" s="32" t="n">
        <x:v>3.9</x:v>
      </x:c>
      <x:c r="Q189" s="32" t="n">
        <x:v>2.9</x:v>
      </x:c>
      <x:c r="R189" s="32" t="n">
        <x:v>4.4</x:v>
      </x:c>
      <x:c r="S189" s="32" t="n">
        <x:v>4.4</x:v>
      </x:c>
      <x:c r="T189" s="32" t="n">
        <x:v>3.5</x:v>
      </x:c>
      <x:c r="U189" s="32" t="n">
        <x:v>4.3</x:v>
      </x:c>
      <x:c r="V189" s="32" t="n">
        <x:v>3.7</x:v>
      </x:c>
      <x:c r="W189" s="32" t="n">
        <x:v>4.3</x:v>
      </x:c>
      <x:c r="X189" s="32" t="n">
        <x:v>2.9</x:v>
      </x:c>
      <x:c r="Y189" s="32" t="n">
        <x:v>4.3</x:v>
      </x:c>
      <x:c r="Z189" s="32" t="n">
        <x:v>4.6</x:v>
      </x:c>
      <x:c r="AA189" s="32" t="n">
        <x:v>3.5</x:v>
      </x:c>
      <x:c r="AB189" s="32" t="n">
        <x:v>4.2</x:v>
      </x:c>
      <x:c r="AC189" s="32" t="n">
        <x:v>3.8</x:v>
      </x:c>
      <x:c r="AD189" s="32" t="n">
        <x:f>ROUND((I189*'Criteria &amp; Scoring'!$B$5+J189*'Criteria &amp; Scoring'!$B$6+K189*'Criteria &amp; Scoring'!$B$7+L189*'Criteria &amp; Scoring'!$B$8+M189*'Criteria &amp; Scoring'!$B$9+N189*'Criteria &amp; Scoring'!$B$10+O189*'Criteria &amp; Scoring'!$B$11)/SUM('Criteria &amp; Scoring'!$B$5:$B$11),2)</x:f>
        <x:v>3.88</x:v>
      </x:c>
      <x:c r="AE189" s="32" t="n">
        <x:f>ROUND((P189*'Criteria &amp; Scoring'!$B$5+Q189*'Criteria &amp; Scoring'!$B$6+R189*'Criteria &amp; Scoring'!$B$7+S189*'Criteria &amp; Scoring'!$B$8+T189*'Criteria &amp; Scoring'!$B$9+U189*'Criteria &amp; Scoring'!$B$10+V189*'Criteria &amp; Scoring'!$B$11)/SUM('Criteria &amp; Scoring'!$B$5:$B$11),2)</x:f>
        <x:v>3.84</x:v>
      </x:c>
      <x:c r="AF189" s="32" t="n">
        <x:f>ROUND((W189*'Criteria &amp; Scoring'!$B$5+X189*'Criteria &amp; Scoring'!$B$6+Y189*'Criteria &amp; Scoring'!$B$7+Z189*'Criteria &amp; Scoring'!$B$8+AA189*'Criteria &amp; Scoring'!$B$9+AB189*'Criteria &amp; Scoring'!$B$10+AC189*'Criteria &amp; Scoring'!$B$11)/SUM('Criteria &amp; Scoring'!$B$5:$B$11),2)</x:f>
        <x:v>3.95</x:v>
      </x:c>
      <x:c r="AG189" s="32" t="str">
        <x:f>IF(LARGE(AD189:AF189,1)-LARGE(AD189:AF189,2)&lt;0.15,"Context-dependent tie",SUBSTITUTE(INDEX($AD$4:$AF$4,1,MATCH(MAX(AD189:AF189),AD189:AF189,0))," Overall",""))</x:f>
        <x:v>Context-dependent tie</x:v>
      </x:c>
      <x:c r="AH189" s="32" t="str">
        <x:f>IF(AG189="AWS","Start with AWS when infrastructure breadth, native integration and operational maturity are the main differentiators.",IF(AG189="Azure","Start with Azure when Microsoft identity, security, data, productivity or hybrid integration reduces delivery effort.",IF(AG189="GCP","Start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89" s="32" t="str">
        <x:v>Medium</x:v>
      </x:c>
      <x:c r="AJ189" s="32" t="str">
        <x:v>2026-07-12</x:v>
      </x:c>
    </x:row>
    <x:row r="190">
      <x:c r="A190" s="32" t="str">
        <x:v>SQL transformation and modelling</x:v>
      </x:c>
      <x:c r="B190" s="32" t="str">
        <x:v>06 Data Platform, Analytics &amp; BI</x:v>
      </x:c>
      <x:c r="C190" s="32" t="str">
        <x:v>Data Engineering &amp; Orchestration</x:v>
      </x:c>
      <x:c r="D190" s="32" t="str">
        <x:v>Workload</x:v>
      </x:c>
      <x:c r="E190" s="32" t="str">
        <x:v>Do you need batch ETL, ELT, Spark, CDC, orchestration, or a unified managed pipeline experience?</x:v>
      </x:c>
      <x:c r="F190" s="32" t="str">
        <x:v>AWS Glue DataBrew
Amazon Redshift SQL</x:v>
      </x:c>
      <x:c r="G190" s="32" t="str">
        <x:v>Microsoft Fabric Data Factory
dbt integrations</x:v>
      </x:c>
      <x:c r="H190" s="32" t="str">
        <x:v>Dataform</x:v>
      </x:c>
      <x:c r="I190" s="32" t="n">
        <x:v>3.9</x:v>
      </x:c>
      <x:c r="J190" s="32" t="n">
        <x:v>2.9</x:v>
      </x:c>
      <x:c r="K190" s="32" t="n">
        <x:v>4.2</x:v>
      </x:c>
      <x:c r="L190" s="32" t="n">
        <x:v>4.3</x:v>
      </x:c>
      <x:c r="M190" s="32" t="n">
        <x:v>3.5</x:v>
      </x:c>
      <x:c r="N190" s="32" t="n">
        <x:v>4.4</x:v>
      </x:c>
      <x:c r="O190" s="32" t="n">
        <x:v>3.6</x:v>
      </x:c>
      <x:c r="P190" s="32" t="n">
        <x:v>3.9</x:v>
      </x:c>
      <x:c r="Q190" s="32" t="n">
        <x:v>2.9</x:v>
      </x:c>
      <x:c r="R190" s="32" t="n">
        <x:v>4.7</x:v>
      </x:c>
      <x:c r="S190" s="32" t="n">
        <x:v>4.4</x:v>
      </x:c>
      <x:c r="T190" s="32" t="n">
        <x:v>3.5</x:v>
      </x:c>
      <x:c r="U190" s="32" t="n">
        <x:v>4.3</x:v>
      </x:c>
      <x:c r="V190" s="32" t="n">
        <x:v>3.7</x:v>
      </x:c>
      <x:c r="W190" s="32" t="n">
        <x:v>4.5</x:v>
      </x:c>
      <x:c r="X190" s="32" t="n">
        <x:v>3</x:v>
      </x:c>
      <x:c r="Y190" s="32" t="n">
        <x:v>4.4</x:v>
      </x:c>
      <x:c r="Z190" s="32" t="n">
        <x:v>4.7</x:v>
      </x:c>
      <x:c r="AA190" s="32" t="n">
        <x:v>3.5</x:v>
      </x:c>
      <x:c r="AB190" s="32" t="n">
        <x:v>4.3</x:v>
      </x:c>
      <x:c r="AC190" s="32" t="n">
        <x:v>3.9</x:v>
      </x:c>
      <x:c r="AD190" s="32" t="n">
        <x:f>ROUND((I190*'Criteria &amp; Scoring'!$B$5+J190*'Criteria &amp; Scoring'!$B$6+K190*'Criteria &amp; Scoring'!$B$7+L190*'Criteria &amp; Scoring'!$B$8+M190*'Criteria &amp; Scoring'!$B$9+N190*'Criteria &amp; Scoring'!$B$10+O190*'Criteria &amp; Scoring'!$B$11)/SUM('Criteria &amp; Scoring'!$B$5:$B$11),2)</x:f>
        <x:v>3.8</x:v>
      </x:c>
      <x:c r="AE190" s="32" t="n">
        <x:f>ROUND((P190*'Criteria &amp; Scoring'!$B$5+Q190*'Criteria &amp; Scoring'!$B$6+R190*'Criteria &amp; Scoring'!$B$7+S190*'Criteria &amp; Scoring'!$B$8+T190*'Criteria &amp; Scoring'!$B$9+U190*'Criteria &amp; Scoring'!$B$10+V190*'Criteria &amp; Scoring'!$B$11)/SUM('Criteria &amp; Scoring'!$B$5:$B$11),2)</x:f>
        <x:v>3.89</x:v>
      </x:c>
      <x:c r="AF190" s="32" t="n">
        <x:f>ROUND((W190*'Criteria &amp; Scoring'!$B$5+X190*'Criteria &amp; Scoring'!$B$6+Y190*'Criteria &amp; Scoring'!$B$7+Z190*'Criteria &amp; Scoring'!$B$8+AA190*'Criteria &amp; Scoring'!$B$9+AB190*'Criteria &amp; Scoring'!$B$10+AC190*'Criteria &amp; Scoring'!$B$11)/SUM('Criteria &amp; Scoring'!$B$5:$B$11),2)</x:f>
        <x:v>4.07</x:v>
      </x:c>
      <x:c r="AG190" s="32" t="str">
        <x:f>IF(LARGE(AD190:AF190,1)-LARGE(AD190:AF190,2)&lt;0.15,"Context-dependent tie",SUBSTITUTE(INDEX($AD$4:$AF$4,1,MATCH(MAX(AD190:AF190),AD190:AF190,0))," Overall",""))</x:f>
        <x:v>GCP</x:v>
      </x:c>
      <x:c r="AH190" s="32" t="str">
        <x:f>IF(AG190="AWS","Start with AWS when infrastructure breadth, native integration and operational maturity are the main differentiators.",IF(AG190="Azure","Start with Azure when Microsoft identity, security, data, productivity or hybrid integration reduces delivery effort.",IF(AG190="GCP","Start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190" s="32" t="str">
        <x:v>Medium</x:v>
      </x:c>
      <x:c r="AJ190" s="32" t="str">
        <x:v>2026-07-12</x:v>
      </x:c>
    </x:row>
    <x:row r="191">
      <x:c r="A191" s="32" t="str">
        <x:v>Data workflow orchestration</x:v>
      </x:c>
      <x:c r="B191" s="32" t="str">
        <x:v>06 Data Platform, Analytics &amp; BI</x:v>
      </x:c>
      <x:c r="C191" s="32" t="str">
        <x:v>Data Engineering &amp; Orchestration</x:v>
      </x:c>
      <x:c r="D191" s="32" t="str">
        <x:v>Workload</x:v>
      </x:c>
      <x:c r="E191" s="32" t="str">
        <x:v>Do you need batch ETL, ELT, Spark, CDC, orchestration, or a unified managed pipeline experience?</x:v>
      </x:c>
      <x:c r="F191" s="32" t="str">
        <x:v>Amazon Managed Workflows for Apache Airflow
AWS Step Functions</x:v>
      </x:c>
      <x:c r="G191" s="32" t="str">
        <x:v>Azure Data Factory
Microsoft Fabric</x:v>
      </x:c>
      <x:c r="H191" s="32" t="str">
        <x:v>Managed Service for Apache Airflow
Orchestration Pipelines</x:v>
      </x:c>
      <x:c r="I191" s="32" t="n">
        <x:v>3.9</x:v>
      </x:c>
      <x:c r="J191" s="32" t="n">
        <x:v>2.9</x:v>
      </x:c>
      <x:c r="K191" s="32" t="n">
        <x:v>4.2</x:v>
      </x:c>
      <x:c r="L191" s="32" t="n">
        <x:v>4.3</x:v>
      </x:c>
      <x:c r="M191" s="32" t="n">
        <x:v>3.1</x:v>
      </x:c>
      <x:c r="N191" s="32" t="n">
        <x:v>4.4</x:v>
      </x:c>
      <x:c r="O191" s="32" t="n">
        <x:v>3.6</x:v>
      </x:c>
      <x:c r="P191" s="32" t="n">
        <x:v>3.9</x:v>
      </x:c>
      <x:c r="Q191" s="32" t="n">
        <x:v>2.9</x:v>
      </x:c>
      <x:c r="R191" s="32" t="n">
        <x:v>4.4</x:v>
      </x:c>
      <x:c r="S191" s="32" t="n">
        <x:v>4.4</x:v>
      </x:c>
      <x:c r="T191" s="32" t="n">
        <x:v>3.1</x:v>
      </x:c>
      <x:c r="U191" s="32" t="n">
        <x:v>4.3</x:v>
      </x:c>
      <x:c r="V191" s="32" t="n">
        <x:v>3.7</x:v>
      </x:c>
      <x:c r="W191" s="32" t="n">
        <x:v>4.3</x:v>
      </x:c>
      <x:c r="X191" s="32" t="n">
        <x:v>2.9</x:v>
      </x:c>
      <x:c r="Y191" s="32" t="n">
        <x:v>4.3</x:v>
      </x:c>
      <x:c r="Z191" s="32" t="n">
        <x:v>4.6</x:v>
      </x:c>
      <x:c r="AA191" s="32" t="n">
        <x:v>3.1</x:v>
      </x:c>
      <x:c r="AB191" s="32" t="n">
        <x:v>4.2</x:v>
      </x:c>
      <x:c r="AC191" s="32" t="n">
        <x:v>3.8</x:v>
      </x:c>
      <x:c r="AD191" s="32" t="n">
        <x:f>ROUND((I191*'Criteria &amp; Scoring'!$B$5+J191*'Criteria &amp; Scoring'!$B$6+K191*'Criteria &amp; Scoring'!$B$7+L191*'Criteria &amp; Scoring'!$B$8+M191*'Criteria &amp; Scoring'!$B$9+N191*'Criteria &amp; Scoring'!$B$10+O191*'Criteria &amp; Scoring'!$B$11)/SUM('Criteria &amp; Scoring'!$B$5:$B$11),2)</x:f>
        <x:v>3.76</x:v>
      </x:c>
      <x:c r="AE191" s="32" t="n">
        <x:f>ROUND((P191*'Criteria &amp; Scoring'!$B$5+Q191*'Criteria &amp; Scoring'!$B$6+R191*'Criteria &amp; Scoring'!$B$7+S191*'Criteria &amp; Scoring'!$B$8+T191*'Criteria &amp; Scoring'!$B$9+U191*'Criteria &amp; Scoring'!$B$10+V191*'Criteria &amp; Scoring'!$B$11)/SUM('Criteria &amp; Scoring'!$B$5:$B$11),2)</x:f>
        <x:v>3.8</x:v>
      </x:c>
      <x:c r="AF191" s="32" t="n">
        <x:f>ROUND((W191*'Criteria &amp; Scoring'!$B$5+X191*'Criteria &amp; Scoring'!$B$6+Y191*'Criteria &amp; Scoring'!$B$7+Z191*'Criteria &amp; Scoring'!$B$8+AA191*'Criteria &amp; Scoring'!$B$9+AB191*'Criteria &amp; Scoring'!$B$10+AC191*'Criteria &amp; Scoring'!$B$11)/SUM('Criteria &amp; Scoring'!$B$5:$B$11),2)</x:f>
        <x:v>3.91</x:v>
      </x:c>
      <x:c r="AG191" s="32" t="str">
        <x:f>IF(LARGE(AD191:AF191,1)-LARGE(AD191:AF191,2)&lt;0.15,"Context-dependent tie",SUBSTITUTE(INDEX($AD$4:$AF$4,1,MATCH(MAX(AD191:AF191),AD191:AF191,0))," Overall",""))</x:f>
        <x:v>Context-dependent tie</x:v>
      </x:c>
      <x:c r="AH191" s="32" t="str">
        <x:f>IF(AG191="AWS","Start with AWS when infrastructure breadth, native integration and operational maturity are the main differentiators.",IF(AG191="Azure","Start with Azure when Microsoft identity, security, data, productivity or hybrid integration reduces delivery effort.",IF(AG191="GCP","Start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91" s="32" t="str">
        <x:v>Medium</x:v>
      </x:c>
      <x:c r="AJ191" s="32" t="str">
        <x:v>2026-07-12</x:v>
      </x:c>
    </x:row>
    <x:row r="192">
      <x:c r="A192" s="32" t="str">
        <x:v>Change data capture and replication</x:v>
      </x:c>
      <x:c r="B192" s="32" t="str">
        <x:v>06 Data Platform, Analytics &amp; BI</x:v>
      </x:c>
      <x:c r="C192" s="32" t="str">
        <x:v>Data Engineering &amp; Orchestration</x:v>
      </x:c>
      <x:c r="D192" s="32" t="str">
        <x:v>Workload</x:v>
      </x:c>
      <x:c r="E192" s="32" t="str">
        <x:v>Do you need batch ETL, ELT, Spark, CDC, orchestration, or a unified managed pipeline experience?</x:v>
      </x:c>
      <x:c r="F192" s="32" t="str">
        <x:v>AWS Database Migration Service
Amazon Data Firehose</x:v>
      </x:c>
      <x:c r="G192" s="32" t="str">
        <x:v>Azure Data Factory
Azure Database Migration Service</x:v>
      </x:c>
      <x:c r="H192" s="32" t="str">
        <x:v>Datastream</x:v>
      </x:c>
      <x:c r="I192" s="32" t="n">
        <x:v>3.9</x:v>
      </x:c>
      <x:c r="J192" s="32" t="n">
        <x:v>2.9</x:v>
      </x:c>
      <x:c r="K192" s="32" t="n">
        <x:v>4.2</x:v>
      </x:c>
      <x:c r="L192" s="32" t="n">
        <x:v>4.3</x:v>
      </x:c>
      <x:c r="M192" s="32" t="n">
        <x:v>3.5</x:v>
      </x:c>
      <x:c r="N192" s="32" t="n">
        <x:v>4.4</x:v>
      </x:c>
      <x:c r="O192" s="32" t="n">
        <x:v>3.6</x:v>
      </x:c>
      <x:c r="P192" s="32" t="n">
        <x:v>3.9</x:v>
      </x:c>
      <x:c r="Q192" s="32" t="n">
        <x:v>2.9</x:v>
      </x:c>
      <x:c r="R192" s="32" t="n">
        <x:v>4.4</x:v>
      </x:c>
      <x:c r="S192" s="32" t="n">
        <x:v>4.4</x:v>
      </x:c>
      <x:c r="T192" s="32" t="n">
        <x:v>3.5</x:v>
      </x:c>
      <x:c r="U192" s="32" t="n">
        <x:v>4.3</x:v>
      </x:c>
      <x:c r="V192" s="32" t="n">
        <x:v>3.7</x:v>
      </x:c>
      <x:c r="W192" s="32" t="n">
        <x:v>4.5</x:v>
      </x:c>
      <x:c r="X192" s="32" t="n">
        <x:v>3</x:v>
      </x:c>
      <x:c r="Y192" s="32" t="n">
        <x:v>4.4</x:v>
      </x:c>
      <x:c r="Z192" s="32" t="n">
        <x:v>4.7</x:v>
      </x:c>
      <x:c r="AA192" s="32" t="n">
        <x:v>3.5</x:v>
      </x:c>
      <x:c r="AB192" s="32" t="n">
        <x:v>4.3</x:v>
      </x:c>
      <x:c r="AC192" s="32" t="n">
        <x:v>3.9</x:v>
      </x:c>
      <x:c r="AD192" s="32" t="n">
        <x:f>ROUND((I192*'Criteria &amp; Scoring'!$B$5+J192*'Criteria &amp; Scoring'!$B$6+K192*'Criteria &amp; Scoring'!$B$7+L192*'Criteria &amp; Scoring'!$B$8+M192*'Criteria &amp; Scoring'!$B$9+N192*'Criteria &amp; Scoring'!$B$10+O192*'Criteria &amp; Scoring'!$B$11)/SUM('Criteria &amp; Scoring'!$B$5:$B$11),2)</x:f>
        <x:v>3.8</x:v>
      </x:c>
      <x:c r="AE192" s="32" t="n">
        <x:f>ROUND((P192*'Criteria &amp; Scoring'!$B$5+Q192*'Criteria &amp; Scoring'!$B$6+R192*'Criteria &amp; Scoring'!$B$7+S192*'Criteria &amp; Scoring'!$B$8+T192*'Criteria &amp; Scoring'!$B$9+U192*'Criteria &amp; Scoring'!$B$10+V192*'Criteria &amp; Scoring'!$B$11)/SUM('Criteria &amp; Scoring'!$B$5:$B$11),2)</x:f>
        <x:v>3.84</x:v>
      </x:c>
      <x:c r="AF192" s="32" t="n">
        <x:f>ROUND((W192*'Criteria &amp; Scoring'!$B$5+X192*'Criteria &amp; Scoring'!$B$6+Y192*'Criteria &amp; Scoring'!$B$7+Z192*'Criteria &amp; Scoring'!$B$8+AA192*'Criteria &amp; Scoring'!$B$9+AB192*'Criteria &amp; Scoring'!$B$10+AC192*'Criteria &amp; Scoring'!$B$11)/SUM('Criteria &amp; Scoring'!$B$5:$B$11),2)</x:f>
        <x:v>4.07</x:v>
      </x:c>
      <x:c r="AG192" s="32" t="str">
        <x:f>IF(LARGE(AD192:AF192,1)-LARGE(AD192:AF192,2)&lt;0.15,"Context-dependent tie",SUBSTITUTE(INDEX($AD$4:$AF$4,1,MATCH(MAX(AD192:AF192),AD192:AF192,0))," Overall",""))</x:f>
        <x:v>GCP</x:v>
      </x:c>
      <x:c r="AH192" s="32" t="str">
        <x:f>IF(AG192="AWS","Start with AWS when infrastructure breadth, native integration and operational maturity are the main differentiators.",IF(AG192="Azure","Start with Azure when Microsoft identity, security, data, productivity or hybrid integration reduces delivery effort.",IF(AG192="GCP","Start with Google Cloud when data, AI, Kubernetes, network or managed developer experience is the main differentiator.","Scores are close: use ecosystem, data gravity, region, skills, commercials and proof-of-value results to decide.")))</x:f>
        <x:v>Start with Google Cloud when data, AI, Kubernetes, network or managed developer experience is the main differentiator.</x:v>
      </x:c>
      <x:c r="AI192" s="32" t="str">
        <x:v>Medium</x:v>
      </x:c>
      <x:c r="AJ192" s="32" t="str">
        <x:v>2026-07-12</x:v>
      </x:c>
    </x:row>
    <x:row r="193">
      <x:c r="A193" s="32" t="str">
        <x:v>Data catalogue and metadata</x:v>
      </x:c>
      <x:c r="B193" s="32" t="str">
        <x:v>06 Data Platform, Analytics &amp; BI</x:v>
      </x:c>
      <x:c r="C193" s="32" t="str">
        <x:v>Data Governance, Sharing &amp; Quality</x:v>
      </x:c>
      <x:c r="D193" s="32" t="str">
        <x:v>Workload</x:v>
      </x:c>
      <x:c r="E193" s="32" t="str">
        <x:v>What business outcome, scale, control, integration and operating model justify choosing data catalogue and metadata?</x:v>
      </x:c>
      <x:c r="F193" s="32" t="str">
        <x:v>AWS Glue Data Catalog
Amazon DataZone</x:v>
      </x:c>
      <x:c r="G193" s="32" t="str">
        <x:v>Microsoft Purview Data Map</x:v>
      </x:c>
      <x:c r="H193" s="32" t="str">
        <x:v>Dataplex Universal Catalog
Data Catalog
Knowledge Catalog</x:v>
      </x:c>
      <x:c r="I193" s="32" t="n">
        <x:v>3.9</x:v>
      </x:c>
      <x:c r="J193" s="32" t="n">
        <x:v>2.9</x:v>
      </x:c>
      <x:c r="K193" s="32" t="n">
        <x:v>4.2</x:v>
      </x:c>
      <x:c r="L193" s="32" t="n">
        <x:v>4.3</x:v>
      </x:c>
      <x:c r="M193" s="32" t="n">
        <x:v>3.5</x:v>
      </x:c>
      <x:c r="N193" s="32" t="n">
        <x:v>4.4</x:v>
      </x:c>
      <x:c r="O193" s="32" t="n">
        <x:v>3.6</x:v>
      </x:c>
      <x:c r="P193" s="32" t="n">
        <x:v>4</x:v>
      </x:c>
      <x:c r="Q193" s="32" t="n">
        <x:v>3</x:v>
      </x:c>
      <x:c r="R193" s="32" t="n">
        <x:v>4.5</x:v>
      </x:c>
      <x:c r="S193" s="32" t="n">
        <x:v>4.5</x:v>
      </x:c>
      <x:c r="T193" s="32" t="n">
        <x:v>3.5</x:v>
      </x:c>
      <x:c r="U193" s="32" t="n">
        <x:v>4.4</x:v>
      </x:c>
      <x:c r="V193" s="32" t="n">
        <x:v>3.8</x:v>
      </x:c>
      <x:c r="W193" s="32" t="n">
        <x:v>3.9</x:v>
      </x:c>
      <x:c r="X193" s="32" t="n">
        <x:v>2.9</x:v>
      </x:c>
      <x:c r="Y193" s="32" t="n">
        <x:v>4.3</x:v>
      </x:c>
      <x:c r="Z193" s="32" t="n">
        <x:v>4.6</x:v>
      </x:c>
      <x:c r="AA193" s="32" t="n">
        <x:v>3.5</x:v>
      </x:c>
      <x:c r="AB193" s="32" t="n">
        <x:v>4.2</x:v>
      </x:c>
      <x:c r="AC193" s="32" t="n">
        <x:v>3.8</x:v>
      </x:c>
      <x:c r="AD193" s="32" t="n">
        <x:f>ROUND((I193*'Criteria &amp; Scoring'!$B$5+J193*'Criteria &amp; Scoring'!$B$6+K193*'Criteria &amp; Scoring'!$B$7+L193*'Criteria &amp; Scoring'!$B$8+M193*'Criteria &amp; Scoring'!$B$9+N193*'Criteria &amp; Scoring'!$B$10+O193*'Criteria &amp; Scoring'!$B$11)/SUM('Criteria &amp; Scoring'!$B$5:$B$11),2)</x:f>
        <x:v>3.8</x:v>
      </x:c>
      <x:c r="AE193" s="32" t="n">
        <x:f>ROUND((P193*'Criteria &amp; Scoring'!$B$5+Q193*'Criteria &amp; Scoring'!$B$6+R193*'Criteria &amp; Scoring'!$B$7+S193*'Criteria &amp; Scoring'!$B$8+T193*'Criteria &amp; Scoring'!$B$9+U193*'Criteria &amp; Scoring'!$B$10+V193*'Criteria &amp; Scoring'!$B$11)/SUM('Criteria &amp; Scoring'!$B$5:$B$11),2)</x:f>
        <x:v>3.93</x:v>
      </x:c>
      <x:c r="AF193" s="32" t="n">
        <x:f>ROUND((W193*'Criteria &amp; Scoring'!$B$5+X193*'Criteria &amp; Scoring'!$B$6+Y193*'Criteria &amp; Scoring'!$B$7+Z193*'Criteria &amp; Scoring'!$B$8+AA193*'Criteria &amp; Scoring'!$B$9+AB193*'Criteria &amp; Scoring'!$B$10+AC193*'Criteria &amp; Scoring'!$B$11)/SUM('Criteria &amp; Scoring'!$B$5:$B$11),2)</x:f>
        <x:v>3.85</x:v>
      </x:c>
      <x:c r="AG193" s="32" t="str">
        <x:f>IF(LARGE(AD193:AF193,1)-LARGE(AD193:AF193,2)&lt;0.15,"Context-dependent tie",SUBSTITUTE(INDEX($AD$4:$AF$4,1,MATCH(MAX(AD193:AF193),AD193:AF193,0))," Overall",""))</x:f>
        <x:v>Context-dependent tie</x:v>
      </x:c>
      <x:c r="AH193" s="32" t="str">
        <x:f>IF(AG193="AWS","Start with AWS when infrastructure breadth, native integration and operational maturity are the main differentiators.",IF(AG193="Azure","Start with Azure when Microsoft identity, security, data, productivity or hybrid integration reduces delivery effort.",IF(AG193="GCP","Start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93" s="32" t="str">
        <x:v>Medium</x:v>
      </x:c>
      <x:c r="AJ193" s="32" t="str">
        <x:v>2026-07-12</x:v>
      </x:c>
    </x:row>
    <x:row r="194">
      <x:c r="A194" s="32" t="str">
        <x:v>Enterprise data governance</x:v>
      </x:c>
      <x:c r="B194" s="32" t="str">
        <x:v>06 Data Platform, Analytics &amp; BI</x:v>
      </x:c>
      <x:c r="C194" s="32" t="str">
        <x:v>Data Governance, Sharing &amp; Quality</x:v>
      </x:c>
      <x:c r="D194" s="32" t="str">
        <x:v>Workload</x:v>
      </x:c>
      <x:c r="E194" s="32" t="str">
        <x:v>What business outcome, scale, control, integration and operating model justify choosing enterprise data governance?</x:v>
      </x:c>
      <x:c r="F194" s="32" t="str">
        <x:v>Amazon DataZone
AWS Lake Formation</x:v>
      </x:c>
      <x:c r="G194" s="32" t="str">
        <x:v>Microsoft Purview</x:v>
      </x:c>
      <x:c r="H194" s="32" t="str">
        <x:v>Dataplex Universal Catalog</x:v>
      </x:c>
      <x:c r="I194" s="32" t="n">
        <x:v>3.9</x:v>
      </x:c>
      <x:c r="J194" s="32" t="n">
        <x:v>1.9</x:v>
      </x:c>
      <x:c r="K194" s="32" t="n">
        <x:v>4.2</x:v>
      </x:c>
      <x:c r="L194" s="32" t="n">
        <x:v>4.3</x:v>
      </x:c>
      <x:c r="M194" s="32" t="n">
        <x:v>3.5</x:v>
      </x:c>
      <x:c r="N194" s="32" t="n">
        <x:v>4.4</x:v>
      </x:c>
      <x:c r="O194" s="32" t="n">
        <x:v>3.6</x:v>
      </x:c>
      <x:c r="P194" s="32" t="n">
        <x:v>4</x:v>
      </x:c>
      <x:c r="Q194" s="32" t="n">
        <x:v>2</x:v>
      </x:c>
      <x:c r="R194" s="32" t="n">
        <x:v>4.5</x:v>
      </x:c>
      <x:c r="S194" s="32" t="n">
        <x:v>4.5</x:v>
      </x:c>
      <x:c r="T194" s="32" t="n">
        <x:v>3.5</x:v>
      </x:c>
      <x:c r="U194" s="32" t="n">
        <x:v>4.4</x:v>
      </x:c>
      <x:c r="V194" s="32" t="n">
        <x:v>3.8</x:v>
      </x:c>
      <x:c r="W194" s="32" t="n">
        <x:v>4</x:v>
      </x:c>
      <x:c r="X194" s="32" t="n">
        <x:v>2</x:v>
      </x:c>
      <x:c r="Y194" s="32" t="n">
        <x:v>4.4</x:v>
      </x:c>
      <x:c r="Z194" s="32" t="n">
        <x:v>4.7</x:v>
      </x:c>
      <x:c r="AA194" s="32" t="n">
        <x:v>3.5</x:v>
      </x:c>
      <x:c r="AB194" s="32" t="n">
        <x:v>4.3</x:v>
      </x:c>
      <x:c r="AC194" s="32" t="n">
        <x:v>3.9</x:v>
      </x:c>
      <x:c r="AD194" s="32" t="n">
        <x:f>ROUND((I194*'Criteria &amp; Scoring'!$B$5+J194*'Criteria &amp; Scoring'!$B$6+K194*'Criteria &amp; Scoring'!$B$7+L194*'Criteria &amp; Scoring'!$B$8+M194*'Criteria &amp; Scoring'!$B$9+N194*'Criteria &amp; Scoring'!$B$10+O194*'Criteria &amp; Scoring'!$B$11)/SUM('Criteria &amp; Scoring'!$B$5:$B$11),2)</x:f>
        <x:v>3.6</x:v>
      </x:c>
      <x:c r="AE194" s="32" t="n">
        <x:f>ROUND((P194*'Criteria &amp; Scoring'!$B$5+Q194*'Criteria &amp; Scoring'!$B$6+R194*'Criteria &amp; Scoring'!$B$7+S194*'Criteria &amp; Scoring'!$B$8+T194*'Criteria &amp; Scoring'!$B$9+U194*'Criteria &amp; Scoring'!$B$10+V194*'Criteria &amp; Scoring'!$B$11)/SUM('Criteria &amp; Scoring'!$B$5:$B$11),2)</x:f>
        <x:v>3.73</x:v>
      </x:c>
      <x:c r="AF194" s="32" t="n">
        <x:f>ROUND((W194*'Criteria &amp; Scoring'!$B$5+X194*'Criteria &amp; Scoring'!$B$6+Y194*'Criteria &amp; Scoring'!$B$7+Z194*'Criteria &amp; Scoring'!$B$8+AA194*'Criteria &amp; Scoring'!$B$9+AB194*'Criteria &amp; Scoring'!$B$10+AC194*'Criteria &amp; Scoring'!$B$11)/SUM('Criteria &amp; Scoring'!$B$5:$B$11),2)</x:f>
        <x:v>3.74</x:v>
      </x:c>
      <x:c r="AG194" s="32" t="str">
        <x:f>IF(LARGE(AD194:AF194,1)-LARGE(AD194:AF194,2)&lt;0.15,"Context-dependent tie",SUBSTITUTE(INDEX($AD$4:$AF$4,1,MATCH(MAX(AD194:AF194),AD194:AF194,0))," Overall",""))</x:f>
        <x:v>Context-dependent tie</x:v>
      </x:c>
      <x:c r="AH194" s="32" t="str">
        <x:f>IF(AG194="AWS","Start with AWS when infrastructure breadth, native integration and operational maturity are the main differentiators.",IF(AG194="Azure","Start with Azure when Microsoft identity, security, data, productivity or hybrid integration reduces delivery effort.",IF(AG194="GCP","Start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94" s="32" t="str">
        <x:v>Medium</x:v>
      </x:c>
      <x:c r="AJ194" s="32" t="str">
        <x:v>2026-07-12</x:v>
      </x:c>
    </x:row>
    <x:row r="195">
      <x:c r="A195" s="32" t="str">
        <x:v>Governed data sharing</x:v>
      </x:c>
      <x:c r="B195" s="32" t="str">
        <x:v>06 Data Platform, Analytics &amp; BI</x:v>
      </x:c>
      <x:c r="C195" s="32" t="str">
        <x:v>Data Governance, Sharing &amp; Quality</x:v>
      </x:c>
      <x:c r="D195" s="32" t="str">
        <x:v>Workload</x:v>
      </x:c>
      <x:c r="E195" s="32" t="str">
        <x:v>What business outcome, scale, control, integration and operating model justify choosing governed data sharing?</x:v>
      </x:c>
      <x:c r="F195" s="32" t="str">
        <x:v>AWS Data Exchange
AWS Lake Formation</x:v>
      </x:c>
      <x:c r="G195" s="32" t="str">
        <x:v>Azure Data Share
Microsoft Purview</x:v>
      </x:c>
      <x:c r="H195" s="32" t="str">
        <x:v>Analytics Hub
BigQuery sharing</x:v>
      </x:c>
      <x:c r="I195" s="32" t="n">
        <x:v>3.9</x:v>
      </x:c>
      <x:c r="J195" s="32" t="n">
        <x:v>2.9</x:v>
      </x:c>
      <x:c r="K195" s="32" t="n">
        <x:v>4.2</x:v>
      </x:c>
      <x:c r="L195" s="32" t="n">
        <x:v>4.3</x:v>
      </x:c>
      <x:c r="M195" s="32" t="n">
        <x:v>3.5</x:v>
      </x:c>
      <x:c r="N195" s="32" t="n">
        <x:v>4.4</x:v>
      </x:c>
      <x:c r="O195" s="32" t="n">
        <x:v>3.6</x:v>
      </x:c>
      <x:c r="P195" s="32" t="n">
        <x:v>3.9</x:v>
      </x:c>
      <x:c r="Q195" s="32" t="n">
        <x:v>2.9</x:v>
      </x:c>
      <x:c r="R195" s="32" t="n">
        <x:v>4.4</x:v>
      </x:c>
      <x:c r="S195" s="32" t="n">
        <x:v>4.4</x:v>
      </x:c>
      <x:c r="T195" s="32" t="n">
        <x:v>3.5</x:v>
      </x:c>
      <x:c r="U195" s="32" t="n">
        <x:v>4.3</x:v>
      </x:c>
      <x:c r="V195" s="32" t="n">
        <x:v>3.7</x:v>
      </x:c>
      <x:c r="W195" s="32" t="n">
        <x:v>3.9</x:v>
      </x:c>
      <x:c r="X195" s="32" t="n">
        <x:v>2.9</x:v>
      </x:c>
      <x:c r="Y195" s="32" t="n">
        <x:v>4.3</x:v>
      </x:c>
      <x:c r="Z195" s="32" t="n">
        <x:v>4.6</x:v>
      </x:c>
      <x:c r="AA195" s="32" t="n">
        <x:v>3.5</x:v>
      </x:c>
      <x:c r="AB195" s="32" t="n">
        <x:v>4.2</x:v>
      </x:c>
      <x:c r="AC195" s="32" t="n">
        <x:v>3.8</x:v>
      </x:c>
      <x:c r="AD195" s="32" t="n">
        <x:f>ROUND((I195*'Criteria &amp; Scoring'!$B$5+J195*'Criteria &amp; Scoring'!$B$6+K195*'Criteria &amp; Scoring'!$B$7+L195*'Criteria &amp; Scoring'!$B$8+M195*'Criteria &amp; Scoring'!$B$9+N195*'Criteria &amp; Scoring'!$B$10+O195*'Criteria &amp; Scoring'!$B$11)/SUM('Criteria &amp; Scoring'!$B$5:$B$11),2)</x:f>
        <x:v>3.8</x:v>
      </x:c>
      <x:c r="AE195" s="32" t="n">
        <x:f>ROUND((P195*'Criteria &amp; Scoring'!$B$5+Q195*'Criteria &amp; Scoring'!$B$6+R195*'Criteria &amp; Scoring'!$B$7+S195*'Criteria &amp; Scoring'!$B$8+T195*'Criteria &amp; Scoring'!$B$9+U195*'Criteria &amp; Scoring'!$B$10+V195*'Criteria &amp; Scoring'!$B$11)/SUM('Criteria &amp; Scoring'!$B$5:$B$11),2)</x:f>
        <x:v>3.84</x:v>
      </x:c>
      <x:c r="AF195" s="32" t="n">
        <x:f>ROUND((W195*'Criteria &amp; Scoring'!$B$5+X195*'Criteria &amp; Scoring'!$B$6+Y195*'Criteria &amp; Scoring'!$B$7+Z195*'Criteria &amp; Scoring'!$B$8+AA195*'Criteria &amp; Scoring'!$B$9+AB195*'Criteria &amp; Scoring'!$B$10+AC195*'Criteria &amp; Scoring'!$B$11)/SUM('Criteria &amp; Scoring'!$B$5:$B$11),2)</x:f>
        <x:v>3.85</x:v>
      </x:c>
      <x:c r="AG195" s="32" t="str">
        <x:f>IF(LARGE(AD195:AF195,1)-LARGE(AD195:AF195,2)&lt;0.15,"Context-dependent tie",SUBSTITUTE(INDEX($AD$4:$AF$4,1,MATCH(MAX(AD195:AF195),AD195:AF195,0))," Overall",""))</x:f>
        <x:v>Context-dependent tie</x:v>
      </x:c>
      <x:c r="AH195" s="32" t="str">
        <x:f>IF(AG195="AWS","Start with AWS when infrastructure breadth, native integration and operational maturity are the main differentiators.",IF(AG195="Azure","Start with Azure when Microsoft identity, security, data, productivity or hybrid integration reduces delivery effort.",IF(AG195="GCP","Start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95" s="32" t="str">
        <x:v>Medium</x:v>
      </x:c>
      <x:c r="AJ195" s="32" t="str">
        <x:v>2026-07-12</x:v>
      </x:c>
    </x:row>
    <x:row r="196">
      <x:c r="A196" s="32" t="str">
        <x:v>Data clean room</x:v>
      </x:c>
      <x:c r="B196" s="32" t="str">
        <x:v>06 Data Platform, Analytics &amp; BI</x:v>
      </x:c>
      <x:c r="C196" s="32" t="str">
        <x:v>Data Governance, Sharing &amp; Quality</x:v>
      </x:c>
      <x:c r="D196" s="32" t="str">
        <x:v>Workload</x:v>
      </x:c>
      <x:c r="E196" s="32" t="str">
        <x:v>What business outcome, scale, control, integration and operating model justify choosing data clean room?</x:v>
      </x:c>
      <x:c r="F196" s="32" t="str">
        <x:v>AWS Clean Rooms</x:v>
      </x:c>
      <x:c r="G196" s="32" t="str">
        <x:v>Azure Confidential Clean Rooms / partner solutions</x:v>
      </x:c>
      <x:c r="H196" s="32" t="str">
        <x:v>BigQuery data clean rooms</x:v>
      </x:c>
      <x:c r="I196" s="32" t="n">
        <x:v>4</x:v>
      </x:c>
      <x:c r="J196" s="32" t="n">
        <x:v>3</x:v>
      </x:c>
      <x:c r="K196" s="32" t="n">
        <x:v>4.3</x:v>
      </x:c>
      <x:c r="L196" s="32" t="n">
        <x:v>4.3</x:v>
      </x:c>
      <x:c r="M196" s="32" t="n">
        <x:v>3.5</x:v>
      </x:c>
      <x:c r="N196" s="32" t="n">
        <x:v>4.5</x:v>
      </x:c>
      <x:c r="O196" s="32" t="n">
        <x:v>3.7</x:v>
      </x:c>
      <x:c r="P196" s="32" t="n">
        <x:v>3.3</x:v>
      </x:c>
      <x:c r="Q196" s="32" t="n">
        <x:v>2.6</x:v>
      </x:c>
      <x:c r="R196" s="32" t="n">
        <x:v>4</x:v>
      </x:c>
      <x:c r="S196" s="32" t="n">
        <x:v>4.1</x:v>
      </x:c>
      <x:c r="T196" s="32" t="n">
        <x:v>3.3</x:v>
      </x:c>
      <x:c r="U196" s="32" t="n">
        <x:v>4</x:v>
      </x:c>
      <x:c r="V196" s="32" t="n">
        <x:v>3.6</x:v>
      </x:c>
      <x:c r="W196" s="32" t="n">
        <x:v>4</x:v>
      </x:c>
      <x:c r="X196" s="32" t="n">
        <x:v>3</x:v>
      </x:c>
      <x:c r="Y196" s="32" t="n">
        <x:v>4.4</x:v>
      </x:c>
      <x:c r="Z196" s="32" t="n">
        <x:v>4.7</x:v>
      </x:c>
      <x:c r="AA196" s="32" t="n">
        <x:v>3.5</x:v>
      </x:c>
      <x:c r="AB196" s="32" t="n">
        <x:v>4.3</x:v>
      </x:c>
      <x:c r="AC196" s="32" t="n">
        <x:v>3.9</x:v>
      </x:c>
      <x:c r="AD196" s="32" t="n">
        <x:f>ROUND((I196*'Criteria &amp; Scoring'!$B$5+J196*'Criteria &amp; Scoring'!$B$6+K196*'Criteria &amp; Scoring'!$B$7+L196*'Criteria &amp; Scoring'!$B$8+M196*'Criteria &amp; Scoring'!$B$9+N196*'Criteria &amp; Scoring'!$B$10+O196*'Criteria &amp; Scoring'!$B$11)/SUM('Criteria &amp; Scoring'!$B$5:$B$11),2)</x:f>
        <x:v>3.88</x:v>
      </x:c>
      <x:c r="AE196" s="32" t="n">
        <x:f>ROUND((P196*'Criteria &amp; Scoring'!$B$5+Q196*'Criteria &amp; Scoring'!$B$6+R196*'Criteria &amp; Scoring'!$B$7+S196*'Criteria &amp; Scoring'!$B$8+T196*'Criteria &amp; Scoring'!$B$9+U196*'Criteria &amp; Scoring'!$B$10+V196*'Criteria &amp; Scoring'!$B$11)/SUM('Criteria &amp; Scoring'!$B$5:$B$11),2)</x:f>
        <x:v>3.47</x:v>
      </x:c>
      <x:c r="AF196" s="32" t="n">
        <x:f>ROUND((W196*'Criteria &amp; Scoring'!$B$5+X196*'Criteria &amp; Scoring'!$B$6+Y196*'Criteria &amp; Scoring'!$B$7+Z196*'Criteria &amp; Scoring'!$B$8+AA196*'Criteria &amp; Scoring'!$B$9+AB196*'Criteria &amp; Scoring'!$B$10+AC196*'Criteria &amp; Scoring'!$B$11)/SUM('Criteria &amp; Scoring'!$B$5:$B$11),2)</x:f>
        <x:v>3.94</x:v>
      </x:c>
      <x:c r="AG196" s="32" t="str">
        <x:f>IF(LARGE(AD196:AF196,1)-LARGE(AD196:AF196,2)&lt;0.15,"Context-dependent tie",SUBSTITUTE(INDEX($AD$4:$AF$4,1,MATCH(MAX(AD196:AF196),AD196:AF196,0))," Overall",""))</x:f>
        <x:v>Context-dependent tie</x:v>
      </x:c>
      <x:c r="AH196" s="32" t="str">
        <x:f>IF(AG196="AWS","Start with AWS when infrastructure breadth, native integration and operational maturity are the main differentiators.",IF(AG196="Azure","Start with Azure when Microsoft identity, security, data, productivity or hybrid integration reduces delivery effort.",IF(AG196="GCP","Start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96" s="32" t="str">
        <x:v>Medium</x:v>
      </x:c>
      <x:c r="AJ196" s="32" t="str">
        <x:v>2026-07-12</x:v>
      </x:c>
    </x:row>
    <x:row r="197">
      <x:c r="A197" s="32" t="str">
        <x:v>Entity matching</x:v>
      </x:c>
      <x:c r="B197" s="32" t="str">
        <x:v>06 Data Platform, Analytics &amp; BI</x:v>
      </x:c>
      <x:c r="C197" s="32" t="str">
        <x:v>Data Governance, Sharing &amp; Quality</x:v>
      </x:c>
      <x:c r="D197" s="32" t="str">
        <x:v>Workload</x:v>
      </x:c>
      <x:c r="E197" s="32" t="str">
        <x:v>What business outcome, scale, control, integration and operating model justify choosing entity matching?</x:v>
      </x:c>
      <x:c r="F197" s="32" t="str">
        <x:v>AWS Entity Resolution</x:v>
      </x:c>
      <x:c r="G197" s="32" t="str">
        <x:v>Microsoft Fabric Data Factory / partner MDM</x:v>
      </x:c>
      <x:c r="H197" s="32" t="str">
        <x:v>BigQuery entity resolution patterns</x:v>
      </x:c>
      <x:c r="I197" s="32" t="n">
        <x:v>3.5</x:v>
      </x:c>
      <x:c r="J197" s="32" t="n">
        <x:v>3</x:v>
      </x:c>
      <x:c r="K197" s="32" t="n">
        <x:v>4.1</x:v>
      </x:c>
      <x:c r="L197" s="32" t="n">
        <x:v>4.3</x:v>
      </x:c>
      <x:c r="M197" s="32" t="n">
        <x:v>3.5</x:v>
      </x:c>
      <x:c r="N197" s="32" t="n">
        <x:v>4.3</x:v>
      </x:c>
      <x:c r="O197" s="32" t="n">
        <x:v>3.7</x:v>
      </x:c>
      <x:c r="P197" s="32" t="n">
        <x:v>2.8</x:v>
      </x:c>
      <x:c r="Q197" s="32" t="n">
        <x:v>2.6</x:v>
      </x:c>
      <x:c r="R197" s="32" t="n">
        <x:v>3.8</x:v>
      </x:c>
      <x:c r="S197" s="32" t="n">
        <x:v>4.1</x:v>
      </x:c>
      <x:c r="T197" s="32" t="n">
        <x:v>3.3</x:v>
      </x:c>
      <x:c r="U197" s="32" t="n">
        <x:v>3.7</x:v>
      </x:c>
      <x:c r="V197" s="32" t="n">
        <x:v>3.6</x:v>
      </x:c>
      <x:c r="W197" s="32" t="n">
        <x:v>2.8</x:v>
      </x:c>
      <x:c r="X197" s="32" t="n">
        <x:v>2.6</x:v>
      </x:c>
      <x:c r="Y197" s="32" t="n">
        <x:v>3.8</x:v>
      </x:c>
      <x:c r="Z197" s="32" t="n">
        <x:v>4.3</x:v>
      </x:c>
      <x:c r="AA197" s="32" t="n">
        <x:v>3.3</x:v>
      </x:c>
      <x:c r="AB197" s="32" t="n">
        <x:v>3.6</x:v>
      </x:c>
      <x:c r="AC197" s="32" t="n">
        <x:v>3.6</x:v>
      </x:c>
      <x:c r="AD197" s="32" t="n">
        <x:f>ROUND((I197*'Criteria &amp; Scoring'!$B$5+J197*'Criteria &amp; Scoring'!$B$6+K197*'Criteria &amp; Scoring'!$B$7+L197*'Criteria &amp; Scoring'!$B$8+M197*'Criteria &amp; Scoring'!$B$9+N197*'Criteria &amp; Scoring'!$B$10+O197*'Criteria &amp; Scoring'!$B$11)/SUM('Criteria &amp; Scoring'!$B$5:$B$11),2)</x:f>
        <x:v>3.7</x:v>
      </x:c>
      <x:c r="AE197" s="32" t="n">
        <x:f>ROUND((P197*'Criteria &amp; Scoring'!$B$5+Q197*'Criteria &amp; Scoring'!$B$6+R197*'Criteria &amp; Scoring'!$B$7+S197*'Criteria &amp; Scoring'!$B$8+T197*'Criteria &amp; Scoring'!$B$9+U197*'Criteria &amp; Scoring'!$B$10+V197*'Criteria &amp; Scoring'!$B$11)/SUM('Criteria &amp; Scoring'!$B$5:$B$11),2)</x:f>
        <x:v>3.29</x:v>
      </x:c>
      <x:c r="AF197" s="32" t="n">
        <x:f>ROUND((W197*'Criteria &amp; Scoring'!$B$5+X197*'Criteria &amp; Scoring'!$B$6+Y197*'Criteria &amp; Scoring'!$B$7+Z197*'Criteria &amp; Scoring'!$B$8+AA197*'Criteria &amp; Scoring'!$B$9+AB197*'Criteria &amp; Scoring'!$B$10+AC197*'Criteria &amp; Scoring'!$B$11)/SUM('Criteria &amp; Scoring'!$B$5:$B$11),2)</x:f>
        <x:v>3.31</x:v>
      </x:c>
      <x:c r="AG197" s="32" t="str">
        <x:f>IF(LARGE(AD197:AF197,1)-LARGE(AD197:AF197,2)&lt;0.15,"Context-dependent tie",SUBSTITUTE(INDEX($AD$4:$AF$4,1,MATCH(MAX(AD197:AF197),AD197:AF197,0))," Overall",""))</x:f>
        <x:v>AWS</x:v>
      </x:c>
      <x:c r="AH197" s="32" t="str">
        <x:f>IF(AG197="AWS","Start with AWS when infrastructure breadth, native integration and operational maturity are the main differentiators.",IF(AG197="Azure","Start with Azure when Microsoft identity, security, data, productivity or hybrid integration reduces delivery effort.",IF(AG197="GCP","Start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197" s="32" t="str">
        <x:v>Low</x:v>
      </x:c>
      <x:c r="AJ197" s="32" t="str">
        <x:v>2026-07-12</x:v>
      </x:c>
    </x:row>
    <x:row r="198">
      <x:c r="A198" s="32" t="str">
        <x:v>Business intelligence and dashboards</x:v>
      </x:c>
      <x:c r="B198" s="32" t="str">
        <x:v>06 Data Platform, Analytics &amp; BI</x:v>
      </x:c>
      <x:c r="C198" s="32" t="str">
        <x:v>Analytics, BI &amp; Search</x:v>
      </x:c>
      <x:c r="D198" s="32" t="str">
        <x:v>Workload</x:v>
      </x:c>
      <x:c r="E198" s="32" t="str">
        <x:v>What business outcome, scale, control, integration and operating model justify choosing business intelligence and dashboards?</x:v>
      </x:c>
      <x:c r="F198" s="32" t="str">
        <x:v>Amazon Quick
Amazon QuickSight</x:v>
      </x:c>
      <x:c r="G198" s="32" t="str">
        <x:v>Power BI
Microsoft Fabric</x:v>
      </x:c>
      <x:c r="H198" s="32" t="str">
        <x:v>Looker
Looker Studio</x:v>
      </x:c>
      <x:c r="I198" s="32" t="n">
        <x:v>3.9</x:v>
      </x:c>
      <x:c r="J198" s="32" t="n">
        <x:v>2.9</x:v>
      </x:c>
      <x:c r="K198" s="32" t="n">
        <x:v>4.2</x:v>
      </x:c>
      <x:c r="L198" s="32" t="n">
        <x:v>4.3</x:v>
      </x:c>
      <x:c r="M198" s="32" t="n">
        <x:v>3.5</x:v>
      </x:c>
      <x:c r="N198" s="32" t="n">
        <x:v>4.4</x:v>
      </x:c>
      <x:c r="O198" s="32" t="n">
        <x:v>3.6</x:v>
      </x:c>
      <x:c r="P198" s="32" t="n">
        <x:v>4.3</x:v>
      </x:c>
      <x:c r="Q198" s="32" t="n">
        <x:v>3.3</x:v>
      </x:c>
      <x:c r="R198" s="32" t="n">
        <x:v>4.7</x:v>
      </x:c>
      <x:c r="S198" s="32" t="n">
        <x:v>4.7</x:v>
      </x:c>
      <x:c r="T198" s="32" t="n">
        <x:v>3.5</x:v>
      </x:c>
      <x:c r="U198" s="32" t="n">
        <x:v>4.3</x:v>
      </x:c>
      <x:c r="V198" s="32" t="n">
        <x:v>3.7</x:v>
      </x:c>
      <x:c r="W198" s="32" t="n">
        <x:v>4.3</x:v>
      </x:c>
      <x:c r="X198" s="32" t="n">
        <x:v>2.9</x:v>
      </x:c>
      <x:c r="Y198" s="32" t="n">
        <x:v>4.1</x:v>
      </x:c>
      <x:c r="Z198" s="32" t="n">
        <x:v>4.6</x:v>
      </x:c>
      <x:c r="AA198" s="32" t="n">
        <x:v>3.5</x:v>
      </x:c>
      <x:c r="AB198" s="32" t="n">
        <x:v>4.2</x:v>
      </x:c>
      <x:c r="AC198" s="32" t="n">
        <x:v>3.8</x:v>
      </x:c>
      <x:c r="AD198" s="32" t="n">
        <x:f>ROUND((I198*'Criteria &amp; Scoring'!$B$5+J198*'Criteria &amp; Scoring'!$B$6+K198*'Criteria &amp; Scoring'!$B$7+L198*'Criteria &amp; Scoring'!$B$8+M198*'Criteria &amp; Scoring'!$B$9+N198*'Criteria &amp; Scoring'!$B$10+O198*'Criteria &amp; Scoring'!$B$11)/SUM('Criteria &amp; Scoring'!$B$5:$B$11),2)</x:f>
        <x:v>3.8</x:v>
      </x:c>
      <x:c r="AE198" s="32" t="n">
        <x:f>ROUND((P198*'Criteria &amp; Scoring'!$B$5+Q198*'Criteria &amp; Scoring'!$B$6+R198*'Criteria &amp; Scoring'!$B$7+S198*'Criteria &amp; Scoring'!$B$8+T198*'Criteria &amp; Scoring'!$B$9+U198*'Criteria &amp; Scoring'!$B$10+V198*'Criteria &amp; Scoring'!$B$11)/SUM('Criteria &amp; Scoring'!$B$5:$B$11),2)</x:f>
        <x:v>4.11</x:v>
      </x:c>
      <x:c r="AF198" s="32" t="n">
        <x:f>ROUND((W198*'Criteria &amp; Scoring'!$B$5+X198*'Criteria &amp; Scoring'!$B$6+Y198*'Criteria &amp; Scoring'!$B$7+Z198*'Criteria &amp; Scoring'!$B$8+AA198*'Criteria &amp; Scoring'!$B$9+AB198*'Criteria &amp; Scoring'!$B$10+AC198*'Criteria &amp; Scoring'!$B$11)/SUM('Criteria &amp; Scoring'!$B$5:$B$11),2)</x:f>
        <x:v>3.92</x:v>
      </x:c>
      <x:c r="AG198" s="32" t="str">
        <x:f>IF(LARGE(AD198:AF198,1)-LARGE(AD198:AF198,2)&lt;0.15,"Context-dependent tie",SUBSTITUTE(INDEX($AD$4:$AF$4,1,MATCH(MAX(AD198:AF198),AD198:AF198,0))," Overall",""))</x:f>
        <x:v>Azure</x:v>
      </x:c>
      <x:c r="AH198" s="32" t="str">
        <x:f>IF(AG198="AWS","Start with AWS when infrastructure breadth, native integration and operational maturity are the main differentiators.",IF(AG198="Azure","Start with Azure when Microsoft identity, security, data, productivity or hybrid integration reduces delivery effort.",IF(AG198="GCP","Start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198" s="32" t="str">
        <x:v>Medium</x:v>
      </x:c>
      <x:c r="AJ198" s="32" t="str">
        <x:v>2026-07-12</x:v>
      </x:c>
    </x:row>
    <x:row r="199">
      <x:c r="A199" s="32" t="str">
        <x:v>Managed search and log analytics</x:v>
      </x:c>
      <x:c r="B199" s="32" t="str">
        <x:v>06 Data Platform, Analytics &amp; BI</x:v>
      </x:c>
      <x:c r="C199" s="32" t="str">
        <x:v>Analytics, BI &amp; Search</x:v>
      </x:c>
      <x:c r="D199" s="32" t="str">
        <x:v>Workload</x:v>
      </x:c>
      <x:c r="E199" s="32" t="str">
        <x:v>What business outcome, scale, control, integration and operating model justify choosing managed search and log analytics?</x:v>
      </x:c>
      <x:c r="F199" s="32" t="str">
        <x:v>Amazon OpenSearch Service
Amazon OpenSearch Serverless</x:v>
      </x:c>
      <x:c r="G199" s="32" t="str">
        <x:v>Azure Data Explorer
Azure AI Search</x:v>
      </x:c>
      <x:c r="H199" s="32" t="str">
        <x:v>BigQuery
Google Security Operations</x:v>
      </x:c>
      <x:c r="I199" s="32" t="n">
        <x:v>3.4</x:v>
      </x:c>
      <x:c r="J199" s="32" t="n">
        <x:v>2.9</x:v>
      </x:c>
      <x:c r="K199" s="32" t="n">
        <x:v>4</x:v>
      </x:c>
      <x:c r="L199" s="32" t="n">
        <x:v>4.3</x:v>
      </x:c>
      <x:c r="M199" s="32" t="n">
        <x:v>3.5</x:v>
      </x:c>
      <x:c r="N199" s="32" t="n">
        <x:v>4.2</x:v>
      </x:c>
      <x:c r="O199" s="32" t="n">
        <x:v>3.6</x:v>
      </x:c>
      <x:c r="P199" s="32" t="n">
        <x:v>3.9</x:v>
      </x:c>
      <x:c r="Q199" s="32" t="n">
        <x:v>2.9</x:v>
      </x:c>
      <x:c r="R199" s="32" t="n">
        <x:v>4.4</x:v>
      </x:c>
      <x:c r="S199" s="32" t="n">
        <x:v>4.7</x:v>
      </x:c>
      <x:c r="T199" s="32" t="n">
        <x:v>3.5</x:v>
      </x:c>
      <x:c r="U199" s="32" t="n">
        <x:v>4.1</x:v>
      </x:c>
      <x:c r="V199" s="32" t="n">
        <x:v>3.7</x:v>
      </x:c>
      <x:c r="W199" s="32" t="n">
        <x:v>3.9</x:v>
      </x:c>
      <x:c r="X199" s="32" t="n">
        <x:v>2.9</x:v>
      </x:c>
      <x:c r="Y199" s="32" t="n">
        <x:v>3.8</x:v>
      </x:c>
      <x:c r="Z199" s="32" t="n">
        <x:v>4.6</x:v>
      </x:c>
      <x:c r="AA199" s="32" t="n">
        <x:v>3.5</x:v>
      </x:c>
      <x:c r="AB199" s="32" t="n">
        <x:v>4</x:v>
      </x:c>
      <x:c r="AC199" s="32" t="n">
        <x:v>3.8</x:v>
      </x:c>
      <x:c r="AD199" s="32" t="n">
        <x:f>ROUND((I199*'Criteria &amp; Scoring'!$B$5+J199*'Criteria &amp; Scoring'!$B$6+K199*'Criteria &amp; Scoring'!$B$7+L199*'Criteria &amp; Scoring'!$B$8+M199*'Criteria &amp; Scoring'!$B$9+N199*'Criteria &amp; Scoring'!$B$10+O199*'Criteria &amp; Scoring'!$B$11)/SUM('Criteria &amp; Scoring'!$B$5:$B$11),2)</x:f>
        <x:v>3.63</x:v>
      </x:c>
      <x:c r="AE199" s="32" t="n">
        <x:f>ROUND((P199*'Criteria &amp; Scoring'!$B$5+Q199*'Criteria &amp; Scoring'!$B$6+R199*'Criteria &amp; Scoring'!$B$7+S199*'Criteria &amp; Scoring'!$B$8+T199*'Criteria &amp; Scoring'!$B$9+U199*'Criteria &amp; Scoring'!$B$10+V199*'Criteria &amp; Scoring'!$B$11)/SUM('Criteria &amp; Scoring'!$B$5:$B$11),2)</x:f>
        <x:v>3.87</x:v>
      </x:c>
      <x:c r="AF199" s="32" t="n">
        <x:f>ROUND((W199*'Criteria &amp; Scoring'!$B$5+X199*'Criteria &amp; Scoring'!$B$6+Y199*'Criteria &amp; Scoring'!$B$7+Z199*'Criteria &amp; Scoring'!$B$8+AA199*'Criteria &amp; Scoring'!$B$9+AB199*'Criteria &amp; Scoring'!$B$10+AC199*'Criteria &amp; Scoring'!$B$11)/SUM('Criteria &amp; Scoring'!$B$5:$B$11),2)</x:f>
        <x:v>3.76</x:v>
      </x:c>
      <x:c r="AG199" s="32" t="str">
        <x:f>IF(LARGE(AD199:AF199,1)-LARGE(AD199:AF199,2)&lt;0.15,"Context-dependent tie",SUBSTITUTE(INDEX($AD$4:$AF$4,1,MATCH(MAX(AD199:AF199),AD199:AF199,0))," Overall",""))</x:f>
        <x:v>Context-dependent tie</x:v>
      </x:c>
      <x:c r="AH199" s="32" t="str">
        <x:f>IF(AG199="AWS","Start with AWS when infrastructure breadth, native integration and operational maturity are the main differentiators.",IF(AG199="Azure","Start with Azure when Microsoft identity, security, data, productivity or hybrid integration reduces delivery effort.",IF(AG199="GCP","Start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199" s="32" t="str">
        <x:v>Low</x:v>
      </x:c>
      <x:c r="AJ199" s="32" t="str">
        <x:v>2026-07-12</x:v>
      </x:c>
    </x:row>
    <x:row r="200">
      <x:c r="A200" s="32" t="str">
        <x:v>Financial-services data analytics</x:v>
      </x:c>
      <x:c r="B200" s="32" t="str">
        <x:v>06 Data Platform, Analytics &amp; BI</x:v>
      </x:c>
      <x:c r="C200" s="32" t="str">
        <x:v>Analytics, BI &amp; Search</x:v>
      </x:c>
      <x:c r="D200" s="32" t="str">
        <x:v>Workload</x:v>
      </x:c>
      <x:c r="E200" s="32" t="str">
        <x:v>What business outcome, scale, control, integration and operating model justify choosing financial-services data analytics?</x:v>
      </x:c>
      <x:c r="F200" s="32" t="str">
        <x:v>Amazon FinSpace</x:v>
      </x:c>
      <x:c r="G200" s="32" t="str">
        <x:v>Microsoft Cloud for Financial Services
Microsoft Fabric</x:v>
      </x:c>
      <x:c r="H200" s="32" t="str">
        <x:v>BigQuery financial-services solutions</x:v>
      </x:c>
      <x:c r="I200" s="32" t="n">
        <x:v>3.5</x:v>
      </x:c>
      <x:c r="J200" s="32" t="n">
        <x:v>3</x:v>
      </x:c>
      <x:c r="K200" s="32" t="n">
        <x:v>4.1</x:v>
      </x:c>
      <x:c r="L200" s="32" t="n">
        <x:v>4.3</x:v>
      </x:c>
      <x:c r="M200" s="32" t="n">
        <x:v>3.5</x:v>
      </x:c>
      <x:c r="N200" s="32" t="n">
        <x:v>4.3</x:v>
      </x:c>
      <x:c r="O200" s="32" t="n">
        <x:v>3.7</x:v>
      </x:c>
      <x:c r="P200" s="32" t="n">
        <x:v>3.9</x:v>
      </x:c>
      <x:c r="Q200" s="32" t="n">
        <x:v>2.9</x:v>
      </x:c>
      <x:c r="R200" s="32" t="n">
        <x:v>4.4</x:v>
      </x:c>
      <x:c r="S200" s="32" t="n">
        <x:v>4.7</x:v>
      </x:c>
      <x:c r="T200" s="32" t="n">
        <x:v>3.5</x:v>
      </x:c>
      <x:c r="U200" s="32" t="n">
        <x:v>4.1</x:v>
      </x:c>
      <x:c r="V200" s="32" t="n">
        <x:v>3.7</x:v>
      </x:c>
      <x:c r="W200" s="32" t="n">
        <x:v>4</x:v>
      </x:c>
      <x:c r="X200" s="32" t="n">
        <x:v>3</x:v>
      </x:c>
      <x:c r="Y200" s="32" t="n">
        <x:v>4.2</x:v>
      </x:c>
      <x:c r="Z200" s="32" t="n">
        <x:v>4.7</x:v>
      </x:c>
      <x:c r="AA200" s="32" t="n">
        <x:v>3.5</x:v>
      </x:c>
      <x:c r="AB200" s="32" t="n">
        <x:v>4.1</x:v>
      </x:c>
      <x:c r="AC200" s="32" t="n">
        <x:v>3.9</x:v>
      </x:c>
      <x:c r="AD200" s="32" t="n">
        <x:f>ROUND((I200*'Criteria &amp; Scoring'!$B$5+J200*'Criteria &amp; Scoring'!$B$6+K200*'Criteria &amp; Scoring'!$B$7+L200*'Criteria &amp; Scoring'!$B$8+M200*'Criteria &amp; Scoring'!$B$9+N200*'Criteria &amp; Scoring'!$B$10+O200*'Criteria &amp; Scoring'!$B$11)/SUM('Criteria &amp; Scoring'!$B$5:$B$11),2)</x:f>
        <x:v>3.7</x:v>
      </x:c>
      <x:c r="AE200" s="32" t="n">
        <x:f>ROUND((P200*'Criteria &amp; Scoring'!$B$5+Q200*'Criteria &amp; Scoring'!$B$6+R200*'Criteria &amp; Scoring'!$B$7+S200*'Criteria &amp; Scoring'!$B$8+T200*'Criteria &amp; Scoring'!$B$9+U200*'Criteria &amp; Scoring'!$B$10+V200*'Criteria &amp; Scoring'!$B$11)/SUM('Criteria &amp; Scoring'!$B$5:$B$11),2)</x:f>
        <x:v>3.87</x:v>
      </x:c>
      <x:c r="AF200" s="32" t="n">
        <x:f>ROUND((W200*'Criteria &amp; Scoring'!$B$5+X200*'Criteria &amp; Scoring'!$B$6+Y200*'Criteria &amp; Scoring'!$B$7+Z200*'Criteria &amp; Scoring'!$B$8+AA200*'Criteria &amp; Scoring'!$B$9+AB200*'Criteria &amp; Scoring'!$B$10+AC200*'Criteria &amp; Scoring'!$B$11)/SUM('Criteria &amp; Scoring'!$B$5:$B$11),2)</x:f>
        <x:v>3.89</x:v>
      </x:c>
      <x:c r="AG200" s="32" t="str">
        <x:f>IF(LARGE(AD200:AF200,1)-LARGE(AD200:AF200,2)&lt;0.15,"Context-dependent tie",SUBSTITUTE(INDEX($AD$4:$AF$4,1,MATCH(MAX(AD200:AF200),AD200:AF200,0))," Overall",""))</x:f>
        <x:v>Context-dependent tie</x:v>
      </x:c>
      <x:c r="AH200" s="32" t="str">
        <x:f>IF(AG200="AWS","Start with AWS when infrastructure breadth, native integration and operational maturity are the main differentiators.",IF(AG200="Azure","Start with Azure when Microsoft identity, security, data, productivity or hybrid integration reduces delivery effort.",IF(AG200="GCP","Start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00" s="32" t="str">
        <x:v>Low</x:v>
      </x:c>
      <x:c r="AJ200" s="32" t="str">
        <x:v>2026-07-12</x:v>
      </x:c>
    </x:row>
    <x:row r="201">
      <x:c r="A201" s="32" t="str">
        <x:v>Managed message queue</x:v>
      </x:c>
      <x:c r="B201" s="32" t="str">
        <x:v>08 Applications, APIs &amp; Integration</x:v>
      </x:c>
      <x:c r="C201" s="32" t="str">
        <x:v>Messaging &amp; Eventing</x:v>
      </x:c>
      <x:c r="D201" s="32" t="str">
        <x:v>Component</x:v>
      </x:c>
      <x:c r="E201" s="32" t="str">
        <x:v>What business outcome, scale, control, integration and operating model justify choosing managed message queue?</x:v>
      </x:c>
      <x:c r="F201" s="32" t="str">
        <x:v>Amazon Simple Queue Service</x:v>
      </x:c>
      <x:c r="G201" s="32" t="str">
        <x:v>Azure Service Bus queues</x:v>
      </x:c>
      <x:c r="H201" s="32" t="str">
        <x:v>Pub/Sub</x:v>
      </x:c>
      <x:c r="I201" s="32" t="n">
        <x:v>4.3</x:v>
      </x:c>
      <x:c r="J201" s="32" t="n">
        <x:v>4.2</x:v>
      </x:c>
      <x:c r="K201" s="32" t="n">
        <x:v>4.3</x:v>
      </x:c>
      <x:c r="L201" s="32" t="n">
        <x:v>3.9</x:v>
      </x:c>
      <x:c r="M201" s="32" t="n">
        <x:v>3.5</x:v>
      </x:c>
      <x:c r="N201" s="32" t="n">
        <x:v>4.5</x:v>
      </x:c>
      <x:c r="O201" s="32" t="n">
        <x:v>4</x:v>
      </x:c>
      <x:c r="P201" s="32" t="n">
        <x:v>4</x:v>
      </x:c>
      <x:c r="Q201" s="32" t="n">
        <x:v>4</x:v>
      </x:c>
      <x:c r="R201" s="32" t="n">
        <x:v>4.5</x:v>
      </x:c>
      <x:c r="S201" s="32" t="n">
        <x:v>3.9</x:v>
      </x:c>
      <x:c r="T201" s="32" t="n">
        <x:v>3.5</x:v>
      </x:c>
      <x:c r="U201" s="32" t="n">
        <x:v>4.4</x:v>
      </x:c>
      <x:c r="V201" s="32" t="n">
        <x:v>4.1</x:v>
      </x:c>
      <x:c r="W201" s="32" t="n">
        <x:v>3.9</x:v>
      </x:c>
      <x:c r="X201" s="32" t="n">
        <x:v>3.9</x:v>
      </x:c>
      <x:c r="Y201" s="32" t="n">
        <x:v>4.1</x:v>
      </x:c>
      <x:c r="Z201" s="32" t="n">
        <x:v>3.9</x:v>
      </x:c>
      <x:c r="AA201" s="32" t="n">
        <x:v>3.5</x:v>
      </x:c>
      <x:c r="AB201" s="32" t="n">
        <x:v>4.2</x:v>
      </x:c>
      <x:c r="AC201" s="32" t="n">
        <x:v>4.1</x:v>
      </x:c>
      <x:c r="AD201" s="32" t="n">
        <x:f>ROUND((I201*'Criteria &amp; Scoring'!$B$5+J201*'Criteria &amp; Scoring'!$B$6+K201*'Criteria &amp; Scoring'!$B$7+L201*'Criteria &amp; Scoring'!$B$8+M201*'Criteria &amp; Scoring'!$B$9+N201*'Criteria &amp; Scoring'!$B$10+O201*'Criteria &amp; Scoring'!$B$11)/SUM('Criteria &amp; Scoring'!$B$5:$B$11),2)</x:f>
        <x:v>4.15</x:v>
      </x:c>
      <x:c r="AE201" s="32" t="n">
        <x:f>ROUND((P201*'Criteria &amp; Scoring'!$B$5+Q201*'Criteria &amp; Scoring'!$B$6+R201*'Criteria &amp; Scoring'!$B$7+S201*'Criteria &amp; Scoring'!$B$8+T201*'Criteria &amp; Scoring'!$B$9+U201*'Criteria &amp; Scoring'!$B$10+V201*'Criteria &amp; Scoring'!$B$11)/SUM('Criteria &amp; Scoring'!$B$5:$B$11),2)</x:f>
        <x:v>4.06</x:v>
      </x:c>
      <x:c r="AF201" s="32" t="n">
        <x:f>ROUND((W201*'Criteria &amp; Scoring'!$B$5+X201*'Criteria &amp; Scoring'!$B$6+Y201*'Criteria &amp; Scoring'!$B$7+Z201*'Criteria &amp; Scoring'!$B$8+AA201*'Criteria &amp; Scoring'!$B$9+AB201*'Criteria &amp; Scoring'!$B$10+AC201*'Criteria &amp; Scoring'!$B$11)/SUM('Criteria &amp; Scoring'!$B$5:$B$11),2)</x:f>
        <x:v>3.93</x:v>
      </x:c>
      <x:c r="AG201" s="32" t="str">
        <x:f>IF(LARGE(AD201:AF201,1)-LARGE(AD201:AF201,2)&lt;0.15,"Context-dependent tie",SUBSTITUTE(INDEX($AD$4:$AF$4,1,MATCH(MAX(AD201:AF201),AD201:AF201,0))," Overall",""))</x:f>
        <x:v>Context-dependent tie</x:v>
      </x:c>
      <x:c r="AH201" s="32" t="str">
        <x:f>IF(AG201="AWS","Start with AWS when infrastructure breadth, native integration and operational maturity are the main differentiators.",IF(AG201="Azure","Start with Azure when Microsoft identity, security, data, productivity or hybrid integration reduces delivery effort.",IF(AG201="GCP","Start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01" s="32" t="str">
        <x:v>Medium</x:v>
      </x:c>
      <x:c r="AJ201" s="32" t="str">
        <x:v>2026-07-12</x:v>
      </x:c>
    </x:row>
    <x:row r="202">
      <x:c r="A202" s="32" t="str">
        <x:v>Publish-subscribe messaging</x:v>
      </x:c>
      <x:c r="B202" s="32" t="str">
        <x:v>08 Applications, APIs &amp; Integration</x:v>
      </x:c>
      <x:c r="C202" s="32" t="str">
        <x:v>Messaging &amp; Eventing</x:v>
      </x:c>
      <x:c r="D202" s="32" t="str">
        <x:v>Workload</x:v>
      </x:c>
      <x:c r="E202" s="32" t="str">
        <x:v>What business outcome, scale, control, integration and operating model justify choosing publish-subscribe messaging?</x:v>
      </x:c>
      <x:c r="F202" s="32" t="str">
        <x:v>Amazon Simple Notification Service</x:v>
      </x:c>
      <x:c r="G202" s="32" t="str">
        <x:v>Azure Service Bus topics
Azure Event Grid</x:v>
      </x:c>
      <x:c r="H202" s="32" t="str">
        <x:v>Pub/Sub</x:v>
      </x:c>
      <x:c r="I202" s="32" t="n">
        <x:v>4.3</x:v>
      </x:c>
      <x:c r="J202" s="32" t="n">
        <x:v>3.2</x:v>
      </x:c>
      <x:c r="K202" s="32" t="n">
        <x:v>4.3</x:v>
      </x:c>
      <x:c r="L202" s="32" t="n">
        <x:v>3.9</x:v>
      </x:c>
      <x:c r="M202" s="32" t="n">
        <x:v>3.5</x:v>
      </x:c>
      <x:c r="N202" s="32" t="n">
        <x:v>4.5</x:v>
      </x:c>
      <x:c r="O202" s="32" t="n">
        <x:v>3.7</x:v>
      </x:c>
      <x:c r="P202" s="32" t="n">
        <x:v>3.9</x:v>
      </x:c>
      <x:c r="Q202" s="32" t="n">
        <x:v>2.9</x:v>
      </x:c>
      <x:c r="R202" s="32" t="n">
        <x:v>4.4</x:v>
      </x:c>
      <x:c r="S202" s="32" t="n">
        <x:v>3.8</x:v>
      </x:c>
      <x:c r="T202" s="32" t="n">
        <x:v>3.5</x:v>
      </x:c>
      <x:c r="U202" s="32" t="n">
        <x:v>4.3</x:v>
      </x:c>
      <x:c r="V202" s="32" t="n">
        <x:v>3.7</x:v>
      </x:c>
      <x:c r="W202" s="32" t="n">
        <x:v>3.9</x:v>
      </x:c>
      <x:c r="X202" s="32" t="n">
        <x:v>2.9</x:v>
      </x:c>
      <x:c r="Y202" s="32" t="n">
        <x:v>4.1</x:v>
      </x:c>
      <x:c r="Z202" s="32" t="n">
        <x:v>3.9</x:v>
      </x:c>
      <x:c r="AA202" s="32" t="n">
        <x:v>3.5</x:v>
      </x:c>
      <x:c r="AB202" s="32" t="n">
        <x:v>4.2</x:v>
      </x:c>
      <x:c r="AC202" s="32" t="n">
        <x:v>3.8</x:v>
      </x:c>
      <x:c r="AD202" s="32" t="n">
        <x:f>ROUND((I202*'Criteria &amp; Scoring'!$B$5+J202*'Criteria &amp; Scoring'!$B$6+K202*'Criteria &amp; Scoring'!$B$7+L202*'Criteria &amp; Scoring'!$B$8+M202*'Criteria &amp; Scoring'!$B$9+N202*'Criteria &amp; Scoring'!$B$10+O202*'Criteria &amp; Scoring'!$B$11)/SUM('Criteria &amp; Scoring'!$B$5:$B$11),2)</x:f>
        <x:v>3.93</x:v>
      </x:c>
      <x:c r="AE202" s="32" t="n">
        <x:f>ROUND((P202*'Criteria &amp; Scoring'!$B$5+Q202*'Criteria &amp; Scoring'!$B$6+R202*'Criteria &amp; Scoring'!$B$7+S202*'Criteria &amp; Scoring'!$B$8+T202*'Criteria &amp; Scoring'!$B$9+U202*'Criteria &amp; Scoring'!$B$10+V202*'Criteria &amp; Scoring'!$B$11)/SUM('Criteria &amp; Scoring'!$B$5:$B$11),2)</x:f>
        <x:v>3.75</x:v>
      </x:c>
      <x:c r="AF202" s="32" t="n">
        <x:f>ROUND((W202*'Criteria &amp; Scoring'!$B$5+X202*'Criteria &amp; Scoring'!$B$6+Y202*'Criteria &amp; Scoring'!$B$7+Z202*'Criteria &amp; Scoring'!$B$8+AA202*'Criteria &amp; Scoring'!$B$9+AB202*'Criteria &amp; Scoring'!$B$10+AC202*'Criteria &amp; Scoring'!$B$11)/SUM('Criteria &amp; Scoring'!$B$5:$B$11),2)</x:f>
        <x:v>3.72</x:v>
      </x:c>
      <x:c r="AG202" s="32" t="str">
        <x:f>IF(LARGE(AD202:AF202,1)-LARGE(AD202:AF202,2)&lt;0.15,"Context-dependent tie",SUBSTITUTE(INDEX($AD$4:$AF$4,1,MATCH(MAX(AD202:AF202),AD202:AF202,0))," Overall",""))</x:f>
        <x:v>AWS</x:v>
      </x:c>
      <x:c r="AH202" s="32" t="str">
        <x:f>IF(AG202="AWS","Start with AWS when infrastructure breadth, native integration and operational maturity are the main differentiators.",IF(AG202="Azure","Start with Azure when Microsoft identity, security, data, productivity or hybrid integration reduces delivery effort.",IF(AG202="GCP","Start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202" s="32" t="str">
        <x:v>Medium</x:v>
      </x:c>
      <x:c r="AJ202" s="32" t="str">
        <x:v>2026-07-12</x:v>
      </x:c>
    </x:row>
    <x:row r="203">
      <x:c r="A203" s="32" t="str">
        <x:v>Application event bus</x:v>
      </x:c>
      <x:c r="B203" s="32" t="str">
        <x:v>08 Applications, APIs &amp; Integration</x:v>
      </x:c>
      <x:c r="C203" s="32" t="str">
        <x:v>Messaging &amp; Eventing</x:v>
      </x:c>
      <x:c r="D203" s="32" t="str">
        <x:v>Workload</x:v>
      </x:c>
      <x:c r="E203" s="32" t="str">
        <x:v>What business outcome, scale, control, integration and operating model justify choosing application event bus?</x:v>
      </x:c>
      <x:c r="F203" s="32" t="str">
        <x:v>Amazon EventBridge</x:v>
      </x:c>
      <x:c r="G203" s="32" t="str">
        <x:v>Azure Event Grid</x:v>
      </x:c>
      <x:c r="H203" s="32" t="str">
        <x:v>Eventarc</x:v>
      </x:c>
      <x:c r="I203" s="32" t="n">
        <x:v>4.3</x:v>
      </x:c>
      <x:c r="J203" s="32" t="n">
        <x:v>3.2</x:v>
      </x:c>
      <x:c r="K203" s="32" t="n">
        <x:v>4.3</x:v>
      </x:c>
      <x:c r="L203" s="32" t="n">
        <x:v>3.9</x:v>
      </x:c>
      <x:c r="M203" s="32" t="n">
        <x:v>3.5</x:v>
      </x:c>
      <x:c r="N203" s="32" t="n">
        <x:v>4.5</x:v>
      </x:c>
      <x:c r="O203" s="32" t="n">
        <x:v>3.7</x:v>
      </x:c>
      <x:c r="P203" s="32" t="n">
        <x:v>4</x:v>
      </x:c>
      <x:c r="Q203" s="32" t="n">
        <x:v>3</x:v>
      </x:c>
      <x:c r="R203" s="32" t="n">
        <x:v>4.5</x:v>
      </x:c>
      <x:c r="S203" s="32" t="n">
        <x:v>3.9</x:v>
      </x:c>
      <x:c r="T203" s="32" t="n">
        <x:v>3.5</x:v>
      </x:c>
      <x:c r="U203" s="32" t="n">
        <x:v>4.4</x:v>
      </x:c>
      <x:c r="V203" s="32" t="n">
        <x:v>3.8</x:v>
      </x:c>
      <x:c r="W203" s="32" t="n">
        <x:v>4</x:v>
      </x:c>
      <x:c r="X203" s="32" t="n">
        <x:v>3</x:v>
      </x:c>
      <x:c r="Y203" s="32" t="n">
        <x:v>4.2</x:v>
      </x:c>
      <x:c r="Z203" s="32" t="n">
        <x:v>4</x:v>
      </x:c>
      <x:c r="AA203" s="32" t="n">
        <x:v>3.5</x:v>
      </x:c>
      <x:c r="AB203" s="32" t="n">
        <x:v>4.3</x:v>
      </x:c>
      <x:c r="AC203" s="32" t="n">
        <x:v>3.9</x:v>
      </x:c>
      <x:c r="AD203" s="32" t="n">
        <x:f>ROUND((I203*'Criteria &amp; Scoring'!$B$5+J203*'Criteria &amp; Scoring'!$B$6+K203*'Criteria &amp; Scoring'!$B$7+L203*'Criteria &amp; Scoring'!$B$8+M203*'Criteria &amp; Scoring'!$B$9+N203*'Criteria &amp; Scoring'!$B$10+O203*'Criteria &amp; Scoring'!$B$11)/SUM('Criteria &amp; Scoring'!$B$5:$B$11),2)</x:f>
        <x:v>3.93</x:v>
      </x:c>
      <x:c r="AE203" s="32" t="n">
        <x:f>ROUND((P203*'Criteria &amp; Scoring'!$B$5+Q203*'Criteria &amp; Scoring'!$B$6+R203*'Criteria &amp; Scoring'!$B$7+S203*'Criteria &amp; Scoring'!$B$8+T203*'Criteria &amp; Scoring'!$B$9+U203*'Criteria &amp; Scoring'!$B$10+V203*'Criteria &amp; Scoring'!$B$11)/SUM('Criteria &amp; Scoring'!$B$5:$B$11),2)</x:f>
        <x:v>3.84</x:v>
      </x:c>
      <x:c r="AF203" s="32" t="n">
        <x:f>ROUND((W203*'Criteria &amp; Scoring'!$B$5+X203*'Criteria &amp; Scoring'!$B$6+Y203*'Criteria &amp; Scoring'!$B$7+Z203*'Criteria &amp; Scoring'!$B$8+AA203*'Criteria &amp; Scoring'!$B$9+AB203*'Criteria &amp; Scoring'!$B$10+AC203*'Criteria &amp; Scoring'!$B$11)/SUM('Criteria &amp; Scoring'!$B$5:$B$11),2)</x:f>
        <x:v>3.81</x:v>
      </x:c>
      <x:c r="AG203" s="32" t="str">
        <x:f>IF(LARGE(AD203:AF203,1)-LARGE(AD203:AF203,2)&lt;0.15,"Context-dependent tie",SUBSTITUTE(INDEX($AD$4:$AF$4,1,MATCH(MAX(AD203:AF203),AD203:AF203,0))," Overall",""))</x:f>
        <x:v>Context-dependent tie</x:v>
      </x:c>
      <x:c r="AH203" s="32" t="str">
        <x:f>IF(AG203="AWS","Start with AWS when infrastructure breadth, native integration and operational maturity are the main differentiators.",IF(AG203="Azure","Start with Azure when Microsoft identity, security, data, productivity or hybrid integration reduces delivery effort.",IF(AG203="GCP","Start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03" s="32" t="str">
        <x:v>Medium</x:v>
      </x:c>
      <x:c r="AJ203" s="32" t="str">
        <x:v>2026-07-12</x:v>
      </x:c>
    </x:row>
    <x:row r="204">
      <x:c r="A204" s="32" t="str">
        <x:v>Serverless workflow orchestration</x:v>
      </x:c>
      <x:c r="B204" s="32" t="str">
        <x:v>08 Applications, APIs &amp; Integration</x:v>
      </x:c>
      <x:c r="C204" s="32" t="str">
        <x:v>Workflow &amp; Orchestration</x:v>
      </x:c>
      <x:c r="D204" s="32" t="str">
        <x:v>Workload</x:v>
      </x:c>
      <x:c r="E204" s="32" t="str">
        <x:v>What business outcome, scale, control, integration and operating model justify choosing serverless workflow orchestration?</x:v>
      </x:c>
      <x:c r="F204" s="32" t="str">
        <x:v>AWS Step Functions</x:v>
      </x:c>
      <x:c r="G204" s="32" t="str">
        <x:v>Azure Logic Apps
Durable Functions</x:v>
      </x:c>
      <x:c r="H204" s="32" t="str">
        <x:v>Workflows</x:v>
      </x:c>
      <x:c r="I204" s="32" t="n">
        <x:v>4.3</x:v>
      </x:c>
      <x:c r="J204" s="32" t="n">
        <x:v>3.2</x:v>
      </x:c>
      <x:c r="K204" s="32" t="n">
        <x:v>4.3</x:v>
      </x:c>
      <x:c r="L204" s="32" t="n">
        <x:v>3.9</x:v>
      </x:c>
      <x:c r="M204" s="32" t="n">
        <x:v>3.1</x:v>
      </x:c>
      <x:c r="N204" s="32" t="n">
        <x:v>4.7</x:v>
      </x:c>
      <x:c r="O204" s="32" t="n">
        <x:v>4</x:v>
      </x:c>
      <x:c r="P204" s="32" t="n">
        <x:v>3.9</x:v>
      </x:c>
      <x:c r="Q204" s="32" t="n">
        <x:v>2.9</x:v>
      </x:c>
      <x:c r="R204" s="32" t="n">
        <x:v>4.4</x:v>
      </x:c>
      <x:c r="S204" s="32" t="n">
        <x:v>3.8</x:v>
      </x:c>
      <x:c r="T204" s="32" t="n">
        <x:v>3.1</x:v>
      </x:c>
      <x:c r="U204" s="32" t="n">
        <x:v>4.3</x:v>
      </x:c>
      <x:c r="V204" s="32" t="n">
        <x:v>4.1</x:v>
      </x:c>
      <x:c r="W204" s="32" t="n">
        <x:v>4</x:v>
      </x:c>
      <x:c r="X204" s="32" t="n">
        <x:v>3.4</x:v>
      </x:c>
      <x:c r="Y204" s="32" t="n">
        <x:v>4.2</x:v>
      </x:c>
      <x:c r="Z204" s="32" t="n">
        <x:v>4</x:v>
      </x:c>
      <x:c r="AA204" s="32" t="n">
        <x:v>3.1</x:v>
      </x:c>
      <x:c r="AB204" s="32" t="n">
        <x:v>4.6</x:v>
      </x:c>
      <x:c r="AC204" s="32" t="n">
        <x:v>4.2</x:v>
      </x:c>
      <x:c r="AD204" s="32" t="n">
        <x:f>ROUND((I204*'Criteria &amp; Scoring'!$B$5+J204*'Criteria &amp; Scoring'!$B$6+K204*'Criteria &amp; Scoring'!$B$7+L204*'Criteria &amp; Scoring'!$B$8+M204*'Criteria &amp; Scoring'!$B$9+N204*'Criteria &amp; Scoring'!$B$10+O204*'Criteria &amp; Scoring'!$B$11)/SUM('Criteria &amp; Scoring'!$B$5:$B$11),2)</x:f>
        <x:v>3.93</x:v>
      </x:c>
      <x:c r="AE204" s="32" t="n">
        <x:f>ROUND((P204*'Criteria &amp; Scoring'!$B$5+Q204*'Criteria &amp; Scoring'!$B$6+R204*'Criteria &amp; Scoring'!$B$7+S204*'Criteria &amp; Scoring'!$B$8+T204*'Criteria &amp; Scoring'!$B$9+U204*'Criteria &amp; Scoring'!$B$10+V204*'Criteria &amp; Scoring'!$B$11)/SUM('Criteria &amp; Scoring'!$B$5:$B$11),2)</x:f>
        <x:v>3.73</x:v>
      </x:c>
      <x:c r="AF204" s="32" t="n">
        <x:f>ROUND((W204*'Criteria &amp; Scoring'!$B$5+X204*'Criteria &amp; Scoring'!$B$6+Y204*'Criteria &amp; Scoring'!$B$7+Z204*'Criteria &amp; Scoring'!$B$8+AA204*'Criteria &amp; Scoring'!$B$9+AB204*'Criteria &amp; Scoring'!$B$10+AC204*'Criteria &amp; Scoring'!$B$11)/SUM('Criteria &amp; Scoring'!$B$5:$B$11),2)</x:f>
        <x:v>3.89</x:v>
      </x:c>
      <x:c r="AG204" s="32" t="str">
        <x:f>IF(LARGE(AD204:AF204,1)-LARGE(AD204:AF204,2)&lt;0.15,"Context-dependent tie",SUBSTITUTE(INDEX($AD$4:$AF$4,1,MATCH(MAX(AD204:AF204),AD204:AF204,0))," Overall",""))</x:f>
        <x:v>Context-dependent tie</x:v>
      </x:c>
      <x:c r="AH204" s="32" t="str">
        <x:f>IF(AG204="AWS","Start with AWS when infrastructure breadth, native integration and operational maturity are the main differentiators.",IF(AG204="Azure","Start with Azure when Microsoft identity, security, data, productivity or hybrid integration reduces delivery effort.",IF(AG204="GCP","Start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04" s="32" t="str">
        <x:v>Medium</x:v>
      </x:c>
      <x:c r="AJ204" s="32" t="str">
        <x:v>2026-07-12</x:v>
      </x:c>
    </x:row>
    <x:row r="205">
      <x:c r="A205" s="32" t="str">
        <x:v>Integration platform as a service</x:v>
      </x:c>
      <x:c r="B205" s="32" t="str">
        <x:v>08 Applications, APIs &amp; Integration</x:v>
      </x:c>
      <x:c r="C205" s="32" t="str">
        <x:v>Enterprise Integration &amp; iPaaS</x:v>
      </x:c>
      <x:c r="D205" s="32" t="str">
        <x:v>Platform</x:v>
      </x:c>
      <x:c r="E205" s="32" t="str">
        <x:v>What business outcome, scale, control, integration and operating model justify choosing integration platform as a service?</x:v>
      </x:c>
      <x:c r="F205" s="32" t="str">
        <x:v>Amazon AppFlow
Amazon EventBridge</x:v>
      </x:c>
      <x:c r="G205" s="32" t="str">
        <x:v>Azure Logic Apps
Azure Integration Services</x:v>
      </x:c>
      <x:c r="H205" s="32" t="str">
        <x:v>Application Integration
Integration Connectors</x:v>
      </x:c>
      <x:c r="I205" s="32" t="n">
        <x:v>3.9</x:v>
      </x:c>
      <x:c r="J205" s="32" t="n">
        <x:v>2.9</x:v>
      </x:c>
      <x:c r="K205" s="32" t="n">
        <x:v>4.2</x:v>
      </x:c>
      <x:c r="L205" s="32" t="n">
        <x:v>3.8</x:v>
      </x:c>
      <x:c r="M205" s="32" t="n">
        <x:v>3.5</x:v>
      </x:c>
      <x:c r="N205" s="32" t="n">
        <x:v>4.4</x:v>
      </x:c>
      <x:c r="O205" s="32" t="n">
        <x:v>3.6</x:v>
      </x:c>
      <x:c r="P205" s="32" t="n">
        <x:v>3.9</x:v>
      </x:c>
      <x:c r="Q205" s="32" t="n">
        <x:v>2.9</x:v>
      </x:c>
      <x:c r="R205" s="32" t="n">
        <x:v>4.4</x:v>
      </x:c>
      <x:c r="S205" s="32" t="n">
        <x:v>3.8</x:v>
      </x:c>
      <x:c r="T205" s="32" t="n">
        <x:v>3.5</x:v>
      </x:c>
      <x:c r="U205" s="32" t="n">
        <x:v>4.3</x:v>
      </x:c>
      <x:c r="V205" s="32" t="n">
        <x:v>3.7</x:v>
      </x:c>
      <x:c r="W205" s="32" t="n">
        <x:v>3.9</x:v>
      </x:c>
      <x:c r="X205" s="32" t="n">
        <x:v>2.9</x:v>
      </x:c>
      <x:c r="Y205" s="32" t="n">
        <x:v>4.1</x:v>
      </x:c>
      <x:c r="Z205" s="32" t="n">
        <x:v>3.9</x:v>
      </x:c>
      <x:c r="AA205" s="32" t="n">
        <x:v>3.5</x:v>
      </x:c>
      <x:c r="AB205" s="32" t="n">
        <x:v>4.2</x:v>
      </x:c>
      <x:c r="AC205" s="32" t="n">
        <x:v>3.8</x:v>
      </x:c>
      <x:c r="AD205" s="32" t="n">
        <x:f>ROUND((I205*'Criteria &amp; Scoring'!$B$5+J205*'Criteria &amp; Scoring'!$B$6+K205*'Criteria &amp; Scoring'!$B$7+L205*'Criteria &amp; Scoring'!$B$8+M205*'Criteria &amp; Scoring'!$B$9+N205*'Criteria &amp; Scoring'!$B$10+O205*'Criteria &amp; Scoring'!$B$11)/SUM('Criteria &amp; Scoring'!$B$5:$B$11),2)</x:f>
        <x:v>3.73</x:v>
      </x:c>
      <x:c r="AE205" s="32" t="n">
        <x:f>ROUND((P205*'Criteria &amp; Scoring'!$B$5+Q205*'Criteria &amp; Scoring'!$B$6+R205*'Criteria &amp; Scoring'!$B$7+S205*'Criteria &amp; Scoring'!$B$8+T205*'Criteria &amp; Scoring'!$B$9+U205*'Criteria &amp; Scoring'!$B$10+V205*'Criteria &amp; Scoring'!$B$11)/SUM('Criteria &amp; Scoring'!$B$5:$B$11),2)</x:f>
        <x:v>3.75</x:v>
      </x:c>
      <x:c r="AF205" s="32" t="n">
        <x:f>ROUND((W205*'Criteria &amp; Scoring'!$B$5+X205*'Criteria &amp; Scoring'!$B$6+Y205*'Criteria &amp; Scoring'!$B$7+Z205*'Criteria &amp; Scoring'!$B$8+AA205*'Criteria &amp; Scoring'!$B$9+AB205*'Criteria &amp; Scoring'!$B$10+AC205*'Criteria &amp; Scoring'!$B$11)/SUM('Criteria &amp; Scoring'!$B$5:$B$11),2)</x:f>
        <x:v>3.72</x:v>
      </x:c>
      <x:c r="AG205" s="32" t="str">
        <x:f>IF(LARGE(AD205:AF205,1)-LARGE(AD205:AF205,2)&lt;0.15,"Context-dependent tie",SUBSTITUTE(INDEX($AD$4:$AF$4,1,MATCH(MAX(AD205:AF205),AD205:AF205,0))," Overall",""))</x:f>
        <x:v>Context-dependent tie</x:v>
      </x:c>
      <x:c r="AH205" s="32" t="str">
        <x:f>IF(AG205="AWS","Start with AWS when infrastructure breadth, native integration and operational maturity are the main differentiators.",IF(AG205="Azure","Start with Azure when Microsoft identity, security, data, productivity or hybrid integration reduces delivery effort.",IF(AG205="GCP","Start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05" s="32" t="str">
        <x:v>Medium</x:v>
      </x:c>
      <x:c r="AJ205" s="32" t="str">
        <x:v>2026-07-12</x:v>
      </x:c>
    </x:row>
    <x:row r="206">
      <x:c r="A206" s="32" t="str">
        <x:v>Managed message broker</x:v>
      </x:c>
      <x:c r="B206" s="32" t="str">
        <x:v>08 Applications, APIs &amp; Integration</x:v>
      </x:c>
      <x:c r="C206" s="32" t="str">
        <x:v>Application Communications</x:v>
      </x:c>
      <x:c r="D206" s="32" t="str">
        <x:v>Workload</x:v>
      </x:c>
      <x:c r="E206" s="32" t="str">
        <x:v>What business outcome, scale, control, integration and operating model justify choosing managed message broker?</x:v>
      </x:c>
      <x:c r="F206" s="32" t="str">
        <x:v>Amazon MQ</x:v>
      </x:c>
      <x:c r="G206" s="32" t="str">
        <x:v>Azure Service Bus</x:v>
      </x:c>
      <x:c r="H206" s="32" t="str">
        <x:v>Pub/Sub / partner managed brokers</x:v>
      </x:c>
      <x:c r="I206" s="32" t="n">
        <x:v>3.5</x:v>
      </x:c>
      <x:c r="J206" s="32" t="n">
        <x:v>3</x:v>
      </x:c>
      <x:c r="K206" s="32" t="n">
        <x:v>4.1</x:v>
      </x:c>
      <x:c r="L206" s="32" t="n">
        <x:v>3.9</x:v>
      </x:c>
      <x:c r="M206" s="32" t="n">
        <x:v>3.5</x:v>
      </x:c>
      <x:c r="N206" s="32" t="n">
        <x:v>4.3</x:v>
      </x:c>
      <x:c r="O206" s="32" t="n">
        <x:v>3.7</x:v>
      </x:c>
      <x:c r="P206" s="32" t="n">
        <x:v>3.5</x:v>
      </x:c>
      <x:c r="Q206" s="32" t="n">
        <x:v>3</x:v>
      </x:c>
      <x:c r="R206" s="32" t="n">
        <x:v>4.2</x:v>
      </x:c>
      <x:c r="S206" s="32" t="n">
        <x:v>3.9</x:v>
      </x:c>
      <x:c r="T206" s="32" t="n">
        <x:v>3.5</x:v>
      </x:c>
      <x:c r="U206" s="32" t="n">
        <x:v>4.2</x:v>
      </x:c>
      <x:c r="V206" s="32" t="n">
        <x:v>3.8</x:v>
      </x:c>
      <x:c r="W206" s="32" t="n">
        <x:v>2.8</x:v>
      </x:c>
      <x:c r="X206" s="32" t="n">
        <x:v>2.6</x:v>
      </x:c>
      <x:c r="Y206" s="32" t="n">
        <x:v>3.5</x:v>
      </x:c>
      <x:c r="Z206" s="32" t="n">
        <x:v>3.6</x:v>
      </x:c>
      <x:c r="AA206" s="32" t="n">
        <x:v>3.3</x:v>
      </x:c>
      <x:c r="AB206" s="32" t="n">
        <x:v>3.6</x:v>
      </x:c>
      <x:c r="AC206" s="32" t="n">
        <x:v>3.6</x:v>
      </x:c>
      <x:c r="AD206" s="32" t="n">
        <x:f>ROUND((I206*'Criteria &amp; Scoring'!$B$5+J206*'Criteria &amp; Scoring'!$B$6+K206*'Criteria &amp; Scoring'!$B$7+L206*'Criteria &amp; Scoring'!$B$8+M206*'Criteria &amp; Scoring'!$B$9+N206*'Criteria &amp; Scoring'!$B$10+O206*'Criteria &amp; Scoring'!$B$11)/SUM('Criteria &amp; Scoring'!$B$5:$B$11),2)</x:f>
        <x:v>3.64</x:v>
      </x:c>
      <x:c r="AE206" s="32" t="n">
        <x:f>ROUND((P206*'Criteria &amp; Scoring'!$B$5+Q206*'Criteria &amp; Scoring'!$B$6+R206*'Criteria &amp; Scoring'!$B$7+S206*'Criteria &amp; Scoring'!$B$8+T206*'Criteria &amp; Scoring'!$B$9+U206*'Criteria &amp; Scoring'!$B$10+V206*'Criteria &amp; Scoring'!$B$11)/SUM('Criteria &amp; Scoring'!$B$5:$B$11),2)</x:f>
        <x:v>3.65</x:v>
      </x:c>
      <x:c r="AF206" s="32" t="n">
        <x:f>ROUND((W206*'Criteria &amp; Scoring'!$B$5+X206*'Criteria &amp; Scoring'!$B$6+Y206*'Criteria &amp; Scoring'!$B$7+Z206*'Criteria &amp; Scoring'!$B$8+AA206*'Criteria &amp; Scoring'!$B$9+AB206*'Criteria &amp; Scoring'!$B$10+AC206*'Criteria &amp; Scoring'!$B$11)/SUM('Criteria &amp; Scoring'!$B$5:$B$11),2)</x:f>
        <x:v>3.16</x:v>
      </x:c>
      <x:c r="AG206" s="32" t="str">
        <x:f>IF(LARGE(AD206:AF206,1)-LARGE(AD206:AF206,2)&lt;0.15,"Context-dependent tie",SUBSTITUTE(INDEX($AD$4:$AF$4,1,MATCH(MAX(AD206:AF206),AD206:AF206,0))," Overall",""))</x:f>
        <x:v>Context-dependent tie</x:v>
      </x:c>
      <x:c r="AH206" s="32" t="str">
        <x:f>IF(AG206="AWS","Start with AWS when infrastructure breadth, native integration and operational maturity are the main differentiators.",IF(AG206="Azure","Start with Azure when Microsoft identity, security, data, productivity or hybrid integration reduces delivery effort.",IF(AG206="GCP","Start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06" s="32" t="str">
        <x:v>Low</x:v>
      </x:c>
      <x:c r="AJ206" s="32" t="str">
        <x:v>2026-07-12</x:v>
      </x:c>
    </x:row>
    <x:row r="207">
      <x:c r="A207" s="32" t="str">
        <x:v>B2B and EDI integration</x:v>
      </x:c>
      <x:c r="B207" s="32" t="str">
        <x:v>08 Applications, APIs &amp; Integration</x:v>
      </x:c>
      <x:c r="C207" s="32" t="str">
        <x:v>Enterprise Integration &amp; iPaaS</x:v>
      </x:c>
      <x:c r="D207" s="32" t="str">
        <x:v>Workload</x:v>
      </x:c>
      <x:c r="E207" s="32" t="str">
        <x:v>What business outcome, scale, control, integration and operating model justify choosing b2b and edi integration?</x:v>
      </x:c>
      <x:c r="F207" s="32" t="str">
        <x:v>AWS B2B Data Interchange</x:v>
      </x:c>
      <x:c r="G207" s="32" t="str">
        <x:v>Azure Logic Apps Integration Account</x:v>
      </x:c>
      <x:c r="H207" s="32" t="str">
        <x:v>Application Integration / partner EDI</x:v>
      </x:c>
      <x:c r="I207" s="32" t="n">
        <x:v>3.5</x:v>
      </x:c>
      <x:c r="J207" s="32" t="n">
        <x:v>3</x:v>
      </x:c>
      <x:c r="K207" s="32" t="n">
        <x:v>4.1</x:v>
      </x:c>
      <x:c r="L207" s="32" t="n">
        <x:v>3.9</x:v>
      </x:c>
      <x:c r="M207" s="32" t="n">
        <x:v>3.5</x:v>
      </x:c>
      <x:c r="N207" s="32" t="n">
        <x:v>4.3</x:v>
      </x:c>
      <x:c r="O207" s="32" t="n">
        <x:v>3.7</x:v>
      </x:c>
      <x:c r="P207" s="32" t="n">
        <x:v>3.5</x:v>
      </x:c>
      <x:c r="Q207" s="32" t="n">
        <x:v>3</x:v>
      </x:c>
      <x:c r="R207" s="32" t="n">
        <x:v>4.2</x:v>
      </x:c>
      <x:c r="S207" s="32" t="n">
        <x:v>3.9</x:v>
      </x:c>
      <x:c r="T207" s="32" t="n">
        <x:v>3.5</x:v>
      </x:c>
      <x:c r="U207" s="32" t="n">
        <x:v>4.2</x:v>
      </x:c>
      <x:c r="V207" s="32" t="n">
        <x:v>3.8</x:v>
      </x:c>
      <x:c r="W207" s="32" t="n">
        <x:v>2.8</x:v>
      </x:c>
      <x:c r="X207" s="32" t="n">
        <x:v>2.6</x:v>
      </x:c>
      <x:c r="Y207" s="32" t="n">
        <x:v>3.5</x:v>
      </x:c>
      <x:c r="Z207" s="32" t="n">
        <x:v>3.6</x:v>
      </x:c>
      <x:c r="AA207" s="32" t="n">
        <x:v>3.3</x:v>
      </x:c>
      <x:c r="AB207" s="32" t="n">
        <x:v>3.6</x:v>
      </x:c>
      <x:c r="AC207" s="32" t="n">
        <x:v>3.6</x:v>
      </x:c>
      <x:c r="AD207" s="32" t="n">
        <x:f>ROUND((I207*'Criteria &amp; Scoring'!$B$5+J207*'Criteria &amp; Scoring'!$B$6+K207*'Criteria &amp; Scoring'!$B$7+L207*'Criteria &amp; Scoring'!$B$8+M207*'Criteria &amp; Scoring'!$B$9+N207*'Criteria &amp; Scoring'!$B$10+O207*'Criteria &amp; Scoring'!$B$11)/SUM('Criteria &amp; Scoring'!$B$5:$B$11),2)</x:f>
        <x:v>3.64</x:v>
      </x:c>
      <x:c r="AE207" s="32" t="n">
        <x:f>ROUND((P207*'Criteria &amp; Scoring'!$B$5+Q207*'Criteria &amp; Scoring'!$B$6+R207*'Criteria &amp; Scoring'!$B$7+S207*'Criteria &amp; Scoring'!$B$8+T207*'Criteria &amp; Scoring'!$B$9+U207*'Criteria &amp; Scoring'!$B$10+V207*'Criteria &amp; Scoring'!$B$11)/SUM('Criteria &amp; Scoring'!$B$5:$B$11),2)</x:f>
        <x:v>3.65</x:v>
      </x:c>
      <x:c r="AF207" s="32" t="n">
        <x:f>ROUND((W207*'Criteria &amp; Scoring'!$B$5+X207*'Criteria &amp; Scoring'!$B$6+Y207*'Criteria &amp; Scoring'!$B$7+Z207*'Criteria &amp; Scoring'!$B$8+AA207*'Criteria &amp; Scoring'!$B$9+AB207*'Criteria &amp; Scoring'!$B$10+AC207*'Criteria &amp; Scoring'!$B$11)/SUM('Criteria &amp; Scoring'!$B$5:$B$11),2)</x:f>
        <x:v>3.16</x:v>
      </x:c>
      <x:c r="AG207" s="32" t="str">
        <x:f>IF(LARGE(AD207:AF207,1)-LARGE(AD207:AF207,2)&lt;0.15,"Context-dependent tie",SUBSTITUTE(INDEX($AD$4:$AF$4,1,MATCH(MAX(AD207:AF207),AD207:AF207,0))," Overall",""))</x:f>
        <x:v>Context-dependent tie</x:v>
      </x:c>
      <x:c r="AH207" s="32" t="str">
        <x:f>IF(AG207="AWS","Start with AWS when infrastructure breadth, native integration and operational maturity are the main differentiators.",IF(AG207="Azure","Start with Azure when Microsoft identity, security, data, productivity or hybrid integration reduces delivery effort.",IF(AG207="GCP","Start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07" s="32" t="str">
        <x:v>Low</x:v>
      </x:c>
      <x:c r="AJ207" s="32" t="str">
        <x:v>2026-07-12</x:v>
      </x:c>
    </x:row>
    <x:row r="208">
      <x:c r="A208" s="32" t="str">
        <x:v>Cloud task scheduler</x:v>
      </x:c>
      <x:c r="B208" s="32" t="str">
        <x:v>08 Applications, APIs &amp; Integration</x:v>
      </x:c>
      <x:c r="C208" s="32" t="str">
        <x:v>Workflow &amp; Orchestration</x:v>
      </x:c>
      <x:c r="D208" s="32" t="str">
        <x:v>Workload</x:v>
      </x:c>
      <x:c r="E208" s="32" t="str">
        <x:v>What business outcome, scale, control, integration and operating model justify choosing cloud task scheduler?</x:v>
      </x:c>
      <x:c r="F208" s="32" t="str">
        <x:v>Amazon EventBridge Scheduler</x:v>
      </x:c>
      <x:c r="G208" s="32" t="str">
        <x:v>Azure Logic Apps
Azure Functions timer triggers</x:v>
      </x:c>
      <x:c r="H208" s="32" t="str">
        <x:v>Cloud Scheduler</x:v>
      </x:c>
      <x:c r="I208" s="32" t="n">
        <x:v>4</x:v>
      </x:c>
      <x:c r="J208" s="32" t="n">
        <x:v>3</x:v>
      </x:c>
      <x:c r="K208" s="32" t="n">
        <x:v>4.3</x:v>
      </x:c>
      <x:c r="L208" s="32" t="n">
        <x:v>3.9</x:v>
      </x:c>
      <x:c r="M208" s="32" t="n">
        <x:v>3.1</x:v>
      </x:c>
      <x:c r="N208" s="32" t="n">
        <x:v>4.5</x:v>
      </x:c>
      <x:c r="O208" s="32" t="n">
        <x:v>4</x:v>
      </x:c>
      <x:c r="P208" s="32" t="n">
        <x:v>3.9</x:v>
      </x:c>
      <x:c r="Q208" s="32" t="n">
        <x:v>2.9</x:v>
      </x:c>
      <x:c r="R208" s="32" t="n">
        <x:v>4.4</x:v>
      </x:c>
      <x:c r="S208" s="32" t="n">
        <x:v>3.8</x:v>
      </x:c>
      <x:c r="T208" s="32" t="n">
        <x:v>3.1</x:v>
      </x:c>
      <x:c r="U208" s="32" t="n">
        <x:v>4.3</x:v>
      </x:c>
      <x:c r="V208" s="32" t="n">
        <x:v>4.1</x:v>
      </x:c>
      <x:c r="W208" s="32" t="n">
        <x:v>4</x:v>
      </x:c>
      <x:c r="X208" s="32" t="n">
        <x:v>3</x:v>
      </x:c>
      <x:c r="Y208" s="32" t="n">
        <x:v>4.2</x:v>
      </x:c>
      <x:c r="Z208" s="32" t="n">
        <x:v>4</x:v>
      </x:c>
      <x:c r="AA208" s="32" t="n">
        <x:v>3.1</x:v>
      </x:c>
      <x:c r="AB208" s="32" t="n">
        <x:v>4.3</x:v>
      </x:c>
      <x:c r="AC208" s="32" t="n">
        <x:v>4.2</x:v>
      </x:c>
      <x:c r="AD208" s="32" t="n">
        <x:f>ROUND((I208*'Criteria &amp; Scoring'!$B$5+J208*'Criteria &amp; Scoring'!$B$6+K208*'Criteria &amp; Scoring'!$B$7+L208*'Criteria &amp; Scoring'!$B$8+M208*'Criteria &amp; Scoring'!$B$9+N208*'Criteria &amp; Scoring'!$B$10+O208*'Criteria &amp; Scoring'!$B$11)/SUM('Criteria &amp; Scoring'!$B$5:$B$11),2)</x:f>
        <x:v>3.79</x:v>
      </x:c>
      <x:c r="AE208" s="32" t="n">
        <x:f>ROUND((P208*'Criteria &amp; Scoring'!$B$5+Q208*'Criteria &amp; Scoring'!$B$6+R208*'Criteria &amp; Scoring'!$B$7+S208*'Criteria &amp; Scoring'!$B$8+T208*'Criteria &amp; Scoring'!$B$9+U208*'Criteria &amp; Scoring'!$B$10+V208*'Criteria &amp; Scoring'!$B$11)/SUM('Criteria &amp; Scoring'!$B$5:$B$11),2)</x:f>
        <x:v>3.73</x:v>
      </x:c>
      <x:c r="AF208" s="32" t="n">
        <x:f>ROUND((W208*'Criteria &amp; Scoring'!$B$5+X208*'Criteria &amp; Scoring'!$B$6+Y208*'Criteria &amp; Scoring'!$B$7+Z208*'Criteria &amp; Scoring'!$B$8+AA208*'Criteria &amp; Scoring'!$B$9+AB208*'Criteria &amp; Scoring'!$B$10+AC208*'Criteria &amp; Scoring'!$B$11)/SUM('Criteria &amp; Scoring'!$B$5:$B$11),2)</x:f>
        <x:v>3.78</x:v>
      </x:c>
      <x:c r="AG208" s="32" t="str">
        <x:f>IF(LARGE(AD208:AF208,1)-LARGE(AD208:AF208,2)&lt;0.15,"Context-dependent tie",SUBSTITUTE(INDEX($AD$4:$AF$4,1,MATCH(MAX(AD208:AF208),AD208:AF208,0))," Overall",""))</x:f>
        <x:v>Context-dependent tie</x:v>
      </x:c>
      <x:c r="AH208" s="32" t="str">
        <x:f>IF(AG208="AWS","Start with AWS when infrastructure breadth, native integration and operational maturity are the main differentiators.",IF(AG208="Azure","Start with Azure when Microsoft identity, security, data, productivity or hybrid integration reduces delivery effort.",IF(AG208="GCP","Start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08" s="32" t="str">
        <x:v>Medium</x:v>
      </x:c>
      <x:c r="AJ208" s="32" t="str">
        <x:v>2026-07-12</x:v>
      </x:c>
    </x:row>
    <x:row r="209">
      <x:c r="A209" s="32" t="str">
        <x:v>Application task queue</x:v>
      </x:c>
      <x:c r="B209" s="32" t="str">
        <x:v>08 Applications, APIs &amp; Integration</x:v>
      </x:c>
      <x:c r="C209" s="32" t="str">
        <x:v>Messaging &amp; Eventing</x:v>
      </x:c>
      <x:c r="D209" s="32" t="str">
        <x:v>Component</x:v>
      </x:c>
      <x:c r="E209" s="32" t="str">
        <x:v>What business outcome, scale, control, integration and operating model justify choosing application task queue?</x:v>
      </x:c>
      <x:c r="F209" s="32" t="str">
        <x:v>Amazon SQS</x:v>
      </x:c>
      <x:c r="G209" s="32" t="str">
        <x:v>Azure Queue Storage
Azure Service Bus</x:v>
      </x:c>
      <x:c r="H209" s="32" t="str">
        <x:v>Cloud Tasks</x:v>
      </x:c>
      <x:c r="I209" s="32" t="n">
        <x:v>4.3</x:v>
      </x:c>
      <x:c r="J209" s="32" t="n">
        <x:v>4.2</x:v>
      </x:c>
      <x:c r="K209" s="32" t="n">
        <x:v>4.3</x:v>
      </x:c>
      <x:c r="L209" s="32" t="n">
        <x:v>3.9</x:v>
      </x:c>
      <x:c r="M209" s="32" t="n">
        <x:v>3.5</x:v>
      </x:c>
      <x:c r="N209" s="32" t="n">
        <x:v>4.5</x:v>
      </x:c>
      <x:c r="O209" s="32" t="n">
        <x:v>4</x:v>
      </x:c>
      <x:c r="P209" s="32" t="n">
        <x:v>3.9</x:v>
      </x:c>
      <x:c r="Q209" s="32" t="n">
        <x:v>3.9</x:v>
      </x:c>
      <x:c r="R209" s="32" t="n">
        <x:v>4.4</x:v>
      </x:c>
      <x:c r="S209" s="32" t="n">
        <x:v>3.8</x:v>
      </x:c>
      <x:c r="T209" s="32" t="n">
        <x:v>3.5</x:v>
      </x:c>
      <x:c r="U209" s="32" t="n">
        <x:v>4.3</x:v>
      </x:c>
      <x:c r="V209" s="32" t="n">
        <x:v>4.1</x:v>
      </x:c>
      <x:c r="W209" s="32" t="n">
        <x:v>4</x:v>
      </x:c>
      <x:c r="X209" s="32" t="n">
        <x:v>4</x:v>
      </x:c>
      <x:c r="Y209" s="32" t="n">
        <x:v>4.2</x:v>
      </x:c>
      <x:c r="Z209" s="32" t="n">
        <x:v>4</x:v>
      </x:c>
      <x:c r="AA209" s="32" t="n">
        <x:v>3.5</x:v>
      </x:c>
      <x:c r="AB209" s="32" t="n">
        <x:v>4.3</x:v>
      </x:c>
      <x:c r="AC209" s="32" t="n">
        <x:v>4.2</x:v>
      </x:c>
      <x:c r="AD209" s="32" t="n">
        <x:f>ROUND((I209*'Criteria &amp; Scoring'!$B$5+J209*'Criteria &amp; Scoring'!$B$6+K209*'Criteria &amp; Scoring'!$B$7+L209*'Criteria &amp; Scoring'!$B$8+M209*'Criteria &amp; Scoring'!$B$9+N209*'Criteria &amp; Scoring'!$B$10+O209*'Criteria &amp; Scoring'!$B$11)/SUM('Criteria &amp; Scoring'!$B$5:$B$11),2)</x:f>
        <x:v>4.15</x:v>
      </x:c>
      <x:c r="AE209" s="32" t="n">
        <x:f>ROUND((P209*'Criteria &amp; Scoring'!$B$5+Q209*'Criteria &amp; Scoring'!$B$6+R209*'Criteria &amp; Scoring'!$B$7+S209*'Criteria &amp; Scoring'!$B$8+T209*'Criteria &amp; Scoring'!$B$9+U209*'Criteria &amp; Scoring'!$B$10+V209*'Criteria &amp; Scoring'!$B$11)/SUM('Criteria &amp; Scoring'!$B$5:$B$11),2)</x:f>
        <x:v>3.97</x:v>
      </x:c>
      <x:c r="AF209" s="32" t="n">
        <x:f>ROUND((W209*'Criteria &amp; Scoring'!$B$5+X209*'Criteria &amp; Scoring'!$B$6+Y209*'Criteria &amp; Scoring'!$B$7+Z209*'Criteria &amp; Scoring'!$B$8+AA209*'Criteria &amp; Scoring'!$B$9+AB209*'Criteria &amp; Scoring'!$B$10+AC209*'Criteria &amp; Scoring'!$B$11)/SUM('Criteria &amp; Scoring'!$B$5:$B$11),2)</x:f>
        <x:v>4.02</x:v>
      </x:c>
      <x:c r="AG209" s="32" t="str">
        <x:f>IF(LARGE(AD209:AF209,1)-LARGE(AD209:AF209,2)&lt;0.15,"Context-dependent tie",SUBSTITUTE(INDEX($AD$4:$AF$4,1,MATCH(MAX(AD209:AF209),AD209:AF209,0))," Overall",""))</x:f>
        <x:v>Context-dependent tie</x:v>
      </x:c>
      <x:c r="AH209" s="32" t="str">
        <x:f>IF(AG209="AWS","Start with AWS when infrastructure breadth, native integration and operational maturity are the main differentiators.",IF(AG209="Azure","Start with Azure when Microsoft identity, security, data, productivity or hybrid integration reduces delivery effort.",IF(AG209="GCP","Start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09" s="32" t="str">
        <x:v>Medium</x:v>
      </x:c>
      <x:c r="AJ209" s="32" t="str">
        <x:v>2026-07-12</x:v>
      </x:c>
    </x:row>
    <x:row r="210">
      <x:c r="A210" s="32" t="str">
        <x:v>Transactional email</x:v>
      </x:c>
      <x:c r="B210" s="32" t="str">
        <x:v>08 Applications, APIs &amp; Integration</x:v>
      </x:c>
      <x:c r="C210" s="32" t="str">
        <x:v>Application Communications</x:v>
      </x:c>
      <x:c r="D210" s="32" t="str">
        <x:v>Workload</x:v>
      </x:c>
      <x:c r="E210" s="32" t="str">
        <x:v>What business outcome, scale, control, integration and operating model justify choosing transactional email?</x:v>
      </x:c>
      <x:c r="F210" s="32" t="str">
        <x:v>Amazon Simple Email Service</x:v>
      </x:c>
      <x:c r="G210" s="32" t="str">
        <x:v>Azure Communication Services Email</x:v>
      </x:c>
      <x:c r="H210" s="32" t="str">
        <x:v>partner email services</x:v>
      </x:c>
      <x:c r="I210" s="32" t="n">
        <x:v>3.5</x:v>
      </x:c>
      <x:c r="J210" s="32" t="n">
        <x:v>4</x:v>
      </x:c>
      <x:c r="K210" s="32" t="n">
        <x:v>4.1</x:v>
      </x:c>
      <x:c r="L210" s="32" t="n">
        <x:v>3.9</x:v>
      </x:c>
      <x:c r="M210" s="32" t="n">
        <x:v>3.5</x:v>
      </x:c>
      <x:c r="N210" s="32" t="n">
        <x:v>4.3</x:v>
      </x:c>
      <x:c r="O210" s="32" t="n">
        <x:v>3.7</x:v>
      </x:c>
      <x:c r="P210" s="32" t="n">
        <x:v>3.5</x:v>
      </x:c>
      <x:c r="Q210" s="32" t="n">
        <x:v>4</x:v>
      </x:c>
      <x:c r="R210" s="32" t="n">
        <x:v>4.2</x:v>
      </x:c>
      <x:c r="S210" s="32" t="n">
        <x:v>3.9</x:v>
      </x:c>
      <x:c r="T210" s="32" t="n">
        <x:v>3.5</x:v>
      </x:c>
      <x:c r="U210" s="32" t="n">
        <x:v>4.2</x:v>
      </x:c>
      <x:c r="V210" s="32" t="n">
        <x:v>3.8</x:v>
      </x:c>
      <x:c r="W210" s="32" t="n">
        <x:v>2.8</x:v>
      </x:c>
      <x:c r="X210" s="32" t="n">
        <x:v>3.6</x:v>
      </x:c>
      <x:c r="Y210" s="32" t="n">
        <x:v>3.8</x:v>
      </x:c>
      <x:c r="Z210" s="32" t="n">
        <x:v>3.6</x:v>
      </x:c>
      <x:c r="AA210" s="32" t="n">
        <x:v>3.3</x:v>
      </x:c>
      <x:c r="AB210" s="32" t="n">
        <x:v>3.6</x:v>
      </x:c>
      <x:c r="AC210" s="32" t="n">
        <x:v>3.6</x:v>
      </x:c>
      <x:c r="AD210" s="32" t="n">
        <x:f>ROUND((I210*'Criteria &amp; Scoring'!$B$5+J210*'Criteria &amp; Scoring'!$B$6+K210*'Criteria &amp; Scoring'!$B$7+L210*'Criteria &amp; Scoring'!$B$8+M210*'Criteria &amp; Scoring'!$B$9+N210*'Criteria &amp; Scoring'!$B$10+O210*'Criteria &amp; Scoring'!$B$11)/SUM('Criteria &amp; Scoring'!$B$5:$B$11),2)</x:f>
        <x:v>3.84</x:v>
      </x:c>
      <x:c r="AE210" s="32" t="n">
        <x:f>ROUND((P210*'Criteria &amp; Scoring'!$B$5+Q210*'Criteria &amp; Scoring'!$B$6+R210*'Criteria &amp; Scoring'!$B$7+S210*'Criteria &amp; Scoring'!$B$8+T210*'Criteria &amp; Scoring'!$B$9+U210*'Criteria &amp; Scoring'!$B$10+V210*'Criteria &amp; Scoring'!$B$11)/SUM('Criteria &amp; Scoring'!$B$5:$B$11),2)</x:f>
        <x:v>3.85</x:v>
      </x:c>
      <x:c r="AF210" s="32" t="n">
        <x:f>ROUND((W210*'Criteria &amp; Scoring'!$B$5+X210*'Criteria &amp; Scoring'!$B$6+Y210*'Criteria &amp; Scoring'!$B$7+Z210*'Criteria &amp; Scoring'!$B$8+AA210*'Criteria &amp; Scoring'!$B$9+AB210*'Criteria &amp; Scoring'!$B$10+AC210*'Criteria &amp; Scoring'!$B$11)/SUM('Criteria &amp; Scoring'!$B$5:$B$11),2)</x:f>
        <x:v>3.4</x:v>
      </x:c>
      <x:c r="AG210" s="32" t="str">
        <x:f>IF(LARGE(AD210:AF210,1)-LARGE(AD210:AF210,2)&lt;0.15,"Context-dependent tie",SUBSTITUTE(INDEX($AD$4:$AF$4,1,MATCH(MAX(AD210:AF210),AD210:AF210,0))," Overall",""))</x:f>
        <x:v>Context-dependent tie</x:v>
      </x:c>
      <x:c r="AH210" s="32" t="str">
        <x:f>IF(AG210="AWS","Start with AWS when infrastructure breadth, native integration and operational maturity are the main differentiators.",IF(AG210="Azure","Start with Azure when Microsoft identity, security, data, productivity or hybrid integration reduces delivery effort.",IF(AG210="GCP","Start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10" s="32" t="str">
        <x:v>Low</x:v>
      </x:c>
      <x:c r="AJ210" s="32" t="str">
        <x:v>2026-07-12</x:v>
      </x:c>
    </x:row>
    <x:row r="211">
      <x:c r="A211" s="32" t="str">
        <x:v>Mobile push notifications</x:v>
      </x:c>
      <x:c r="B211" s="32" t="str">
        <x:v>08 Applications, APIs &amp; Integration</x:v>
      </x:c>
      <x:c r="C211" s="32" t="str">
        <x:v>Application Communications</x:v>
      </x:c>
      <x:c r="D211" s="32" t="str">
        <x:v>Component</x:v>
      </x:c>
      <x:c r="E211" s="32" t="str">
        <x:v>What business outcome, scale, control, integration and operating model justify choosing mobile push notifications?</x:v>
      </x:c>
      <x:c r="F211" s="32" t="str">
        <x:v>Amazon SNS
Amazon Pinpoint</x:v>
      </x:c>
      <x:c r="G211" s="32" t="str">
        <x:v>Azure Notification Hubs</x:v>
      </x:c>
      <x:c r="H211" s="32" t="str">
        <x:v>Firebase Cloud Messaging</x:v>
      </x:c>
      <x:c r="I211" s="32" t="n">
        <x:v>3.9</x:v>
      </x:c>
      <x:c r="J211" s="32" t="n">
        <x:v>4.9</x:v>
      </x:c>
      <x:c r="K211" s="32" t="n">
        <x:v>4.2</x:v>
      </x:c>
      <x:c r="L211" s="32" t="n">
        <x:v>3.8</x:v>
      </x:c>
      <x:c r="M211" s="32" t="n">
        <x:v>3.5</x:v>
      </x:c>
      <x:c r="N211" s="32" t="n">
        <x:v>4.4</x:v>
      </x:c>
      <x:c r="O211" s="32" t="n">
        <x:v>3.6</x:v>
      </x:c>
      <x:c r="P211" s="32" t="n">
        <x:v>4</x:v>
      </x:c>
      <x:c r="Q211" s="32" t="n">
        <x:v>5</x:v>
      </x:c>
      <x:c r="R211" s="32" t="n">
        <x:v>4.8</x:v>
      </x:c>
      <x:c r="S211" s="32" t="n">
        <x:v>3.9</x:v>
      </x:c>
      <x:c r="T211" s="32" t="n">
        <x:v>3.5</x:v>
      </x:c>
      <x:c r="U211" s="32" t="n">
        <x:v>4.4</x:v>
      </x:c>
      <x:c r="V211" s="32" t="n">
        <x:v>3.8</x:v>
      </x:c>
      <x:c r="W211" s="32" t="n">
        <x:v>4</x:v>
      </x:c>
      <x:c r="X211" s="32" t="n">
        <x:v>5</x:v>
      </x:c>
      <x:c r="Y211" s="32" t="n">
        <x:v>4.2</x:v>
      </x:c>
      <x:c r="Z211" s="32" t="n">
        <x:v>4</x:v>
      </x:c>
      <x:c r="AA211" s="32" t="n">
        <x:v>3.5</x:v>
      </x:c>
      <x:c r="AB211" s="32" t="n">
        <x:v>4.3</x:v>
      </x:c>
      <x:c r="AC211" s="32" t="n">
        <x:v>3.9</x:v>
      </x:c>
      <x:c r="AD211" s="32" t="n">
        <x:f>ROUND((I211*'Criteria &amp; Scoring'!$B$5+J211*'Criteria &amp; Scoring'!$B$6+K211*'Criteria &amp; Scoring'!$B$7+L211*'Criteria &amp; Scoring'!$B$8+M211*'Criteria &amp; Scoring'!$B$9+N211*'Criteria &amp; Scoring'!$B$10+O211*'Criteria &amp; Scoring'!$B$11)/SUM('Criteria &amp; Scoring'!$B$5:$B$11),2)</x:f>
        <x:v>4.13</x:v>
      </x:c>
      <x:c r="AE211" s="32" t="n">
        <x:f>ROUND((P211*'Criteria &amp; Scoring'!$B$5+Q211*'Criteria &amp; Scoring'!$B$6+R211*'Criteria &amp; Scoring'!$B$7+S211*'Criteria &amp; Scoring'!$B$8+T211*'Criteria &amp; Scoring'!$B$9+U211*'Criteria &amp; Scoring'!$B$10+V211*'Criteria &amp; Scoring'!$B$11)/SUM('Criteria &amp; Scoring'!$B$5:$B$11),2)</x:f>
        <x:v>4.29</x:v>
      </x:c>
      <x:c r="AF211" s="32" t="n">
        <x:f>ROUND((W211*'Criteria &amp; Scoring'!$B$5+X211*'Criteria &amp; Scoring'!$B$6+Y211*'Criteria &amp; Scoring'!$B$7+Z211*'Criteria &amp; Scoring'!$B$8+AA211*'Criteria &amp; Scoring'!$B$9+AB211*'Criteria &amp; Scoring'!$B$10+AC211*'Criteria &amp; Scoring'!$B$11)/SUM('Criteria &amp; Scoring'!$B$5:$B$11),2)</x:f>
        <x:v>4.21</x:v>
      </x:c>
      <x:c r="AG211" s="32" t="str">
        <x:f>IF(LARGE(AD211:AF211,1)-LARGE(AD211:AF211,2)&lt;0.15,"Context-dependent tie",SUBSTITUTE(INDEX($AD$4:$AF$4,1,MATCH(MAX(AD211:AF211),AD211:AF211,0))," Overall",""))</x:f>
        <x:v>Context-dependent tie</x:v>
      </x:c>
      <x:c r="AH211" s="32" t="str">
        <x:f>IF(AG211="AWS","Start with AWS when infrastructure breadth, native integration and operational maturity are the main differentiators.",IF(AG211="Azure","Start with Azure when Microsoft identity, security, data, productivity or hybrid integration reduces delivery effort.",IF(AG211="GCP","Start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11" s="32" t="str">
        <x:v>Medium</x:v>
      </x:c>
      <x:c r="AJ211" s="32" t="str">
        <x:v>2026-07-12</x:v>
      </x:c>
    </x:row>
    <x:row r="212">
      <x:c r="A212" s="32" t="str">
        <x:v>Managed real-time web messaging</x:v>
      </x:c>
      <x:c r="B212" s="32" t="str">
        <x:v>08 Applications, APIs &amp; Integration</x:v>
      </x:c>
      <x:c r="C212" s="32" t="str">
        <x:v>Application Communications</x:v>
      </x:c>
      <x:c r="D212" s="32" t="str">
        <x:v>Workload</x:v>
      </x:c>
      <x:c r="E212" s="32" t="str">
        <x:v>What business outcome, scale, control, integration and operating model justify choosing managed real-time web messaging?</x:v>
      </x:c>
      <x:c r="F212" s="32" t="str">
        <x:v>AWS AppSync subscriptions
Amazon API Gateway WebSocket APIs</x:v>
      </x:c>
      <x:c r="G212" s="32" t="str">
        <x:v>Azure SignalR Service
Azure Web PubSub</x:v>
      </x:c>
      <x:c r="H212" s="32" t="str">
        <x:v>Firebase Realtime Database
Cloud Run WebSockets</x:v>
      </x:c>
      <x:c r="I212" s="32" t="n">
        <x:v>3.8</x:v>
      </x:c>
      <x:c r="J212" s="32" t="n">
        <x:v>3.2</x:v>
      </x:c>
      <x:c r="K212" s="32" t="n">
        <x:v>4</x:v>
      </x:c>
      <x:c r="L212" s="32" t="n">
        <x:v>3.8</x:v>
      </x:c>
      <x:c r="M212" s="32" t="n">
        <x:v>3.5</x:v>
      </x:c>
      <x:c r="N212" s="32" t="n">
        <x:v>4.2</x:v>
      </x:c>
      <x:c r="O212" s="32" t="n">
        <x:v>3.6</x:v>
      </x:c>
      <x:c r="P212" s="32" t="n">
        <x:v>3.4</x:v>
      </x:c>
      <x:c r="Q212" s="32" t="n">
        <x:v>2.9</x:v>
      </x:c>
      <x:c r="R212" s="32" t="n">
        <x:v>4.1</x:v>
      </x:c>
      <x:c r="S212" s="32" t="n">
        <x:v>3.8</x:v>
      </x:c>
      <x:c r="T212" s="32" t="n">
        <x:v>3.5</x:v>
      </x:c>
      <x:c r="U212" s="32" t="n">
        <x:v>4.1</x:v>
      </x:c>
      <x:c r="V212" s="32" t="n">
        <x:v>3.7</x:v>
      </x:c>
      <x:c r="W212" s="32" t="n">
        <x:v>3.4</x:v>
      </x:c>
      <x:c r="X212" s="32" t="n">
        <x:v>2.9</x:v>
      </x:c>
      <x:c r="Y212" s="32" t="n">
        <x:v>3.8</x:v>
      </x:c>
      <x:c r="Z212" s="32" t="n">
        <x:v>3.9</x:v>
      </x:c>
      <x:c r="AA212" s="32" t="n">
        <x:v>3.5</x:v>
      </x:c>
      <x:c r="AB212" s="32" t="n">
        <x:v>4</x:v>
      </x:c>
      <x:c r="AC212" s="32" t="n">
        <x:v>3.8</x:v>
      </x:c>
      <x:c r="AD212" s="32" t="n">
        <x:f>ROUND((I212*'Criteria &amp; Scoring'!$B$5+J212*'Criteria &amp; Scoring'!$B$6+K212*'Criteria &amp; Scoring'!$B$7+L212*'Criteria &amp; Scoring'!$B$8+M212*'Criteria &amp; Scoring'!$B$9+N212*'Criteria &amp; Scoring'!$B$10+O212*'Criteria &amp; Scoring'!$B$11)/SUM('Criteria &amp; Scoring'!$B$5:$B$11),2)</x:f>
        <x:v>3.71</x:v>
      </x:c>
      <x:c r="AE212" s="32" t="n">
        <x:f>ROUND((P212*'Criteria &amp; Scoring'!$B$5+Q212*'Criteria &amp; Scoring'!$B$6+R212*'Criteria &amp; Scoring'!$B$7+S212*'Criteria &amp; Scoring'!$B$8+T212*'Criteria &amp; Scoring'!$B$9+U212*'Criteria &amp; Scoring'!$B$10+V212*'Criteria &amp; Scoring'!$B$11)/SUM('Criteria &amp; Scoring'!$B$5:$B$11),2)</x:f>
        <x:v>3.56</x:v>
      </x:c>
      <x:c r="AF212" s="32" t="n">
        <x:f>ROUND((W212*'Criteria &amp; Scoring'!$B$5+X212*'Criteria &amp; Scoring'!$B$6+Y212*'Criteria &amp; Scoring'!$B$7+Z212*'Criteria &amp; Scoring'!$B$8+AA212*'Criteria &amp; Scoring'!$B$9+AB212*'Criteria &amp; Scoring'!$B$10+AC212*'Criteria &amp; Scoring'!$B$11)/SUM('Criteria &amp; Scoring'!$B$5:$B$11),2)</x:f>
        <x:v>3.53</x:v>
      </x:c>
      <x:c r="AG212" s="32" t="str">
        <x:f>IF(LARGE(AD212:AF212,1)-LARGE(AD212:AF212,2)&lt;0.15,"Context-dependent tie",SUBSTITUTE(INDEX($AD$4:$AF$4,1,MATCH(MAX(AD212:AF212),AD212:AF212,0))," Overall",""))</x:f>
        <x:v>AWS</x:v>
      </x:c>
      <x:c r="AH212" s="32" t="str">
        <x:f>IF(AG212="AWS","Start with AWS when infrastructure breadth, native integration and operational maturity are the main differentiators.",IF(AG212="Azure","Start with Azure when Microsoft identity, security, data, productivity or hybrid integration reduces delivery effort.",IF(AG212="GCP","Start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212" s="32" t="str">
        <x:v>Low</x:v>
      </x:c>
      <x:c r="AJ212" s="32" t="str">
        <x:v>2026-07-12</x:v>
      </x:c>
    </x:row>
    <x:row r="213">
      <x:c r="A213" s="32" t="str">
        <x:v>Managed Git repositories</x:v>
      </x:c>
      <x:c r="B213" s="32" t="str">
        <x:v>09 Engineering, Operations &amp; Migration</x:v>
      </x:c>
      <x:c r="C213" s="32" t="str">
        <x:v>Software Delivery &amp; Supply Chain</x:v>
      </x:c>
      <x:c r="D213" s="32" t="str">
        <x:v>Workload</x:v>
      </x:c>
      <x:c r="E213" s="32" t="str">
        <x:v>How will source, builds, artifacts, approvals, security checks and deployments be governed end to end?</x:v>
      </x:c>
      <x:c r="F213" s="32" t="str">
        <x:v>AWS CodeCommit</x:v>
      </x:c>
      <x:c r="G213" s="32" t="str">
        <x:v>Azure Repos
GitHub Enterprise</x:v>
      </x:c>
      <x:c r="H213" s="32" t="str">
        <x:v>Secure Source Manager</x:v>
      </x:c>
      <x:c r="I213" s="32" t="n">
        <x:v>4.3</x:v>
      </x:c>
      <x:c r="J213" s="32" t="n">
        <x:v>3</x:v>
      </x:c>
      <x:c r="K213" s="32" t="n">
        <x:v>4.3</x:v>
      </x:c>
      <x:c r="L213" s="32" t="n">
        <x:v>3.9</x:v>
      </x:c>
      <x:c r="M213" s="32" t="n">
        <x:v>3.5</x:v>
      </x:c>
      <x:c r="N213" s="32" t="n">
        <x:v>4.5</x:v>
      </x:c>
      <x:c r="O213" s="32" t="n">
        <x:v>3.7</x:v>
      </x:c>
      <x:c r="P213" s="32" t="n">
        <x:v>4.2</x:v>
      </x:c>
      <x:c r="Q213" s="32" t="n">
        <x:v>3.3</x:v>
      </x:c>
      <x:c r="R213" s="32" t="n">
        <x:v>4.4</x:v>
      </x:c>
      <x:c r="S213" s="32" t="n">
        <x:v>3.8</x:v>
      </x:c>
      <x:c r="T213" s="32" t="n">
        <x:v>3.5</x:v>
      </x:c>
      <x:c r="U213" s="32" t="n">
        <x:v>4.3</x:v>
      </x:c>
      <x:c r="V213" s="32" t="n">
        <x:v>3.7</x:v>
      </x:c>
      <x:c r="W213" s="32" t="n">
        <x:v>4</x:v>
      </x:c>
      <x:c r="X213" s="32" t="n">
        <x:v>3</x:v>
      </x:c>
      <x:c r="Y213" s="32" t="n">
        <x:v>4.4</x:v>
      </x:c>
      <x:c r="Z213" s="32" t="n">
        <x:v>4</x:v>
      </x:c>
      <x:c r="AA213" s="32" t="n">
        <x:v>3.5</x:v>
      </x:c>
      <x:c r="AB213" s="32" t="n">
        <x:v>4.3</x:v>
      </x:c>
      <x:c r="AC213" s="32" t="n">
        <x:v>3.9</x:v>
      </x:c>
      <x:c r="AD213" s="32" t="n">
        <x:f>ROUND((I213*'Criteria &amp; Scoring'!$B$5+J213*'Criteria &amp; Scoring'!$B$6+K213*'Criteria &amp; Scoring'!$B$7+L213*'Criteria &amp; Scoring'!$B$8+M213*'Criteria &amp; Scoring'!$B$9+N213*'Criteria &amp; Scoring'!$B$10+O213*'Criteria &amp; Scoring'!$B$11)/SUM('Criteria &amp; Scoring'!$B$5:$B$11),2)</x:f>
        <x:v>3.89</x:v>
      </x:c>
      <x:c r="AE213" s="32" t="n">
        <x:f>ROUND((P213*'Criteria &amp; Scoring'!$B$5+Q213*'Criteria &amp; Scoring'!$B$6+R213*'Criteria &amp; Scoring'!$B$7+S213*'Criteria &amp; Scoring'!$B$8+T213*'Criteria &amp; Scoring'!$B$9+U213*'Criteria &amp; Scoring'!$B$10+V213*'Criteria &amp; Scoring'!$B$11)/SUM('Criteria &amp; Scoring'!$B$5:$B$11),2)</x:f>
        <x:v>3.91</x:v>
      </x:c>
      <x:c r="AF213" s="32" t="n">
        <x:f>ROUND((W213*'Criteria &amp; Scoring'!$B$5+X213*'Criteria &amp; Scoring'!$B$6+Y213*'Criteria &amp; Scoring'!$B$7+Z213*'Criteria &amp; Scoring'!$B$8+AA213*'Criteria &amp; Scoring'!$B$9+AB213*'Criteria &amp; Scoring'!$B$10+AC213*'Criteria &amp; Scoring'!$B$11)/SUM('Criteria &amp; Scoring'!$B$5:$B$11),2)</x:f>
        <x:v>3.84</x:v>
      </x:c>
      <x:c r="AG213" s="32" t="str">
        <x:f>IF(LARGE(AD213:AF213,1)-LARGE(AD213:AF213,2)&lt;0.15,"Context-dependent tie",SUBSTITUTE(INDEX($AD$4:$AF$4,1,MATCH(MAX(AD213:AF213),AD213:AF213,0))," Overall",""))</x:f>
        <x:v>Context-dependent tie</x:v>
      </x:c>
      <x:c r="AH213" s="32" t="str">
        <x:f>IF(AG213="AWS","Start with AWS when infrastructure breadth, native integration and operational maturity are the main differentiators.",IF(AG213="Azure","Start with Azure when Microsoft identity, security, data, productivity or hybrid integration reduces delivery effort.",IF(AG213="GCP","Start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13" s="32" t="str">
        <x:v>Medium</x:v>
      </x:c>
      <x:c r="AJ213" s="32" t="str">
        <x:v>2026-07-12</x:v>
      </x:c>
    </x:row>
    <x:row r="214">
      <x:c r="A214" s="32" t="str">
        <x:v>Managed continuous integration</x:v>
      </x:c>
      <x:c r="B214" s="32" t="str">
        <x:v>09 Engineering, Operations &amp; Migration</x:v>
      </x:c>
      <x:c r="C214" s="32" t="str">
        <x:v>Software Delivery &amp; Supply Chain</x:v>
      </x:c>
      <x:c r="D214" s="32" t="str">
        <x:v>Workload</x:v>
      </x:c>
      <x:c r="E214" s="32" t="str">
        <x:v>How will source, builds, artifacts, approvals, security checks and deployments be governed end to end?</x:v>
      </x:c>
      <x:c r="F214" s="32" t="str">
        <x:v>AWS CodeBuild
AWS CodeCatalyst</x:v>
      </x:c>
      <x:c r="G214" s="32" t="str">
        <x:v>Azure Pipelines
GitHub Actions</x:v>
      </x:c>
      <x:c r="H214" s="32" t="str">
        <x:v>Cloud Build</x:v>
      </x:c>
      <x:c r="I214" s="32" t="n">
        <x:v>4.2</x:v>
      </x:c>
      <x:c r="J214" s="32" t="n">
        <x:v>2.9</x:v>
      </x:c>
      <x:c r="K214" s="32" t="n">
        <x:v>4.2</x:v>
      </x:c>
      <x:c r="L214" s="32" t="n">
        <x:v>3.8</x:v>
      </x:c>
      <x:c r="M214" s="32" t="n">
        <x:v>3.5</x:v>
      </x:c>
      <x:c r="N214" s="32" t="n">
        <x:v>4.4</x:v>
      </x:c>
      <x:c r="O214" s="32" t="n">
        <x:v>3.6</x:v>
      </x:c>
      <x:c r="P214" s="32" t="n">
        <x:v>4.2</x:v>
      </x:c>
      <x:c r="Q214" s="32" t="n">
        <x:v>3.3</x:v>
      </x:c>
      <x:c r="R214" s="32" t="n">
        <x:v>4.4</x:v>
      </x:c>
      <x:c r="S214" s="32" t="n">
        <x:v>3.8</x:v>
      </x:c>
      <x:c r="T214" s="32" t="n">
        <x:v>3.5</x:v>
      </x:c>
      <x:c r="U214" s="32" t="n">
        <x:v>4.3</x:v>
      </x:c>
      <x:c r="V214" s="32" t="n">
        <x:v>3.7</x:v>
      </x:c>
      <x:c r="W214" s="32" t="n">
        <x:v>4</x:v>
      </x:c>
      <x:c r="X214" s="32" t="n">
        <x:v>3</x:v>
      </x:c>
      <x:c r="Y214" s="32" t="n">
        <x:v>4.4</x:v>
      </x:c>
      <x:c r="Z214" s="32" t="n">
        <x:v>4</x:v>
      </x:c>
      <x:c r="AA214" s="32" t="n">
        <x:v>3.5</x:v>
      </x:c>
      <x:c r="AB214" s="32" t="n">
        <x:v>4.3</x:v>
      </x:c>
      <x:c r="AC214" s="32" t="n">
        <x:v>3.9</x:v>
      </x:c>
      <x:c r="AD214" s="32" t="n">
        <x:f>ROUND((I214*'Criteria &amp; Scoring'!$B$5+J214*'Criteria &amp; Scoring'!$B$6+K214*'Criteria &amp; Scoring'!$B$7+L214*'Criteria &amp; Scoring'!$B$8+M214*'Criteria &amp; Scoring'!$B$9+N214*'Criteria &amp; Scoring'!$B$10+O214*'Criteria &amp; Scoring'!$B$11)/SUM('Criteria &amp; Scoring'!$B$5:$B$11),2)</x:f>
        <x:v>3.8</x:v>
      </x:c>
      <x:c r="AE214" s="32" t="n">
        <x:f>ROUND((P214*'Criteria &amp; Scoring'!$B$5+Q214*'Criteria &amp; Scoring'!$B$6+R214*'Criteria &amp; Scoring'!$B$7+S214*'Criteria &amp; Scoring'!$B$8+T214*'Criteria &amp; Scoring'!$B$9+U214*'Criteria &amp; Scoring'!$B$10+V214*'Criteria &amp; Scoring'!$B$11)/SUM('Criteria &amp; Scoring'!$B$5:$B$11),2)</x:f>
        <x:v>3.91</x:v>
      </x:c>
      <x:c r="AF214" s="32" t="n">
        <x:f>ROUND((W214*'Criteria &amp; Scoring'!$B$5+X214*'Criteria &amp; Scoring'!$B$6+Y214*'Criteria &amp; Scoring'!$B$7+Z214*'Criteria &amp; Scoring'!$B$8+AA214*'Criteria &amp; Scoring'!$B$9+AB214*'Criteria &amp; Scoring'!$B$10+AC214*'Criteria &amp; Scoring'!$B$11)/SUM('Criteria &amp; Scoring'!$B$5:$B$11),2)</x:f>
        <x:v>3.84</x:v>
      </x:c>
      <x:c r="AG214" s="32" t="str">
        <x:f>IF(LARGE(AD214:AF214,1)-LARGE(AD214:AF214,2)&lt;0.15,"Context-dependent tie",SUBSTITUTE(INDEX($AD$4:$AF$4,1,MATCH(MAX(AD214:AF214),AD214:AF214,0))," Overall",""))</x:f>
        <x:v>Context-dependent tie</x:v>
      </x:c>
      <x:c r="AH214" s="32" t="str">
        <x:f>IF(AG214="AWS","Start with AWS when infrastructure breadth, native integration and operational maturity are the main differentiators.",IF(AG214="Azure","Start with Azure when Microsoft identity, security, data, productivity or hybrid integration reduces delivery effort.",IF(AG214="GCP","Start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14" s="32" t="str">
        <x:v>Medium</x:v>
      </x:c>
      <x:c r="AJ214" s="32" t="str">
        <x:v>2026-07-12</x:v>
      </x:c>
    </x:row>
    <x:row r="215">
      <x:c r="A215" s="32" t="str">
        <x:v>Managed continuous delivery</x:v>
      </x:c>
      <x:c r="B215" s="32" t="str">
        <x:v>09 Engineering, Operations &amp; Migration</x:v>
      </x:c>
      <x:c r="C215" s="32" t="str">
        <x:v>Software Delivery &amp; Supply Chain</x:v>
      </x:c>
      <x:c r="D215" s="32" t="str">
        <x:v>Workload</x:v>
      </x:c>
      <x:c r="E215" s="32" t="str">
        <x:v>How will source, builds, artifacts, approvals, security checks and deployments be governed end to end?</x:v>
      </x:c>
      <x:c r="F215" s="32" t="str">
        <x:v>AWS CodePipeline
AWS CodeDeploy</x:v>
      </x:c>
      <x:c r="G215" s="32" t="str">
        <x:v>Azure Pipelines
GitHub Actions</x:v>
      </x:c>
      <x:c r="H215" s="32" t="str">
        <x:v>Cloud Deploy</x:v>
      </x:c>
      <x:c r="I215" s="32" t="n">
        <x:v>4.2</x:v>
      </x:c>
      <x:c r="J215" s="32" t="n">
        <x:v>2.9</x:v>
      </x:c>
      <x:c r="K215" s="32" t="n">
        <x:v>4.2</x:v>
      </x:c>
      <x:c r="L215" s="32" t="n">
        <x:v>3.8</x:v>
      </x:c>
      <x:c r="M215" s="32" t="n">
        <x:v>3.5</x:v>
      </x:c>
      <x:c r="N215" s="32" t="n">
        <x:v>4.4</x:v>
      </x:c>
      <x:c r="O215" s="32" t="n">
        <x:v>3.6</x:v>
      </x:c>
      <x:c r="P215" s="32" t="n">
        <x:v>4.2</x:v>
      </x:c>
      <x:c r="Q215" s="32" t="n">
        <x:v>3.3</x:v>
      </x:c>
      <x:c r="R215" s="32" t="n">
        <x:v>4.4</x:v>
      </x:c>
      <x:c r="S215" s="32" t="n">
        <x:v>3.8</x:v>
      </x:c>
      <x:c r="T215" s="32" t="n">
        <x:v>3.5</x:v>
      </x:c>
      <x:c r="U215" s="32" t="n">
        <x:v>4.3</x:v>
      </x:c>
      <x:c r="V215" s="32" t="n">
        <x:v>3.7</x:v>
      </x:c>
      <x:c r="W215" s="32" t="n">
        <x:v>4</x:v>
      </x:c>
      <x:c r="X215" s="32" t="n">
        <x:v>3</x:v>
      </x:c>
      <x:c r="Y215" s="32" t="n">
        <x:v>4.4</x:v>
      </x:c>
      <x:c r="Z215" s="32" t="n">
        <x:v>4</x:v>
      </x:c>
      <x:c r="AA215" s="32" t="n">
        <x:v>3.5</x:v>
      </x:c>
      <x:c r="AB215" s="32" t="n">
        <x:v>4.3</x:v>
      </x:c>
      <x:c r="AC215" s="32" t="n">
        <x:v>3.9</x:v>
      </x:c>
      <x:c r="AD215" s="32" t="n">
        <x:f>ROUND((I215*'Criteria &amp; Scoring'!$B$5+J215*'Criteria &amp; Scoring'!$B$6+K215*'Criteria &amp; Scoring'!$B$7+L215*'Criteria &amp; Scoring'!$B$8+M215*'Criteria &amp; Scoring'!$B$9+N215*'Criteria &amp; Scoring'!$B$10+O215*'Criteria &amp; Scoring'!$B$11)/SUM('Criteria &amp; Scoring'!$B$5:$B$11),2)</x:f>
        <x:v>3.8</x:v>
      </x:c>
      <x:c r="AE215" s="32" t="n">
        <x:f>ROUND((P215*'Criteria &amp; Scoring'!$B$5+Q215*'Criteria &amp; Scoring'!$B$6+R215*'Criteria &amp; Scoring'!$B$7+S215*'Criteria &amp; Scoring'!$B$8+T215*'Criteria &amp; Scoring'!$B$9+U215*'Criteria &amp; Scoring'!$B$10+V215*'Criteria &amp; Scoring'!$B$11)/SUM('Criteria &amp; Scoring'!$B$5:$B$11),2)</x:f>
        <x:v>3.91</x:v>
      </x:c>
      <x:c r="AF215" s="32" t="n">
        <x:f>ROUND((W215*'Criteria &amp; Scoring'!$B$5+X215*'Criteria &amp; Scoring'!$B$6+Y215*'Criteria &amp; Scoring'!$B$7+Z215*'Criteria &amp; Scoring'!$B$8+AA215*'Criteria &amp; Scoring'!$B$9+AB215*'Criteria &amp; Scoring'!$B$10+AC215*'Criteria &amp; Scoring'!$B$11)/SUM('Criteria &amp; Scoring'!$B$5:$B$11),2)</x:f>
        <x:v>3.84</x:v>
      </x:c>
      <x:c r="AG215" s="32" t="str">
        <x:f>IF(LARGE(AD215:AF215,1)-LARGE(AD215:AF215,2)&lt;0.15,"Context-dependent tie",SUBSTITUTE(INDEX($AD$4:$AF$4,1,MATCH(MAX(AD215:AF215),AD215:AF215,0))," Overall",""))</x:f>
        <x:v>Context-dependent tie</x:v>
      </x:c>
      <x:c r="AH215" s="32" t="str">
        <x:f>IF(AG215="AWS","Start with AWS when infrastructure breadth, native integration and operational maturity are the main differentiators.",IF(AG215="Azure","Start with Azure when Microsoft identity, security, data, productivity or hybrid integration reduces delivery effort.",IF(AG215="GCP","Start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15" s="32" t="str">
        <x:v>Medium</x:v>
      </x:c>
      <x:c r="AJ215" s="32" t="str">
        <x:v>2026-07-12</x:v>
      </x:c>
    </x:row>
    <x:row r="216">
      <x:c r="A216" s="32" t="str">
        <x:v>Artifact and package repository</x:v>
      </x:c>
      <x:c r="B216" s="32" t="str">
        <x:v>09 Engineering, Operations &amp; Migration</x:v>
      </x:c>
      <x:c r="C216" s="32" t="str">
        <x:v>Software Delivery &amp; Supply Chain</x:v>
      </x:c>
      <x:c r="D216" s="32" t="str">
        <x:v>Workload</x:v>
      </x:c>
      <x:c r="E216" s="32" t="str">
        <x:v>How will source, builds, artifacts, approvals, security checks and deployments be governed end to end?</x:v>
      </x:c>
      <x:c r="F216" s="32" t="str">
        <x:v>AWS CodeArtifact
Amazon ECR</x:v>
      </x:c>
      <x:c r="G216" s="32" t="str">
        <x:v>Azure Artifacts
Azure Container Registry</x:v>
      </x:c>
      <x:c r="H216" s="32" t="str">
        <x:v>Artifact Registry</x:v>
      </x:c>
      <x:c r="I216" s="32" t="n">
        <x:v>4.2</x:v>
      </x:c>
      <x:c r="J216" s="32" t="n">
        <x:v>2.9</x:v>
      </x:c>
      <x:c r="K216" s="32" t="n">
        <x:v>4.2</x:v>
      </x:c>
      <x:c r="L216" s="32" t="n">
        <x:v>3.8</x:v>
      </x:c>
      <x:c r="M216" s="32" t="n">
        <x:v>3.5</x:v>
      </x:c>
      <x:c r="N216" s="32" t="n">
        <x:v>4.4</x:v>
      </x:c>
      <x:c r="O216" s="32" t="n">
        <x:v>3.6</x:v>
      </x:c>
      <x:c r="P216" s="32" t="n">
        <x:v>4.2</x:v>
      </x:c>
      <x:c r="Q216" s="32" t="n">
        <x:v>3.3</x:v>
      </x:c>
      <x:c r="R216" s="32" t="n">
        <x:v>4.4</x:v>
      </x:c>
      <x:c r="S216" s="32" t="n">
        <x:v>3.8</x:v>
      </x:c>
      <x:c r="T216" s="32" t="n">
        <x:v>3.5</x:v>
      </x:c>
      <x:c r="U216" s="32" t="n">
        <x:v>4.3</x:v>
      </x:c>
      <x:c r="V216" s="32" t="n">
        <x:v>3.7</x:v>
      </x:c>
      <x:c r="W216" s="32" t="n">
        <x:v>4</x:v>
      </x:c>
      <x:c r="X216" s="32" t="n">
        <x:v>3</x:v>
      </x:c>
      <x:c r="Y216" s="32" t="n">
        <x:v>4.4</x:v>
      </x:c>
      <x:c r="Z216" s="32" t="n">
        <x:v>4</x:v>
      </x:c>
      <x:c r="AA216" s="32" t="n">
        <x:v>3.5</x:v>
      </x:c>
      <x:c r="AB216" s="32" t="n">
        <x:v>4.3</x:v>
      </x:c>
      <x:c r="AC216" s="32" t="n">
        <x:v>3.9</x:v>
      </x:c>
      <x:c r="AD216" s="32" t="n">
        <x:f>ROUND((I216*'Criteria &amp; Scoring'!$B$5+J216*'Criteria &amp; Scoring'!$B$6+K216*'Criteria &amp; Scoring'!$B$7+L216*'Criteria &amp; Scoring'!$B$8+M216*'Criteria &amp; Scoring'!$B$9+N216*'Criteria &amp; Scoring'!$B$10+O216*'Criteria &amp; Scoring'!$B$11)/SUM('Criteria &amp; Scoring'!$B$5:$B$11),2)</x:f>
        <x:v>3.8</x:v>
      </x:c>
      <x:c r="AE216" s="32" t="n">
        <x:f>ROUND((P216*'Criteria &amp; Scoring'!$B$5+Q216*'Criteria &amp; Scoring'!$B$6+R216*'Criteria &amp; Scoring'!$B$7+S216*'Criteria &amp; Scoring'!$B$8+T216*'Criteria &amp; Scoring'!$B$9+U216*'Criteria &amp; Scoring'!$B$10+V216*'Criteria &amp; Scoring'!$B$11)/SUM('Criteria &amp; Scoring'!$B$5:$B$11),2)</x:f>
        <x:v>3.91</x:v>
      </x:c>
      <x:c r="AF216" s="32" t="n">
        <x:f>ROUND((W216*'Criteria &amp; Scoring'!$B$5+X216*'Criteria &amp; Scoring'!$B$6+Y216*'Criteria &amp; Scoring'!$B$7+Z216*'Criteria &amp; Scoring'!$B$8+AA216*'Criteria &amp; Scoring'!$B$9+AB216*'Criteria &amp; Scoring'!$B$10+AC216*'Criteria &amp; Scoring'!$B$11)/SUM('Criteria &amp; Scoring'!$B$5:$B$11),2)</x:f>
        <x:v>3.84</x:v>
      </x:c>
      <x:c r="AG216" s="32" t="str">
        <x:f>IF(LARGE(AD216:AF216,1)-LARGE(AD216:AF216,2)&lt;0.15,"Context-dependent tie",SUBSTITUTE(INDEX($AD$4:$AF$4,1,MATCH(MAX(AD216:AF216),AD216:AF216,0))," Overall",""))</x:f>
        <x:v>Context-dependent tie</x:v>
      </x:c>
      <x:c r="AH216" s="32" t="str">
        <x:f>IF(AG216="AWS","Start with AWS when infrastructure breadth, native integration and operational maturity are the main differentiators.",IF(AG216="Azure","Start with Azure when Microsoft identity, security, data, productivity or hybrid integration reduces delivery effort.",IF(AG216="GCP","Start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16" s="32" t="str">
        <x:v>Medium</x:v>
      </x:c>
      <x:c r="AJ216" s="32" t="str">
        <x:v>2026-07-12</x:v>
      </x:c>
    </x:row>
    <x:row r="217">
      <x:c r="A217" s="32" t="str">
        <x:v>Software artifact analysis</x:v>
      </x:c>
      <x:c r="B217" s="32" t="str">
        <x:v>09 Engineering, Operations &amp; Migration</x:v>
      </x:c>
      <x:c r="C217" s="32" t="str">
        <x:v>Software Delivery &amp; Supply Chain</x:v>
      </x:c>
      <x:c r="D217" s="32" t="str">
        <x:v>Workload</x:v>
      </x:c>
      <x:c r="E217" s="32" t="str">
        <x:v>How will source, builds, artifacts, approvals, security checks and deployments be governed end to end?</x:v>
      </x:c>
      <x:c r="F217" s="32" t="str">
        <x:v>Amazon Inspector
Amazon ECR enhanced scanning</x:v>
      </x:c>
      <x:c r="G217" s="32" t="str">
        <x:v>Microsoft Defender for Cloud
GitHub Advanced Security</x:v>
      </x:c>
      <x:c r="H217" s="32" t="str">
        <x:v>Artifact Analysis
Software supply chain security</x:v>
      </x:c>
      <x:c r="I217" s="32" t="n">
        <x:v>4.2</x:v>
      </x:c>
      <x:c r="J217" s="32" t="n">
        <x:v>2.9</x:v>
      </x:c>
      <x:c r="K217" s="32" t="n">
        <x:v>4.2</x:v>
      </x:c>
      <x:c r="L217" s="32" t="n">
        <x:v>3.8</x:v>
      </x:c>
      <x:c r="M217" s="32" t="n">
        <x:v>3.5</x:v>
      </x:c>
      <x:c r="N217" s="32" t="n">
        <x:v>4.4</x:v>
      </x:c>
      <x:c r="O217" s="32" t="n">
        <x:v>3.6</x:v>
      </x:c>
      <x:c r="P217" s="32" t="n">
        <x:v>4.2</x:v>
      </x:c>
      <x:c r="Q217" s="32" t="n">
        <x:v>3.3</x:v>
      </x:c>
      <x:c r="R217" s="32" t="n">
        <x:v>4.7</x:v>
      </x:c>
      <x:c r="S217" s="32" t="n">
        <x:v>3.8</x:v>
      </x:c>
      <x:c r="T217" s="32" t="n">
        <x:v>3.5</x:v>
      </x:c>
      <x:c r="U217" s="32" t="n">
        <x:v>4.5</x:v>
      </x:c>
      <x:c r="V217" s="32" t="n">
        <x:v>3.7</x:v>
      </x:c>
      <x:c r="W217" s="32" t="n">
        <x:v>3.9</x:v>
      </x:c>
      <x:c r="X217" s="32" t="n">
        <x:v>2.9</x:v>
      </x:c>
      <x:c r="Y217" s="32" t="n">
        <x:v>4.3</x:v>
      </x:c>
      <x:c r="Z217" s="32" t="n">
        <x:v>3.9</x:v>
      </x:c>
      <x:c r="AA217" s="32" t="n">
        <x:v>3.5</x:v>
      </x:c>
      <x:c r="AB217" s="32" t="n">
        <x:v>4.2</x:v>
      </x:c>
      <x:c r="AC217" s="32" t="n">
        <x:v>3.8</x:v>
      </x:c>
      <x:c r="AD217" s="32" t="n">
        <x:f>ROUND((I217*'Criteria &amp; Scoring'!$B$5+J217*'Criteria &amp; Scoring'!$B$6+K217*'Criteria &amp; Scoring'!$B$7+L217*'Criteria &amp; Scoring'!$B$8+M217*'Criteria &amp; Scoring'!$B$9+N217*'Criteria &amp; Scoring'!$B$10+O217*'Criteria &amp; Scoring'!$B$11)/SUM('Criteria &amp; Scoring'!$B$5:$B$11),2)</x:f>
        <x:v>3.8</x:v>
      </x:c>
      <x:c r="AE217" s="32" t="n">
        <x:f>ROUND((P217*'Criteria &amp; Scoring'!$B$5+Q217*'Criteria &amp; Scoring'!$B$6+R217*'Criteria &amp; Scoring'!$B$7+S217*'Criteria &amp; Scoring'!$B$8+T217*'Criteria &amp; Scoring'!$B$9+U217*'Criteria &amp; Scoring'!$B$10+V217*'Criteria &amp; Scoring'!$B$11)/SUM('Criteria &amp; Scoring'!$B$5:$B$11),2)</x:f>
        <x:v>3.97</x:v>
      </x:c>
      <x:c r="AF217" s="32" t="n">
        <x:f>ROUND((W217*'Criteria &amp; Scoring'!$B$5+X217*'Criteria &amp; Scoring'!$B$6+Y217*'Criteria &amp; Scoring'!$B$7+Z217*'Criteria &amp; Scoring'!$B$8+AA217*'Criteria &amp; Scoring'!$B$9+AB217*'Criteria &amp; Scoring'!$B$10+AC217*'Criteria &amp; Scoring'!$B$11)/SUM('Criteria &amp; Scoring'!$B$5:$B$11),2)</x:f>
        <x:v>3.74</x:v>
      </x:c>
      <x:c r="AG217" s="32" t="str">
        <x:f>IF(LARGE(AD217:AF217,1)-LARGE(AD217:AF217,2)&lt;0.15,"Context-dependent tie",SUBSTITUTE(INDEX($AD$4:$AF$4,1,MATCH(MAX(AD217:AF217),AD217:AF217,0))," Overall",""))</x:f>
        <x:v>Azure</x:v>
      </x:c>
      <x:c r="AH217" s="32" t="str">
        <x:f>IF(AG217="AWS","Start with AWS when infrastructure breadth, native integration and operational maturity are the main differentiators.",IF(AG217="Azure","Start with Azure when Microsoft identity, security, data, productivity or hybrid integration reduces delivery effort.",IF(AG217="GCP","Start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217" s="32" t="str">
        <x:v>Medium</x:v>
      </x:c>
      <x:c r="AJ217" s="32" t="str">
        <x:v>2026-07-12</x:v>
      </x:c>
    </x:row>
    <x:row r="218">
      <x:c r="A218" s="32" t="str">
        <x:v>Internal developer platform</x:v>
      </x:c>
      <x:c r="B218" s="32" t="str">
        <x:v>09 Engineering, Operations &amp; Migration</x:v>
      </x:c>
      <x:c r="C218" s="32" t="str">
        <x:v>Developer Experience &amp; Platform Engineering</x:v>
      </x:c>
      <x:c r="D218" s="32" t="str">
        <x:v>Platform</x:v>
      </x:c>
      <x:c r="E218" s="32" t="str">
        <x:v>What business outcome, scale, control, integration and operating model justify choosing internal developer platform?</x:v>
      </x:c>
      <x:c r="F218" s="32" t="str">
        <x:v>AWS Proton
AWS Service Catalog</x:v>
      </x:c>
      <x:c r="G218" s="32" t="str">
        <x:v>Azure Deployment Environments
Azure Dev Center</x:v>
      </x:c>
      <x:c r="H218" s="32" t="str">
        <x:v>Application Design Center
App Hub</x:v>
      </x:c>
      <x:c r="I218" s="32" t="n">
        <x:v>4.2</x:v>
      </x:c>
      <x:c r="J218" s="32" t="n">
        <x:v>2.9</x:v>
      </x:c>
      <x:c r="K218" s="32" t="n">
        <x:v>4.2</x:v>
      </x:c>
      <x:c r="L218" s="32" t="n">
        <x:v>3.8</x:v>
      </x:c>
      <x:c r="M218" s="32" t="n">
        <x:v>3.5</x:v>
      </x:c>
      <x:c r="N218" s="32" t="n">
        <x:v>4.4</x:v>
      </x:c>
      <x:c r="O218" s="32" t="n">
        <x:v>3.6</x:v>
      </x:c>
      <x:c r="P218" s="32" t="n">
        <x:v>3.9</x:v>
      </x:c>
      <x:c r="Q218" s="32" t="n">
        <x:v>2.9</x:v>
      </x:c>
      <x:c r="R218" s="32" t="n">
        <x:v>4.4</x:v>
      </x:c>
      <x:c r="S218" s="32" t="n">
        <x:v>3.8</x:v>
      </x:c>
      <x:c r="T218" s="32" t="n">
        <x:v>3.5</x:v>
      </x:c>
      <x:c r="U218" s="32" t="n">
        <x:v>4.3</x:v>
      </x:c>
      <x:c r="V218" s="32" t="n">
        <x:v>3.7</x:v>
      </x:c>
      <x:c r="W218" s="32" t="n">
        <x:v>4.2</x:v>
      </x:c>
      <x:c r="X218" s="32" t="n">
        <x:v>3.3</x:v>
      </x:c>
      <x:c r="Y218" s="32" t="n">
        <x:v>4.1</x:v>
      </x:c>
      <x:c r="Z218" s="32" t="n">
        <x:v>3.9</x:v>
      </x:c>
      <x:c r="AA218" s="32" t="n">
        <x:v>3.5</x:v>
      </x:c>
      <x:c r="AB218" s="32" t="n">
        <x:v>4.2</x:v>
      </x:c>
      <x:c r="AC218" s="32" t="n">
        <x:v>3.8</x:v>
      </x:c>
      <x:c r="AD218" s="32" t="n">
        <x:f>ROUND((I218*'Criteria &amp; Scoring'!$B$5+J218*'Criteria &amp; Scoring'!$B$6+K218*'Criteria &amp; Scoring'!$B$7+L218*'Criteria &amp; Scoring'!$B$8+M218*'Criteria &amp; Scoring'!$B$9+N218*'Criteria &amp; Scoring'!$B$10+O218*'Criteria &amp; Scoring'!$B$11)/SUM('Criteria &amp; Scoring'!$B$5:$B$11),2)</x:f>
        <x:v>3.8</x:v>
      </x:c>
      <x:c r="AE218" s="32" t="n">
        <x:f>ROUND((P218*'Criteria &amp; Scoring'!$B$5+Q218*'Criteria &amp; Scoring'!$B$6+R218*'Criteria &amp; Scoring'!$B$7+S218*'Criteria &amp; Scoring'!$B$8+T218*'Criteria &amp; Scoring'!$B$9+U218*'Criteria &amp; Scoring'!$B$10+V218*'Criteria &amp; Scoring'!$B$11)/SUM('Criteria &amp; Scoring'!$B$5:$B$11),2)</x:f>
        <x:v>3.75</x:v>
      </x:c>
      <x:c r="AF218" s="32" t="n">
        <x:f>ROUND((W218*'Criteria &amp; Scoring'!$B$5+X218*'Criteria &amp; Scoring'!$B$6+Y218*'Criteria &amp; Scoring'!$B$7+Z218*'Criteria &amp; Scoring'!$B$8+AA218*'Criteria &amp; Scoring'!$B$9+AB218*'Criteria &amp; Scoring'!$B$10+AC218*'Criteria &amp; Scoring'!$B$11)/SUM('Criteria &amp; Scoring'!$B$5:$B$11),2)</x:f>
        <x:v>3.87</x:v>
      </x:c>
      <x:c r="AG218" s="32" t="str">
        <x:f>IF(LARGE(AD218:AF218,1)-LARGE(AD218:AF218,2)&lt;0.15,"Context-dependent tie",SUBSTITUTE(INDEX($AD$4:$AF$4,1,MATCH(MAX(AD218:AF218),AD218:AF218,0))," Overall",""))</x:f>
        <x:v>Context-dependent tie</x:v>
      </x:c>
      <x:c r="AH218" s="32" t="str">
        <x:f>IF(AG218="AWS","Start with AWS when infrastructure breadth, native integration and operational maturity are the main differentiators.",IF(AG218="Azure","Start with Azure when Microsoft identity, security, data, productivity or hybrid integration reduces delivery effort.",IF(AG218="GCP","Start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18" s="32" t="str">
        <x:v>Medium</x:v>
      </x:c>
      <x:c r="AJ218" s="32" t="str">
        <x:v>2026-07-12</x:v>
      </x:c>
    </x:row>
    <x:row r="219">
      <x:c r="A219" s="32" t="str">
        <x:v>Browser-based cloud development environment</x:v>
      </x:c>
      <x:c r="B219" s="32" t="str">
        <x:v>09 Engineering, Operations &amp; Migration</x:v>
      </x:c>
      <x:c r="C219" s="32" t="str">
        <x:v>Developer Experience &amp; Platform Engineering</x:v>
      </x:c>
      <x:c r="D219" s="32" t="str">
        <x:v>Workload</x:v>
      </x:c>
      <x:c r="E219" s="32" t="str">
        <x:v>What business outcome, scale, control, integration and operating model justify choosing browser-based cloud development environment?</x:v>
      </x:c>
      <x:c r="F219" s="32" t="str">
        <x:v>AWS Cloud9
AWS CloudShell</x:v>
      </x:c>
      <x:c r="G219" s="32" t="str">
        <x:v>Microsoft Dev Box
Azure Cloud Shell</x:v>
      </x:c>
      <x:c r="H219" s="32" t="str">
        <x:v>Cloud Workstations
Cloud Shell</x:v>
      </x:c>
      <x:c r="I219" s="32" t="n">
        <x:v>4.2</x:v>
      </x:c>
      <x:c r="J219" s="32" t="n">
        <x:v>2.9</x:v>
      </x:c>
      <x:c r="K219" s="32" t="n">
        <x:v>4.2</x:v>
      </x:c>
      <x:c r="L219" s="32" t="n">
        <x:v>3.8</x:v>
      </x:c>
      <x:c r="M219" s="32" t="n">
        <x:v>3.5</x:v>
      </x:c>
      <x:c r="N219" s="32" t="n">
        <x:v>4.4</x:v>
      </x:c>
      <x:c r="O219" s="32" t="n">
        <x:v>3.6</x:v>
      </x:c>
      <x:c r="P219" s="32" t="n">
        <x:v>3.9</x:v>
      </x:c>
      <x:c r="Q219" s="32" t="n">
        <x:v>2.9</x:v>
      </x:c>
      <x:c r="R219" s="32" t="n">
        <x:v>4.4</x:v>
      </x:c>
      <x:c r="S219" s="32" t="n">
        <x:v>3.8</x:v>
      </x:c>
      <x:c r="T219" s="32" t="n">
        <x:v>3.5</x:v>
      </x:c>
      <x:c r="U219" s="32" t="n">
        <x:v>4.3</x:v>
      </x:c>
      <x:c r="V219" s="32" t="n">
        <x:v>3.7</x:v>
      </x:c>
      <x:c r="W219" s="32" t="n">
        <x:v>4.2</x:v>
      </x:c>
      <x:c r="X219" s="32" t="n">
        <x:v>3.3</x:v>
      </x:c>
      <x:c r="Y219" s="32" t="n">
        <x:v>4.1</x:v>
      </x:c>
      <x:c r="Z219" s="32" t="n">
        <x:v>3.9</x:v>
      </x:c>
      <x:c r="AA219" s="32" t="n">
        <x:v>3.5</x:v>
      </x:c>
      <x:c r="AB219" s="32" t="n">
        <x:v>4.2</x:v>
      </x:c>
      <x:c r="AC219" s="32" t="n">
        <x:v>3.8</x:v>
      </x:c>
      <x:c r="AD219" s="32" t="n">
        <x:f>ROUND((I219*'Criteria &amp; Scoring'!$B$5+J219*'Criteria &amp; Scoring'!$B$6+K219*'Criteria &amp; Scoring'!$B$7+L219*'Criteria &amp; Scoring'!$B$8+M219*'Criteria &amp; Scoring'!$B$9+N219*'Criteria &amp; Scoring'!$B$10+O219*'Criteria &amp; Scoring'!$B$11)/SUM('Criteria &amp; Scoring'!$B$5:$B$11),2)</x:f>
        <x:v>3.8</x:v>
      </x:c>
      <x:c r="AE219" s="32" t="n">
        <x:f>ROUND((P219*'Criteria &amp; Scoring'!$B$5+Q219*'Criteria &amp; Scoring'!$B$6+R219*'Criteria &amp; Scoring'!$B$7+S219*'Criteria &amp; Scoring'!$B$8+T219*'Criteria &amp; Scoring'!$B$9+U219*'Criteria &amp; Scoring'!$B$10+V219*'Criteria &amp; Scoring'!$B$11)/SUM('Criteria &amp; Scoring'!$B$5:$B$11),2)</x:f>
        <x:v>3.75</x:v>
      </x:c>
      <x:c r="AF219" s="32" t="n">
        <x:f>ROUND((W219*'Criteria &amp; Scoring'!$B$5+X219*'Criteria &amp; Scoring'!$B$6+Y219*'Criteria &amp; Scoring'!$B$7+Z219*'Criteria &amp; Scoring'!$B$8+AA219*'Criteria &amp; Scoring'!$B$9+AB219*'Criteria &amp; Scoring'!$B$10+AC219*'Criteria &amp; Scoring'!$B$11)/SUM('Criteria &amp; Scoring'!$B$5:$B$11),2)</x:f>
        <x:v>3.87</x:v>
      </x:c>
      <x:c r="AG219" s="32" t="str">
        <x:f>IF(LARGE(AD219:AF219,1)-LARGE(AD219:AF219,2)&lt;0.15,"Context-dependent tie",SUBSTITUTE(INDEX($AD$4:$AF$4,1,MATCH(MAX(AD219:AF219),AD219:AF219,0))," Overall",""))</x:f>
        <x:v>Context-dependent tie</x:v>
      </x:c>
      <x:c r="AH219" s="32" t="str">
        <x:f>IF(AG219="AWS","Start with AWS when infrastructure breadth, native integration and operational maturity are the main differentiators.",IF(AG219="Azure","Start with Azure when Microsoft identity, security, data, productivity or hybrid integration reduces delivery effort.",IF(AG219="GCP","Start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19" s="32" t="str">
        <x:v>Medium</x:v>
      </x:c>
      <x:c r="AJ219" s="32" t="str">
        <x:v>2026-07-12</x:v>
      </x:c>
    </x:row>
    <x:row r="220">
      <x:c r="A220" s="32" t="str">
        <x:v>Cloud command-line and SDK tools</x:v>
      </x:c>
      <x:c r="B220" s="32" t="str">
        <x:v>09 Engineering, Operations &amp; Migration</x:v>
      </x:c>
      <x:c r="C220" s="32" t="str">
        <x:v>Developer Experience &amp; Platform Engineering</x:v>
      </x:c>
      <x:c r="D220" s="32" t="str">
        <x:v>Workload</x:v>
      </x:c>
      <x:c r="E220" s="32" t="str">
        <x:v>What business outcome, scale, control, integration and operating model justify choosing cloud command-line and sdk tools?</x:v>
      </x:c>
      <x:c r="F220" s="32" t="str">
        <x:v>AWS CLI
AWS SDKs</x:v>
      </x:c>
      <x:c r="G220" s="32" t="str">
        <x:v>Azure CLI
Azure PowerShell
Azure SDKs</x:v>
      </x:c>
      <x:c r="H220" s="32" t="str">
        <x:v>gcloud CLI
Google Cloud SDK</x:v>
      </x:c>
      <x:c r="I220" s="32" t="n">
        <x:v>4.4</x:v>
      </x:c>
      <x:c r="J220" s="32" t="n">
        <x:v>2.9</x:v>
      </x:c>
      <x:c r="K220" s="32" t="n">
        <x:v>4.3</x:v>
      </x:c>
      <x:c r="L220" s="32" t="n">
        <x:v>3.8</x:v>
      </x:c>
      <x:c r="M220" s="32" t="n">
        <x:v>3.5</x:v>
      </x:c>
      <x:c r="N220" s="32" t="n">
        <x:v>4.5</x:v>
      </x:c>
      <x:c r="O220" s="32" t="n">
        <x:v>3.6</x:v>
      </x:c>
      <x:c r="P220" s="32" t="n">
        <x:v>4</x:v>
      </x:c>
      <x:c r="Q220" s="32" t="n">
        <x:v>2.9</x:v>
      </x:c>
      <x:c r="R220" s="32" t="n">
        <x:v>4.5</x:v>
      </x:c>
      <x:c r="S220" s="32" t="n">
        <x:v>3.8</x:v>
      </x:c>
      <x:c r="T220" s="32" t="n">
        <x:v>3.5</x:v>
      </x:c>
      <x:c r="U220" s="32" t="n">
        <x:v>4.4</x:v>
      </x:c>
      <x:c r="V220" s="32" t="n">
        <x:v>3.7</x:v>
      </x:c>
      <x:c r="W220" s="32" t="n">
        <x:v>4.3</x:v>
      </x:c>
      <x:c r="X220" s="32" t="n">
        <x:v>3.3</x:v>
      </x:c>
      <x:c r="Y220" s="32" t="n">
        <x:v>4.2</x:v>
      </x:c>
      <x:c r="Z220" s="32" t="n">
        <x:v>3.9</x:v>
      </x:c>
      <x:c r="AA220" s="32" t="n">
        <x:v>3.5</x:v>
      </x:c>
      <x:c r="AB220" s="32" t="n">
        <x:v>4.3</x:v>
      </x:c>
      <x:c r="AC220" s="32" t="n">
        <x:v>3.8</x:v>
      </x:c>
      <x:c r="AD220" s="32" t="n">
        <x:f>ROUND((I220*'Criteria &amp; Scoring'!$B$5+J220*'Criteria &amp; Scoring'!$B$6+K220*'Criteria &amp; Scoring'!$B$7+L220*'Criteria &amp; Scoring'!$B$8+M220*'Criteria &amp; Scoring'!$B$9+N220*'Criteria &amp; Scoring'!$B$10+O220*'Criteria &amp; Scoring'!$B$11)/SUM('Criteria &amp; Scoring'!$B$5:$B$11),2)</x:f>
        <x:v>3.88</x:v>
      </x:c>
      <x:c r="AE220" s="32" t="n">
        <x:f>ROUND((P220*'Criteria &amp; Scoring'!$B$5+Q220*'Criteria &amp; Scoring'!$B$6+R220*'Criteria &amp; Scoring'!$B$7+S220*'Criteria &amp; Scoring'!$B$8+T220*'Criteria &amp; Scoring'!$B$9+U220*'Criteria &amp; Scoring'!$B$10+V220*'Criteria &amp; Scoring'!$B$11)/SUM('Criteria &amp; Scoring'!$B$5:$B$11),2)</x:f>
        <x:v>3.8</x:v>
      </x:c>
      <x:c r="AF220" s="32" t="n">
        <x:f>ROUND((W220*'Criteria &amp; Scoring'!$B$5+X220*'Criteria &amp; Scoring'!$B$6+Y220*'Criteria &amp; Scoring'!$B$7+Z220*'Criteria &amp; Scoring'!$B$8+AA220*'Criteria &amp; Scoring'!$B$9+AB220*'Criteria &amp; Scoring'!$B$10+AC220*'Criteria &amp; Scoring'!$B$11)/SUM('Criteria &amp; Scoring'!$B$5:$B$11),2)</x:f>
        <x:v>3.92</x:v>
      </x:c>
      <x:c r="AG220" s="32" t="str">
        <x:f>IF(LARGE(AD220:AF220,1)-LARGE(AD220:AF220,2)&lt;0.15,"Context-dependent tie",SUBSTITUTE(INDEX($AD$4:$AF$4,1,MATCH(MAX(AD220:AF220),AD220:AF220,0))," Overall",""))</x:f>
        <x:v>Context-dependent tie</x:v>
      </x:c>
      <x:c r="AH220" s="32" t="str">
        <x:f>IF(AG220="AWS","Start with AWS when infrastructure breadth, native integration and operational maturity are the main differentiators.",IF(AG220="Azure","Start with Azure when Microsoft identity, security, data, productivity or hybrid integration reduces delivery effort.",IF(AG220="GCP","Start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20" s="32" t="str">
        <x:v>High</x:v>
      </x:c>
      <x:c r="AJ220" s="32" t="str">
        <x:v>2026-07-12</x:v>
      </x:c>
    </x:row>
    <x:row r="221">
      <x:c r="A221" s="32" t="str">
        <x:v>Central application configuration</x:v>
      </x:c>
      <x:c r="B221" s="32" t="str">
        <x:v>09 Engineering, Operations &amp; Migration</x:v>
      </x:c>
      <x:c r="C221" s="32" t="str">
        <x:v>Developer Experience &amp; Platform Engineering</x:v>
      </x:c>
      <x:c r="D221" s="32" t="str">
        <x:v>Workload</x:v>
      </x:c>
      <x:c r="E221" s="32" t="str">
        <x:v>What business outcome, scale, control, integration and operating model justify choosing central application configuration?</x:v>
      </x:c>
      <x:c r="F221" s="32" t="str">
        <x:v>AWS AppConfig
Systems Manager Parameter Store</x:v>
      </x:c>
      <x:c r="G221" s="32" t="str">
        <x:v>Azure App Configuration</x:v>
      </x:c>
      <x:c r="H221" s="32" t="str">
        <x:v>Runtime Configurator legacy / Secret Manager / Firestore patterns</x:v>
      </x:c>
      <x:c r="I221" s="32" t="n">
        <x:v>3.8</x:v>
      </x:c>
      <x:c r="J221" s="32" t="n">
        <x:v>2.9</x:v>
      </x:c>
      <x:c r="K221" s="32" t="n">
        <x:v>4</x:v>
      </x:c>
      <x:c r="L221" s="32" t="n">
        <x:v>3.8</x:v>
      </x:c>
      <x:c r="M221" s="32" t="n">
        <x:v>3.5</x:v>
      </x:c>
      <x:c r="N221" s="32" t="n">
        <x:v>4.2</x:v>
      </x:c>
      <x:c r="O221" s="32" t="n">
        <x:v>3.6</x:v>
      </x:c>
      <x:c r="P221" s="32" t="n">
        <x:v>3.5</x:v>
      </x:c>
      <x:c r="Q221" s="32" t="n">
        <x:v>3</x:v>
      </x:c>
      <x:c r="R221" s="32" t="n">
        <x:v>4.2</x:v>
      </x:c>
      <x:c r="S221" s="32" t="n">
        <x:v>3.9</x:v>
      </x:c>
      <x:c r="T221" s="32" t="n">
        <x:v>3.5</x:v>
      </x:c>
      <x:c r="U221" s="32" t="n">
        <x:v>4.2</x:v>
      </x:c>
      <x:c r="V221" s="32" t="n">
        <x:v>3.8</x:v>
      </x:c>
      <x:c r="W221" s="32" t="n">
        <x:v>3.1</x:v>
      </x:c>
      <x:c r="X221" s="32" t="n">
        <x:v>3</x:v>
      </x:c>
      <x:c r="Y221" s="32" t="n">
        <x:v>3.5</x:v>
      </x:c>
      <x:c r="Z221" s="32" t="n">
        <x:v>3.6</x:v>
      </x:c>
      <x:c r="AA221" s="32" t="n">
        <x:v>3.3</x:v>
      </x:c>
      <x:c r="AB221" s="32" t="n">
        <x:v>3.6</x:v>
      </x:c>
      <x:c r="AC221" s="32" t="n">
        <x:v>3.6</x:v>
      </x:c>
      <x:c r="AD221" s="32" t="n">
        <x:f>ROUND((I221*'Criteria &amp; Scoring'!$B$5+J221*'Criteria &amp; Scoring'!$B$6+K221*'Criteria &amp; Scoring'!$B$7+L221*'Criteria &amp; Scoring'!$B$8+M221*'Criteria &amp; Scoring'!$B$9+N221*'Criteria &amp; Scoring'!$B$10+O221*'Criteria &amp; Scoring'!$B$11)/SUM('Criteria &amp; Scoring'!$B$5:$B$11),2)</x:f>
        <x:v>3.65</x:v>
      </x:c>
      <x:c r="AE221" s="32" t="n">
        <x:f>ROUND((P221*'Criteria &amp; Scoring'!$B$5+Q221*'Criteria &amp; Scoring'!$B$6+R221*'Criteria &amp; Scoring'!$B$7+S221*'Criteria &amp; Scoring'!$B$8+T221*'Criteria &amp; Scoring'!$B$9+U221*'Criteria &amp; Scoring'!$B$10+V221*'Criteria &amp; Scoring'!$B$11)/SUM('Criteria &amp; Scoring'!$B$5:$B$11),2)</x:f>
        <x:v>3.65</x:v>
      </x:c>
      <x:c r="AF221" s="32" t="n">
        <x:f>ROUND((W221*'Criteria &amp; Scoring'!$B$5+X221*'Criteria &amp; Scoring'!$B$6+Y221*'Criteria &amp; Scoring'!$B$7+Z221*'Criteria &amp; Scoring'!$B$8+AA221*'Criteria &amp; Scoring'!$B$9+AB221*'Criteria &amp; Scoring'!$B$10+AC221*'Criteria &amp; Scoring'!$B$11)/SUM('Criteria &amp; Scoring'!$B$5:$B$11),2)</x:f>
        <x:v>3.31</x:v>
      </x:c>
      <x:c r="AG221" s="32" t="str">
        <x:f>IF(LARGE(AD221:AF221,1)-LARGE(AD221:AF221,2)&lt;0.15,"Context-dependent tie",SUBSTITUTE(INDEX($AD$4:$AF$4,1,MATCH(MAX(AD221:AF221),AD221:AF221,0))," Overall",""))</x:f>
        <x:v>Context-dependent tie</x:v>
      </x:c>
      <x:c r="AH221" s="32" t="str">
        <x:f>IF(AG221="AWS","Start with AWS when infrastructure breadth, native integration and operational maturity are the main differentiators.",IF(AG221="Azure","Start with Azure when Microsoft identity, security, data, productivity or hybrid integration reduces delivery effort.",IF(AG221="GCP","Start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21" s="32" t="str">
        <x:v>Low</x:v>
      </x:c>
      <x:c r="AJ221" s="32" t="str">
        <x:v>2026-07-12</x:v>
      </x:c>
    </x:row>
    <x:row r="222">
      <x:c r="A222" s="32" t="str">
        <x:v>Cloud application testing</x:v>
      </x:c>
      <x:c r="B222" s="32" t="str">
        <x:v>09 Engineering, Operations &amp; Migration</x:v>
      </x:c>
      <x:c r="C222" s="32" t="str">
        <x:v>Testing &amp; Resilience Engineering</x:v>
      </x:c>
      <x:c r="D222" s="32" t="str">
        <x:v>Workload</x:v>
      </x:c>
      <x:c r="E222" s="32" t="str">
        <x:v>What business outcome, scale, control, integration and operating model justify choosing cloud application testing?</x:v>
      </x:c>
      <x:c r="F222" s="32" t="str">
        <x:v>AWS Device Farm</x:v>
      </x:c>
      <x:c r="G222" s="32" t="str">
        <x:v>Azure App Testing
Microsoft Playwright Testing</x:v>
      </x:c>
      <x:c r="H222" s="32" t="str">
        <x:v>Firebase Test Lab</x:v>
      </x:c>
      <x:c r="I222" s="32" t="n">
        <x:v>4.3</x:v>
      </x:c>
      <x:c r="J222" s="32" t="n">
        <x:v>3</x:v>
      </x:c>
      <x:c r="K222" s="32" t="n">
        <x:v>4.3</x:v>
      </x:c>
      <x:c r="L222" s="32" t="n">
        <x:v>3.9</x:v>
      </x:c>
      <x:c r="M222" s="32" t="n">
        <x:v>3.5</x:v>
      </x:c>
      <x:c r="N222" s="32" t="n">
        <x:v>4.5</x:v>
      </x:c>
      <x:c r="O222" s="32" t="n">
        <x:v>3.7</x:v>
      </x:c>
      <x:c r="P222" s="32" t="n">
        <x:v>3.9</x:v>
      </x:c>
      <x:c r="Q222" s="32" t="n">
        <x:v>2.9</x:v>
      </x:c>
      <x:c r="R222" s="32" t="n">
        <x:v>4.4</x:v>
      </x:c>
      <x:c r="S222" s="32" t="n">
        <x:v>3.8</x:v>
      </x:c>
      <x:c r="T222" s="32" t="n">
        <x:v>3.5</x:v>
      </x:c>
      <x:c r="U222" s="32" t="n">
        <x:v>4.3</x:v>
      </x:c>
      <x:c r="V222" s="32" t="n">
        <x:v>3.7</x:v>
      </x:c>
      <x:c r="W222" s="32" t="n">
        <x:v>4</x:v>
      </x:c>
      <x:c r="X222" s="32" t="n">
        <x:v>3</x:v>
      </x:c>
      <x:c r="Y222" s="32" t="n">
        <x:v>4.2</x:v>
      </x:c>
      <x:c r="Z222" s="32" t="n">
        <x:v>4</x:v>
      </x:c>
      <x:c r="AA222" s="32" t="n">
        <x:v>3.5</x:v>
      </x:c>
      <x:c r="AB222" s="32" t="n">
        <x:v>4.3</x:v>
      </x:c>
      <x:c r="AC222" s="32" t="n">
        <x:v>3.9</x:v>
      </x:c>
      <x:c r="AD222" s="32" t="n">
        <x:f>ROUND((I222*'Criteria &amp; Scoring'!$B$5+J222*'Criteria &amp; Scoring'!$B$6+K222*'Criteria &amp; Scoring'!$B$7+L222*'Criteria &amp; Scoring'!$B$8+M222*'Criteria &amp; Scoring'!$B$9+N222*'Criteria &amp; Scoring'!$B$10+O222*'Criteria &amp; Scoring'!$B$11)/SUM('Criteria &amp; Scoring'!$B$5:$B$11),2)</x:f>
        <x:v>3.89</x:v>
      </x:c>
      <x:c r="AE222" s="32" t="n">
        <x:f>ROUND((P222*'Criteria &amp; Scoring'!$B$5+Q222*'Criteria &amp; Scoring'!$B$6+R222*'Criteria &amp; Scoring'!$B$7+S222*'Criteria &amp; Scoring'!$B$8+T222*'Criteria &amp; Scoring'!$B$9+U222*'Criteria &amp; Scoring'!$B$10+V222*'Criteria &amp; Scoring'!$B$11)/SUM('Criteria &amp; Scoring'!$B$5:$B$11),2)</x:f>
        <x:v>3.75</x:v>
      </x:c>
      <x:c r="AF222" s="32" t="n">
        <x:f>ROUND((W222*'Criteria &amp; Scoring'!$B$5+X222*'Criteria &amp; Scoring'!$B$6+Y222*'Criteria &amp; Scoring'!$B$7+Z222*'Criteria &amp; Scoring'!$B$8+AA222*'Criteria &amp; Scoring'!$B$9+AB222*'Criteria &amp; Scoring'!$B$10+AC222*'Criteria &amp; Scoring'!$B$11)/SUM('Criteria &amp; Scoring'!$B$5:$B$11),2)</x:f>
        <x:v>3.81</x:v>
      </x:c>
      <x:c r="AG222" s="32" t="str">
        <x:f>IF(LARGE(AD222:AF222,1)-LARGE(AD222:AF222,2)&lt;0.15,"Context-dependent tie",SUBSTITUTE(INDEX($AD$4:$AF$4,1,MATCH(MAX(AD222:AF222),AD222:AF222,0))," Overall",""))</x:f>
        <x:v>Context-dependent tie</x:v>
      </x:c>
      <x:c r="AH222" s="32" t="str">
        <x:f>IF(AG222="AWS","Start with AWS when infrastructure breadth, native integration and operational maturity are the main differentiators.",IF(AG222="Azure","Start with Azure when Microsoft identity, security, data, productivity or hybrid integration reduces delivery effort.",IF(AG222="GCP","Start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22" s="32" t="str">
        <x:v>Medium</x:v>
      </x:c>
      <x:c r="AJ222" s="32" t="str">
        <x:v>2026-07-12</x:v>
      </x:c>
    </x:row>
    <x:row r="223">
      <x:c r="A223" s="32" t="str">
        <x:v>Fault-injection testing</x:v>
      </x:c>
      <x:c r="B223" s="32" t="str">
        <x:v>09 Engineering, Operations &amp; Migration</x:v>
      </x:c>
      <x:c r="C223" s="32" t="str">
        <x:v>Testing &amp; Resilience Engineering</x:v>
      </x:c>
      <x:c r="D223" s="32" t="str">
        <x:v>Workload</x:v>
      </x:c>
      <x:c r="E223" s="32" t="str">
        <x:v>What business outcome, scale, control, integration and operating model justify choosing fault-injection testing?</x:v>
      </x:c>
      <x:c r="F223" s="32" t="str">
        <x:v>AWS Fault Injection Service</x:v>
      </x:c>
      <x:c r="G223" s="32" t="str">
        <x:v>Azure Chaos Studio</x:v>
      </x:c>
      <x:c r="H223" s="32" t="str">
        <x:v>Fault Injection / Chaos Mesh on GKE</x:v>
      </x:c>
      <x:c r="I223" s="32" t="n">
        <x:v>3.9</x:v>
      </x:c>
      <x:c r="J223" s="32" t="n">
        <x:v>3</x:v>
      </x:c>
      <x:c r="K223" s="32" t="n">
        <x:v>4.1</x:v>
      </x:c>
      <x:c r="L223" s="32" t="n">
        <x:v>3.9</x:v>
      </x:c>
      <x:c r="M223" s="32" t="n">
        <x:v>3.5</x:v>
      </x:c>
      <x:c r="N223" s="32" t="n">
        <x:v>4.3</x:v>
      </x:c>
      <x:c r="O223" s="32" t="n">
        <x:v>3.7</x:v>
      </x:c>
      <x:c r="P223" s="32" t="n">
        <x:v>3.5</x:v>
      </x:c>
      <x:c r="Q223" s="32" t="n">
        <x:v>3</x:v>
      </x:c>
      <x:c r="R223" s="32" t="n">
        <x:v>4.2</x:v>
      </x:c>
      <x:c r="S223" s="32" t="n">
        <x:v>3.9</x:v>
      </x:c>
      <x:c r="T223" s="32" t="n">
        <x:v>3.5</x:v>
      </x:c>
      <x:c r="U223" s="32" t="n">
        <x:v>4.2</x:v>
      </x:c>
      <x:c r="V223" s="32" t="n">
        <x:v>3.8</x:v>
      </x:c>
      <x:c r="W223" s="32" t="n">
        <x:v>3.4</x:v>
      </x:c>
      <x:c r="X223" s="32" t="n">
        <x:v>2.9</x:v>
      </x:c>
      <x:c r="Y223" s="32" t="n">
        <x:v>3.8</x:v>
      </x:c>
      <x:c r="Z223" s="32" t="n">
        <x:v>3.9</x:v>
      </x:c>
      <x:c r="AA223" s="32" t="n">
        <x:v>3.5</x:v>
      </x:c>
      <x:c r="AB223" s="32" t="n">
        <x:v>4</x:v>
      </x:c>
      <x:c r="AC223" s="32" t="n">
        <x:v>3.8</x:v>
      </x:c>
      <x:c r="AD223" s="32" t="n">
        <x:f>ROUND((I223*'Criteria &amp; Scoring'!$B$5+J223*'Criteria &amp; Scoring'!$B$6+K223*'Criteria &amp; Scoring'!$B$7+L223*'Criteria &amp; Scoring'!$B$8+M223*'Criteria &amp; Scoring'!$B$9+N223*'Criteria &amp; Scoring'!$B$10+O223*'Criteria &amp; Scoring'!$B$11)/SUM('Criteria &amp; Scoring'!$B$5:$B$11),2)</x:f>
        <x:v>3.74</x:v>
      </x:c>
      <x:c r="AE223" s="32" t="n">
        <x:f>ROUND((P223*'Criteria &amp; Scoring'!$B$5+Q223*'Criteria &amp; Scoring'!$B$6+R223*'Criteria &amp; Scoring'!$B$7+S223*'Criteria &amp; Scoring'!$B$8+T223*'Criteria &amp; Scoring'!$B$9+U223*'Criteria &amp; Scoring'!$B$10+V223*'Criteria &amp; Scoring'!$B$11)/SUM('Criteria &amp; Scoring'!$B$5:$B$11),2)</x:f>
        <x:v>3.65</x:v>
      </x:c>
      <x:c r="AF223" s="32" t="n">
        <x:f>ROUND((W223*'Criteria &amp; Scoring'!$B$5+X223*'Criteria &amp; Scoring'!$B$6+Y223*'Criteria &amp; Scoring'!$B$7+Z223*'Criteria &amp; Scoring'!$B$8+AA223*'Criteria &amp; Scoring'!$B$9+AB223*'Criteria &amp; Scoring'!$B$10+AC223*'Criteria &amp; Scoring'!$B$11)/SUM('Criteria &amp; Scoring'!$B$5:$B$11),2)</x:f>
        <x:v>3.53</x:v>
      </x:c>
      <x:c r="AG223" s="32" t="str">
        <x:f>IF(LARGE(AD223:AF223,1)-LARGE(AD223:AF223,2)&lt;0.15,"Context-dependent tie",SUBSTITUTE(INDEX($AD$4:$AF$4,1,MATCH(MAX(AD223:AF223),AD223:AF223,0))," Overall",""))</x:f>
        <x:v>Context-dependent tie</x:v>
      </x:c>
      <x:c r="AH223" s="32" t="str">
        <x:f>IF(AG223="AWS","Start with AWS when infrastructure breadth, native integration and operational maturity are the main differentiators.",IF(AG223="Azure","Start with Azure when Microsoft identity, security, data, productivity or hybrid integration reduces delivery effort.",IF(AG223="GCP","Start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23" s="32" t="str">
        <x:v>Low</x:v>
      </x:c>
      <x:c r="AJ223" s="32" t="str">
        <x:v>2026-07-12</x:v>
      </x:c>
    </x:row>
    <x:row r="224">
      <x:c r="A224" s="32" t="str">
        <x:v>Artifact and code signing</x:v>
      </x:c>
      <x:c r="B224" s="32" t="str">
        <x:v>09 Engineering, Operations &amp; Migration</x:v>
      </x:c>
      <x:c r="C224" s="32" t="str">
        <x:v>Software Delivery &amp; Supply Chain</x:v>
      </x:c>
      <x:c r="D224" s="32" t="str">
        <x:v>Workload</x:v>
      </x:c>
      <x:c r="E224" s="32" t="str">
        <x:v>How will source, builds, artifacts, approvals, security checks and deployments be governed end to end?</x:v>
      </x:c>
      <x:c r="F224" s="32" t="str">
        <x:v>AWS Signer</x:v>
      </x:c>
      <x:c r="G224" s="32" t="str">
        <x:v>Azure Artifact Signing</x:v>
      </x:c>
      <x:c r="H224" s="32" t="str">
        <x:v>Binary Authorization
Cloud KMS signing</x:v>
      </x:c>
      <x:c r="I224" s="32" t="n">
        <x:v>4.3</x:v>
      </x:c>
      <x:c r="J224" s="32" t="n">
        <x:v>3</x:v>
      </x:c>
      <x:c r="K224" s="32" t="n">
        <x:v>4.3</x:v>
      </x:c>
      <x:c r="L224" s="32" t="n">
        <x:v>3.9</x:v>
      </x:c>
      <x:c r="M224" s="32" t="n">
        <x:v>3.5</x:v>
      </x:c>
      <x:c r="N224" s="32" t="n">
        <x:v>4.5</x:v>
      </x:c>
      <x:c r="O224" s="32" t="n">
        <x:v>3.7</x:v>
      </x:c>
      <x:c r="P224" s="32" t="n">
        <x:v>4.3</x:v>
      </x:c>
      <x:c r="Q224" s="32" t="n">
        <x:v>3.4</x:v>
      </x:c>
      <x:c r="R224" s="32" t="n">
        <x:v>4.5</x:v>
      </x:c>
      <x:c r="S224" s="32" t="n">
        <x:v>3.9</x:v>
      </x:c>
      <x:c r="T224" s="32" t="n">
        <x:v>3.5</x:v>
      </x:c>
      <x:c r="U224" s="32" t="n">
        <x:v>4.4</x:v>
      </x:c>
      <x:c r="V224" s="32" t="n">
        <x:v>3.8</x:v>
      </x:c>
      <x:c r="W224" s="32" t="n">
        <x:v>3.9</x:v>
      </x:c>
      <x:c r="X224" s="32" t="n">
        <x:v>2.9</x:v>
      </x:c>
      <x:c r="Y224" s="32" t="n">
        <x:v>4.3</x:v>
      </x:c>
      <x:c r="Z224" s="32" t="n">
        <x:v>3.9</x:v>
      </x:c>
      <x:c r="AA224" s="32" t="n">
        <x:v>3.5</x:v>
      </x:c>
      <x:c r="AB224" s="32" t="n">
        <x:v>4.2</x:v>
      </x:c>
      <x:c r="AC224" s="32" t="n">
        <x:v>3.8</x:v>
      </x:c>
      <x:c r="AD224" s="32" t="n">
        <x:f>ROUND((I224*'Criteria &amp; Scoring'!$B$5+J224*'Criteria &amp; Scoring'!$B$6+K224*'Criteria &amp; Scoring'!$B$7+L224*'Criteria &amp; Scoring'!$B$8+M224*'Criteria &amp; Scoring'!$B$9+N224*'Criteria &amp; Scoring'!$B$10+O224*'Criteria &amp; Scoring'!$B$11)/SUM('Criteria &amp; Scoring'!$B$5:$B$11),2)</x:f>
        <x:v>3.89</x:v>
      </x:c>
      <x:c r="AE224" s="32" t="n">
        <x:f>ROUND((P224*'Criteria &amp; Scoring'!$B$5+Q224*'Criteria &amp; Scoring'!$B$6+R224*'Criteria &amp; Scoring'!$B$7+S224*'Criteria &amp; Scoring'!$B$8+T224*'Criteria &amp; Scoring'!$B$9+U224*'Criteria &amp; Scoring'!$B$10+V224*'Criteria &amp; Scoring'!$B$11)/SUM('Criteria &amp; Scoring'!$B$5:$B$11),2)</x:f>
        <x:v>3.99</x:v>
      </x:c>
      <x:c r="AF224" s="32" t="n">
        <x:f>ROUND((W224*'Criteria &amp; Scoring'!$B$5+X224*'Criteria &amp; Scoring'!$B$6+Y224*'Criteria &amp; Scoring'!$B$7+Z224*'Criteria &amp; Scoring'!$B$8+AA224*'Criteria &amp; Scoring'!$B$9+AB224*'Criteria &amp; Scoring'!$B$10+AC224*'Criteria &amp; Scoring'!$B$11)/SUM('Criteria &amp; Scoring'!$B$5:$B$11),2)</x:f>
        <x:v>3.74</x:v>
      </x:c>
      <x:c r="AG224" s="32" t="str">
        <x:f>IF(LARGE(AD224:AF224,1)-LARGE(AD224:AF224,2)&lt;0.15,"Context-dependent tie",SUBSTITUTE(INDEX($AD$4:$AF$4,1,MATCH(MAX(AD224:AF224),AD224:AF224,0))," Overall",""))</x:f>
        <x:v>Context-dependent tie</x:v>
      </x:c>
      <x:c r="AH224" s="32" t="str">
        <x:f>IF(AG224="AWS","Start with AWS when infrastructure breadth, native integration and operational maturity are the main differentiators.",IF(AG224="Azure","Start with Azure when Microsoft identity, security, data, productivity or hybrid integration reduces delivery effort.",IF(AG224="GCP","Start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24" s="32" t="str">
        <x:v>Medium</x:v>
      </x:c>
      <x:c r="AJ224" s="32" t="str">
        <x:v>2026-07-12</x:v>
      </x:c>
    </x:row>
    <x:row r="225">
      <x:c r="A225" s="32" t="str">
        <x:v>Application portfolio hub</x:v>
      </x:c>
      <x:c r="B225" s="32" t="str">
        <x:v>09 Engineering, Operations &amp; Migration</x:v>
      </x:c>
      <x:c r="C225" s="32" t="str">
        <x:v>Testing &amp; Resilience Engineering</x:v>
      </x:c>
      <x:c r="D225" s="32" t="str">
        <x:v>Workload</x:v>
      </x:c>
      <x:c r="E225" s="32" t="str">
        <x:v>What business outcome, scale, control, integration and operating model justify choosing application portfolio hub?</x:v>
      </x:c>
      <x:c r="F225" s="32" t="str">
        <x:v>AWS Systems Manager Application Manager
AWS Migration Hub</x:v>
      </x:c>
      <x:c r="G225" s="32" t="str">
        <x:v>Azure Application Insights / Azure Resource Groups</x:v>
      </x:c>
      <x:c r="H225" s="32" t="str">
        <x:v>App Hub</x:v>
      </x:c>
      <x:c r="I225" s="32" t="n">
        <x:v>3.8</x:v>
      </x:c>
      <x:c r="J225" s="32" t="n">
        <x:v>2.9</x:v>
      </x:c>
      <x:c r="K225" s="32" t="n">
        <x:v>4</x:v>
      </x:c>
      <x:c r="L225" s="32" t="n">
        <x:v>3.8</x:v>
      </x:c>
      <x:c r="M225" s="32" t="n">
        <x:v>3.5</x:v>
      </x:c>
      <x:c r="N225" s="32" t="n">
        <x:v>4.2</x:v>
      </x:c>
      <x:c r="O225" s="32" t="n">
        <x:v>3.6</x:v>
      </x:c>
      <x:c r="P225" s="32" t="n">
        <x:v>3.4</x:v>
      </x:c>
      <x:c r="Q225" s="32" t="n">
        <x:v>2.9</x:v>
      </x:c>
      <x:c r="R225" s="32" t="n">
        <x:v>4.1</x:v>
      </x:c>
      <x:c r="S225" s="32" t="n">
        <x:v>3.8</x:v>
      </x:c>
      <x:c r="T225" s="32" t="n">
        <x:v>3.5</x:v>
      </x:c>
      <x:c r="U225" s="32" t="n">
        <x:v>4.1</x:v>
      </x:c>
      <x:c r="V225" s="32" t="n">
        <x:v>3.7</x:v>
      </x:c>
      <x:c r="W225" s="32" t="n">
        <x:v>3.5</x:v>
      </x:c>
      <x:c r="X225" s="32" t="n">
        <x:v>3</x:v>
      </x:c>
      <x:c r="Y225" s="32" t="n">
        <x:v>3.9</x:v>
      </x:c>
      <x:c r="Z225" s="32" t="n">
        <x:v>4</x:v>
      </x:c>
      <x:c r="AA225" s="32" t="n">
        <x:v>3.5</x:v>
      </x:c>
      <x:c r="AB225" s="32" t="n">
        <x:v>4.1</x:v>
      </x:c>
      <x:c r="AC225" s="32" t="n">
        <x:v>3.9</x:v>
      </x:c>
      <x:c r="AD225" s="32" t="n">
        <x:f>ROUND((I225*'Criteria &amp; Scoring'!$B$5+J225*'Criteria &amp; Scoring'!$B$6+K225*'Criteria &amp; Scoring'!$B$7+L225*'Criteria &amp; Scoring'!$B$8+M225*'Criteria &amp; Scoring'!$B$9+N225*'Criteria &amp; Scoring'!$B$10+O225*'Criteria &amp; Scoring'!$B$11)/SUM('Criteria &amp; Scoring'!$B$5:$B$11),2)</x:f>
        <x:v>3.65</x:v>
      </x:c>
      <x:c r="AE225" s="32" t="n">
        <x:f>ROUND((P225*'Criteria &amp; Scoring'!$B$5+Q225*'Criteria &amp; Scoring'!$B$6+R225*'Criteria &amp; Scoring'!$B$7+S225*'Criteria &amp; Scoring'!$B$8+T225*'Criteria &amp; Scoring'!$B$9+U225*'Criteria &amp; Scoring'!$B$10+V225*'Criteria &amp; Scoring'!$B$11)/SUM('Criteria &amp; Scoring'!$B$5:$B$11),2)</x:f>
        <x:v>3.56</x:v>
      </x:c>
      <x:c r="AF225" s="32" t="n">
        <x:f>ROUND((W225*'Criteria &amp; Scoring'!$B$5+X225*'Criteria &amp; Scoring'!$B$6+Y225*'Criteria &amp; Scoring'!$B$7+Z225*'Criteria &amp; Scoring'!$B$8+AA225*'Criteria &amp; Scoring'!$B$9+AB225*'Criteria &amp; Scoring'!$B$10+AC225*'Criteria &amp; Scoring'!$B$11)/SUM('Criteria &amp; Scoring'!$B$5:$B$11),2)</x:f>
        <x:v>3.62</x:v>
      </x:c>
      <x:c r="AG225" s="32" t="str">
        <x:f>IF(LARGE(AD225:AF225,1)-LARGE(AD225:AF225,2)&lt;0.15,"Context-dependent tie",SUBSTITUTE(INDEX($AD$4:$AF$4,1,MATCH(MAX(AD225:AF225),AD225:AF225,0))," Overall",""))</x:f>
        <x:v>Context-dependent tie</x:v>
      </x:c>
      <x:c r="AH225" s="32" t="str">
        <x:f>IF(AG225="AWS","Start with AWS when infrastructure breadth, native integration and operational maturity are the main differentiators.",IF(AG225="Azure","Start with Azure when Microsoft identity, security, data, productivity or hybrid integration reduces delivery effort.",IF(AG225="GCP","Start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25" s="32" t="str">
        <x:v>Low</x:v>
      </x:c>
      <x:c r="AJ225" s="32" t="str">
        <x:v>2026-07-12</x:v>
      </x:c>
    </x:row>
    <x:row r="226">
      <x:c r="A226" s="32" t="str">
        <x:v>Cloud monitoring</x:v>
      </x:c>
      <x:c r="B226" s="32" t="str">
        <x:v>09 Engineering, Operations &amp; Migration</x:v>
      </x:c>
      <x:c r="C226" s="32" t="str">
        <x:v>Observability &amp; Application Performance</x:v>
      </x:c>
      <x:c r="D226" s="32" t="str">
        <x:v>Workload</x:v>
      </x:c>
      <x:c r="E226" s="32" t="str">
        <x:v>Which metrics, logs, traces, SLOs and diagnostic workflows are needed across the workload?</x:v>
      </x:c>
      <x:c r="F226" s="32" t="str">
        <x:v>Amazon CloudWatch</x:v>
      </x:c>
      <x:c r="G226" s="32" t="str">
        <x:v>Azure Monitor</x:v>
      </x:c>
      <x:c r="H226" s="32" t="str">
        <x:v>Cloud Monitoring
Google Cloud Observability</x:v>
      </x:c>
      <x:c r="I226" s="32" t="n">
        <x:v>4.5</x:v>
      </x:c>
      <x:c r="J226" s="32" t="n">
        <x:v>3</x:v>
      </x:c>
      <x:c r="K226" s="32" t="n">
        <x:v>4.4</x:v>
      </x:c>
      <x:c r="L226" s="32" t="n">
        <x:v>3.9</x:v>
      </x:c>
      <x:c r="M226" s="32" t="n">
        <x:v>3.5</x:v>
      </x:c>
      <x:c r="N226" s="32" t="n">
        <x:v>4.6</x:v>
      </x:c>
      <x:c r="O226" s="32" t="n">
        <x:v>3.7</x:v>
      </x:c>
      <x:c r="P226" s="32" t="n">
        <x:v>4.2</x:v>
      </x:c>
      <x:c r="Q226" s="32" t="n">
        <x:v>3</x:v>
      </x:c>
      <x:c r="R226" s="32" t="n">
        <x:v>4.8</x:v>
      </x:c>
      <x:c r="S226" s="32" t="n">
        <x:v>3.9</x:v>
      </x:c>
      <x:c r="T226" s="32" t="n">
        <x:v>3.5</x:v>
      </x:c>
      <x:c r="U226" s="32" t="n">
        <x:v>4.5</x:v>
      </x:c>
      <x:c r="V226" s="32" t="n">
        <x:v>3.8</x:v>
      </x:c>
      <x:c r="W226" s="32" t="n">
        <x:v>4</x:v>
      </x:c>
      <x:c r="X226" s="32" t="n">
        <x:v>2.9</x:v>
      </x:c>
      <x:c r="Y226" s="32" t="n">
        <x:v>4.2</x:v>
      </x:c>
      <x:c r="Z226" s="32" t="n">
        <x:v>3.9</x:v>
      </x:c>
      <x:c r="AA226" s="32" t="n">
        <x:v>3.5</x:v>
      </x:c>
      <x:c r="AB226" s="32" t="n">
        <x:v>4.3</x:v>
      </x:c>
      <x:c r="AC226" s="32" t="n">
        <x:v>3.8</x:v>
      </x:c>
      <x:c r="AD226" s="32" t="n">
        <x:f>ROUND((I226*'Criteria &amp; Scoring'!$B$5+J226*'Criteria &amp; Scoring'!$B$6+K226*'Criteria &amp; Scoring'!$B$7+L226*'Criteria &amp; Scoring'!$B$8+M226*'Criteria &amp; Scoring'!$B$9+N226*'Criteria &amp; Scoring'!$B$10+O226*'Criteria &amp; Scoring'!$B$11)/SUM('Criteria &amp; Scoring'!$B$5:$B$11),2)</x:f>
        <x:v>3.97</x:v>
      </x:c>
      <x:c r="AE226" s="32" t="n">
        <x:f>ROUND((P226*'Criteria &amp; Scoring'!$B$5+Q226*'Criteria &amp; Scoring'!$B$6+R226*'Criteria &amp; Scoring'!$B$7+S226*'Criteria &amp; Scoring'!$B$8+T226*'Criteria &amp; Scoring'!$B$9+U226*'Criteria &amp; Scoring'!$B$10+V226*'Criteria &amp; Scoring'!$B$11)/SUM('Criteria &amp; Scoring'!$B$5:$B$11),2)</x:f>
        <x:v>3.95</x:v>
      </x:c>
      <x:c r="AF226" s="32" t="n">
        <x:f>ROUND((W226*'Criteria &amp; Scoring'!$B$5+X226*'Criteria &amp; Scoring'!$B$6+Y226*'Criteria &amp; Scoring'!$B$7+Z226*'Criteria &amp; Scoring'!$B$8+AA226*'Criteria &amp; Scoring'!$B$9+AB226*'Criteria &amp; Scoring'!$B$10+AC226*'Criteria &amp; Scoring'!$B$11)/SUM('Criteria &amp; Scoring'!$B$5:$B$11),2)</x:f>
        <x:v>3.77</x:v>
      </x:c>
      <x:c r="AG226" s="32" t="str">
        <x:f>IF(LARGE(AD226:AF226,1)-LARGE(AD226:AF226,2)&lt;0.15,"Context-dependent tie",SUBSTITUTE(INDEX($AD$4:$AF$4,1,MATCH(MAX(AD226:AF226),AD226:AF226,0))," Overall",""))</x:f>
        <x:v>Context-dependent tie</x:v>
      </x:c>
      <x:c r="AH226" s="32" t="str">
        <x:f>IF(AG226="AWS","Start with AWS when infrastructure breadth, native integration and operational maturity are the main differentiators.",IF(AG226="Azure","Start with Azure when Microsoft identity, security, data, productivity or hybrid integration reduces delivery effort.",IF(AG226="GCP","Start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26" s="32" t="str">
        <x:v>High</x:v>
      </x:c>
      <x:c r="AJ226" s="32" t="str">
        <x:v>2026-07-12</x:v>
      </x:c>
    </x:row>
    <x:row r="227">
      <x:c r="A227" s="32" t="str">
        <x:v>Central log management</x:v>
      </x:c>
      <x:c r="B227" s="32" t="str">
        <x:v>09 Engineering, Operations &amp; Migration</x:v>
      </x:c>
      <x:c r="C227" s="32" t="str">
        <x:v>Observability &amp; Application Performance</x:v>
      </x:c>
      <x:c r="D227" s="32" t="str">
        <x:v>Workload</x:v>
      </x:c>
      <x:c r="E227" s="32" t="str">
        <x:v>Which metrics, logs, traces, SLOs and diagnostic workflows are needed across the workload?</x:v>
      </x:c>
      <x:c r="F227" s="32" t="str">
        <x:v>Amazon CloudWatch Logs</x:v>
      </x:c>
      <x:c r="G227" s="32" t="str">
        <x:v>Azure Monitor Logs
Log Analytics</x:v>
      </x:c>
      <x:c r="H227" s="32" t="str">
        <x:v>Cloud Logging</x:v>
      </x:c>
      <x:c r="I227" s="32" t="n">
        <x:v>4.5</x:v>
      </x:c>
      <x:c r="J227" s="32" t="n">
        <x:v>3</x:v>
      </x:c>
      <x:c r="K227" s="32" t="n">
        <x:v>4.4</x:v>
      </x:c>
      <x:c r="L227" s="32" t="n">
        <x:v>3.9</x:v>
      </x:c>
      <x:c r="M227" s="32" t="n">
        <x:v>3.5</x:v>
      </x:c>
      <x:c r="N227" s="32" t="n">
        <x:v>4.6</x:v>
      </x:c>
      <x:c r="O227" s="32" t="n">
        <x:v>3.7</x:v>
      </x:c>
      <x:c r="P227" s="32" t="n">
        <x:v>4</x:v>
      </x:c>
      <x:c r="Q227" s="32" t="n">
        <x:v>2.9</x:v>
      </x:c>
      <x:c r="R227" s="32" t="n">
        <x:v>4.8</x:v>
      </x:c>
      <x:c r="S227" s="32" t="n">
        <x:v>3.8</x:v>
      </x:c>
      <x:c r="T227" s="32" t="n">
        <x:v>3.5</x:v>
      </x:c>
      <x:c r="U227" s="32" t="n">
        <x:v>4.4</x:v>
      </x:c>
      <x:c r="V227" s="32" t="n">
        <x:v>3.7</x:v>
      </x:c>
      <x:c r="W227" s="32" t="n">
        <x:v>4.2</x:v>
      </x:c>
      <x:c r="X227" s="32" t="n">
        <x:v>3</x:v>
      </x:c>
      <x:c r="Y227" s="32" t="n">
        <x:v>4.2</x:v>
      </x:c>
      <x:c r="Z227" s="32" t="n">
        <x:v>4</x:v>
      </x:c>
      <x:c r="AA227" s="32" t="n">
        <x:v>3.5</x:v>
      </x:c>
      <x:c r="AB227" s="32" t="n">
        <x:v>4.4</x:v>
      </x:c>
      <x:c r="AC227" s="32" t="n">
        <x:v>3.9</x:v>
      </x:c>
      <x:c r="AD227" s="32" t="n">
        <x:f>ROUND((I227*'Criteria &amp; Scoring'!$B$5+J227*'Criteria &amp; Scoring'!$B$6+K227*'Criteria &amp; Scoring'!$B$7+L227*'Criteria &amp; Scoring'!$B$8+M227*'Criteria &amp; Scoring'!$B$9+N227*'Criteria &amp; Scoring'!$B$10+O227*'Criteria &amp; Scoring'!$B$11)/SUM('Criteria &amp; Scoring'!$B$5:$B$11),2)</x:f>
        <x:v>3.97</x:v>
      </x:c>
      <x:c r="AE227" s="32" t="n">
        <x:f>ROUND((P227*'Criteria &amp; Scoring'!$B$5+Q227*'Criteria &amp; Scoring'!$B$6+R227*'Criteria &amp; Scoring'!$B$7+S227*'Criteria &amp; Scoring'!$B$8+T227*'Criteria &amp; Scoring'!$B$9+U227*'Criteria &amp; Scoring'!$B$10+V227*'Criteria &amp; Scoring'!$B$11)/SUM('Criteria &amp; Scoring'!$B$5:$B$11),2)</x:f>
        <x:v>3.85</x:v>
      </x:c>
      <x:c r="AF227" s="32" t="n">
        <x:f>ROUND((W227*'Criteria &amp; Scoring'!$B$5+X227*'Criteria &amp; Scoring'!$B$6+Y227*'Criteria &amp; Scoring'!$B$7+Z227*'Criteria &amp; Scoring'!$B$8+AA227*'Criteria &amp; Scoring'!$B$9+AB227*'Criteria &amp; Scoring'!$B$10+AC227*'Criteria &amp; Scoring'!$B$11)/SUM('Criteria &amp; Scoring'!$B$5:$B$11),2)</x:f>
        <x:v>3.87</x:v>
      </x:c>
      <x:c r="AG227" s="32" t="str">
        <x:f>IF(LARGE(AD227:AF227,1)-LARGE(AD227:AF227,2)&lt;0.15,"Context-dependent tie",SUBSTITUTE(INDEX($AD$4:$AF$4,1,MATCH(MAX(AD227:AF227),AD227:AF227,0))," Overall",""))</x:f>
        <x:v>Context-dependent tie</x:v>
      </x:c>
      <x:c r="AH227" s="32" t="str">
        <x:f>IF(AG227="AWS","Start with AWS when infrastructure breadth, native integration and operational maturity are the main differentiators.",IF(AG227="Azure","Start with Azure when Microsoft identity, security, data, productivity or hybrid integration reduces delivery effort.",IF(AG227="GCP","Start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27" s="32" t="str">
        <x:v>High</x:v>
      </x:c>
      <x:c r="AJ227" s="32" t="str">
        <x:v>2026-07-12</x:v>
      </x:c>
    </x:row>
    <x:row r="228">
      <x:c r="A228" s="32" t="str">
        <x:v>Distributed tracing</x:v>
      </x:c>
      <x:c r="B228" s="32" t="str">
        <x:v>09 Engineering, Operations &amp; Migration</x:v>
      </x:c>
      <x:c r="C228" s="32" t="str">
        <x:v>Reliability, SRE &amp; Service Health</x:v>
      </x:c>
      <x:c r="D228" s="32" t="str">
        <x:v>Workload</x:v>
      </x:c>
      <x:c r="E228" s="32" t="str">
        <x:v>What business outcome, scale, control, integration and operating model justify choosing distributed tracing?</x:v>
      </x:c>
      <x:c r="F228" s="32" t="str">
        <x:v>AWS X-Ray
Amazon CloudWatch Application Signals</x:v>
      </x:c>
      <x:c r="G228" s="32" t="str">
        <x:v>Azure Application Insights</x:v>
      </x:c>
      <x:c r="H228" s="32" t="str">
        <x:v>Cloud Trace</x:v>
      </x:c>
      <x:c r="I228" s="32" t="n">
        <x:v>4.4</x:v>
      </x:c>
      <x:c r="J228" s="32" t="n">
        <x:v>2.9</x:v>
      </x:c>
      <x:c r="K228" s="32" t="n">
        <x:v>4.3</x:v>
      </x:c>
      <x:c r="L228" s="32" t="n">
        <x:v>3.8</x:v>
      </x:c>
      <x:c r="M228" s="32" t="n">
        <x:v>3.5</x:v>
      </x:c>
      <x:c r="N228" s="32" t="n">
        <x:v>4.5</x:v>
      </x:c>
      <x:c r="O228" s="32" t="n">
        <x:v>3.6</x:v>
      </x:c>
      <x:c r="P228" s="32" t="n">
        <x:v>4.2</x:v>
      </x:c>
      <x:c r="Q228" s="32" t="n">
        <x:v>3</x:v>
      </x:c>
      <x:c r="R228" s="32" t="n">
        <x:v>4.8</x:v>
      </x:c>
      <x:c r="S228" s="32" t="n">
        <x:v>3.9</x:v>
      </x:c>
      <x:c r="T228" s="32" t="n">
        <x:v>3.5</x:v>
      </x:c>
      <x:c r="U228" s="32" t="n">
        <x:v>4.5</x:v>
      </x:c>
      <x:c r="V228" s="32" t="n">
        <x:v>3.8</x:v>
      </x:c>
      <x:c r="W228" s="32" t="n">
        <x:v>4.2</x:v>
      </x:c>
      <x:c r="X228" s="32" t="n">
        <x:v>3</x:v>
      </x:c>
      <x:c r="Y228" s="32" t="n">
        <x:v>4.2</x:v>
      </x:c>
      <x:c r="Z228" s="32" t="n">
        <x:v>4</x:v>
      </x:c>
      <x:c r="AA228" s="32" t="n">
        <x:v>3.5</x:v>
      </x:c>
      <x:c r="AB228" s="32" t="n">
        <x:v>4.4</x:v>
      </x:c>
      <x:c r="AC228" s="32" t="n">
        <x:v>3.9</x:v>
      </x:c>
      <x:c r="AD228" s="32" t="n">
        <x:f>ROUND((I228*'Criteria &amp; Scoring'!$B$5+J228*'Criteria &amp; Scoring'!$B$6+K228*'Criteria &amp; Scoring'!$B$7+L228*'Criteria &amp; Scoring'!$B$8+M228*'Criteria &amp; Scoring'!$B$9+N228*'Criteria &amp; Scoring'!$B$10+O228*'Criteria &amp; Scoring'!$B$11)/SUM('Criteria &amp; Scoring'!$B$5:$B$11),2)</x:f>
        <x:v>3.88</x:v>
      </x:c>
      <x:c r="AE228" s="32" t="n">
        <x:f>ROUND((P228*'Criteria &amp; Scoring'!$B$5+Q228*'Criteria &amp; Scoring'!$B$6+R228*'Criteria &amp; Scoring'!$B$7+S228*'Criteria &amp; Scoring'!$B$8+T228*'Criteria &amp; Scoring'!$B$9+U228*'Criteria &amp; Scoring'!$B$10+V228*'Criteria &amp; Scoring'!$B$11)/SUM('Criteria &amp; Scoring'!$B$5:$B$11),2)</x:f>
        <x:v>3.95</x:v>
      </x:c>
      <x:c r="AF228" s="32" t="n">
        <x:f>ROUND((W228*'Criteria &amp; Scoring'!$B$5+X228*'Criteria &amp; Scoring'!$B$6+Y228*'Criteria &amp; Scoring'!$B$7+Z228*'Criteria &amp; Scoring'!$B$8+AA228*'Criteria &amp; Scoring'!$B$9+AB228*'Criteria &amp; Scoring'!$B$10+AC228*'Criteria &amp; Scoring'!$B$11)/SUM('Criteria &amp; Scoring'!$B$5:$B$11),2)</x:f>
        <x:v>3.87</x:v>
      </x:c>
      <x:c r="AG228" s="32" t="str">
        <x:f>IF(LARGE(AD228:AF228,1)-LARGE(AD228:AF228,2)&lt;0.15,"Context-dependent tie",SUBSTITUTE(INDEX($AD$4:$AF$4,1,MATCH(MAX(AD228:AF228),AD228:AF228,0))," Overall",""))</x:f>
        <x:v>Context-dependent tie</x:v>
      </x:c>
      <x:c r="AH228" s="32" t="str">
        <x:f>IF(AG228="AWS","Start with AWS when infrastructure breadth, native integration and operational maturity are the main differentiators.",IF(AG228="Azure","Start with Azure when Microsoft identity, security, data, productivity or hybrid integration reduces delivery effort.",IF(AG228="GCP","Start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28" s="32" t="str">
        <x:v>High</x:v>
      </x:c>
      <x:c r="AJ228" s="32" t="str">
        <x:v>2026-07-12</x:v>
      </x:c>
    </x:row>
    <x:row r="229">
      <x:c r="A229" s="32" t="str">
        <x:v>Application performance monitoring</x:v>
      </x:c>
      <x:c r="B229" s="32" t="str">
        <x:v>09 Engineering, Operations &amp; Migration</x:v>
      </x:c>
      <x:c r="C229" s="32" t="str">
        <x:v>Observability &amp; Application Performance</x:v>
      </x:c>
      <x:c r="D229" s="32" t="str">
        <x:v>Workload</x:v>
      </x:c>
      <x:c r="E229" s="32" t="str">
        <x:v>Which metrics, logs, traces, SLOs and diagnostic workflows are needed across the workload?</x:v>
      </x:c>
      <x:c r="F229" s="32" t="str">
        <x:v>Amazon CloudWatch Application Signals
AWS X-Ray</x:v>
      </x:c>
      <x:c r="G229" s="32" t="str">
        <x:v>Azure Application Insights</x:v>
      </x:c>
      <x:c r="H229" s="32" t="str">
        <x:v>Google Cloud Observability</x:v>
      </x:c>
      <x:c r="I229" s="32" t="n">
        <x:v>4.2</x:v>
      </x:c>
      <x:c r="J229" s="32" t="n">
        <x:v>2.9</x:v>
      </x:c>
      <x:c r="K229" s="32" t="n">
        <x:v>4.2</x:v>
      </x:c>
      <x:c r="L229" s="32" t="n">
        <x:v>3.8</x:v>
      </x:c>
      <x:c r="M229" s="32" t="n">
        <x:v>3.5</x:v>
      </x:c>
      <x:c r="N229" s="32" t="n">
        <x:v>4.4</x:v>
      </x:c>
      <x:c r="O229" s="32" t="n">
        <x:v>3.6</x:v>
      </x:c>
      <x:c r="P229" s="32" t="n">
        <x:v>4</x:v>
      </x:c>
      <x:c r="Q229" s="32" t="n">
        <x:v>3</x:v>
      </x:c>
      <x:c r="R229" s="32" t="n">
        <x:v>4.8</x:v>
      </x:c>
      <x:c r="S229" s="32" t="n">
        <x:v>3.9</x:v>
      </x:c>
      <x:c r="T229" s="32" t="n">
        <x:v>3.5</x:v>
      </x:c>
      <x:c r="U229" s="32" t="n">
        <x:v>4.4</x:v>
      </x:c>
      <x:c r="V229" s="32" t="n">
        <x:v>3.8</x:v>
      </x:c>
      <x:c r="W229" s="32" t="n">
        <x:v>4</x:v>
      </x:c>
      <x:c r="X229" s="32" t="n">
        <x:v>3</x:v>
      </x:c>
      <x:c r="Y229" s="32" t="n">
        <x:v>4.2</x:v>
      </x:c>
      <x:c r="Z229" s="32" t="n">
        <x:v>4</x:v>
      </x:c>
      <x:c r="AA229" s="32" t="n">
        <x:v>3.5</x:v>
      </x:c>
      <x:c r="AB229" s="32" t="n">
        <x:v>4.3</x:v>
      </x:c>
      <x:c r="AC229" s="32" t="n">
        <x:v>3.9</x:v>
      </x:c>
      <x:c r="AD229" s="32" t="n">
        <x:f>ROUND((I229*'Criteria &amp; Scoring'!$B$5+J229*'Criteria &amp; Scoring'!$B$6+K229*'Criteria &amp; Scoring'!$B$7+L229*'Criteria &amp; Scoring'!$B$8+M229*'Criteria &amp; Scoring'!$B$9+N229*'Criteria &amp; Scoring'!$B$10+O229*'Criteria &amp; Scoring'!$B$11)/SUM('Criteria &amp; Scoring'!$B$5:$B$11),2)</x:f>
        <x:v>3.8</x:v>
      </x:c>
      <x:c r="AE229" s="32" t="n">
        <x:f>ROUND((P229*'Criteria &amp; Scoring'!$B$5+Q229*'Criteria &amp; Scoring'!$B$6+R229*'Criteria &amp; Scoring'!$B$7+S229*'Criteria &amp; Scoring'!$B$8+T229*'Criteria &amp; Scoring'!$B$9+U229*'Criteria &amp; Scoring'!$B$10+V229*'Criteria &amp; Scoring'!$B$11)/SUM('Criteria &amp; Scoring'!$B$5:$B$11),2)</x:f>
        <x:v>3.89</x:v>
      </x:c>
      <x:c r="AF229" s="32" t="n">
        <x:f>ROUND((W229*'Criteria &amp; Scoring'!$B$5+X229*'Criteria &amp; Scoring'!$B$6+Y229*'Criteria &amp; Scoring'!$B$7+Z229*'Criteria &amp; Scoring'!$B$8+AA229*'Criteria &amp; Scoring'!$B$9+AB229*'Criteria &amp; Scoring'!$B$10+AC229*'Criteria &amp; Scoring'!$B$11)/SUM('Criteria &amp; Scoring'!$B$5:$B$11),2)</x:f>
        <x:v>3.81</x:v>
      </x:c>
      <x:c r="AG229" s="32" t="str">
        <x:f>IF(LARGE(AD229:AF229,1)-LARGE(AD229:AF229,2)&lt;0.15,"Context-dependent tie",SUBSTITUTE(INDEX($AD$4:$AF$4,1,MATCH(MAX(AD229:AF229),AD229:AF229,0))," Overall",""))</x:f>
        <x:v>Context-dependent tie</x:v>
      </x:c>
      <x:c r="AH229" s="32" t="str">
        <x:f>IF(AG229="AWS","Start with AWS when infrastructure breadth, native integration and operational maturity are the main differentiators.",IF(AG229="Azure","Start with Azure when Microsoft identity, security, data, productivity or hybrid integration reduces delivery effort.",IF(AG229="GCP","Start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29" s="32" t="str">
        <x:v>Medium</x:v>
      </x:c>
      <x:c r="AJ229" s="32" t="str">
        <x:v>2026-07-12</x:v>
      </x:c>
    </x:row>
    <x:row r="230">
      <x:c r="A230" s="32" t="str">
        <x:v>Managed Prometheus</x:v>
      </x:c>
      <x:c r="B230" s="32" t="str">
        <x:v>09 Engineering, Operations &amp; Migration</x:v>
      </x:c>
      <x:c r="C230" s="32" t="str">
        <x:v>Observability &amp; Application Performance</x:v>
      </x:c>
      <x:c r="D230" s="32" t="str">
        <x:v>Workload</x:v>
      </x:c>
      <x:c r="E230" s="32" t="str">
        <x:v>Which metrics, logs, traces, SLOs and diagnostic workflows are needed across the workload?</x:v>
      </x:c>
      <x:c r="F230" s="32" t="str">
        <x:v>Amazon Managed Service for Prometheus</x:v>
      </x:c>
      <x:c r="G230" s="32" t="str">
        <x:v>Azure Monitor managed service for Prometheus</x:v>
      </x:c>
      <x:c r="H230" s="32" t="str">
        <x:v>Managed Service for Prometheus</x:v>
      </x:c>
      <x:c r="I230" s="32" t="n">
        <x:v>4.5</x:v>
      </x:c>
      <x:c r="J230" s="32" t="n">
        <x:v>3</x:v>
      </x:c>
      <x:c r="K230" s="32" t="n">
        <x:v>4.4</x:v>
      </x:c>
      <x:c r="L230" s="32" t="n">
        <x:v>3.9</x:v>
      </x:c>
      <x:c r="M230" s="32" t="n">
        <x:v>4.2</x:v>
      </x:c>
      <x:c r="N230" s="32" t="n">
        <x:v>4.6</x:v>
      </x:c>
      <x:c r="O230" s="32" t="n">
        <x:v>3.7</x:v>
      </x:c>
      <x:c r="P230" s="32" t="n">
        <x:v>4.2</x:v>
      </x:c>
      <x:c r="Q230" s="32" t="n">
        <x:v>3</x:v>
      </x:c>
      <x:c r="R230" s="32" t="n">
        <x:v>4.8</x:v>
      </x:c>
      <x:c r="S230" s="32" t="n">
        <x:v>3.9</x:v>
      </x:c>
      <x:c r="T230" s="32" t="n">
        <x:v>4.2</x:v>
      </x:c>
      <x:c r="U230" s="32" t="n">
        <x:v>4.5</x:v>
      </x:c>
      <x:c r="V230" s="32" t="n">
        <x:v>3.8</x:v>
      </x:c>
      <x:c r="W230" s="32" t="n">
        <x:v>4.2</x:v>
      </x:c>
      <x:c r="X230" s="32" t="n">
        <x:v>3</x:v>
      </x:c>
      <x:c r="Y230" s="32" t="n">
        <x:v>4.2</x:v>
      </x:c>
      <x:c r="Z230" s="32" t="n">
        <x:v>4</x:v>
      </x:c>
      <x:c r="AA230" s="32" t="n">
        <x:v>4.2</x:v>
      </x:c>
      <x:c r="AB230" s="32" t="n">
        <x:v>4.4</x:v>
      </x:c>
      <x:c r="AC230" s="32" t="n">
        <x:v>3.9</x:v>
      </x:c>
      <x:c r="AD230" s="32" t="n">
        <x:f>ROUND((I230*'Criteria &amp; Scoring'!$B$5+J230*'Criteria &amp; Scoring'!$B$6+K230*'Criteria &amp; Scoring'!$B$7+L230*'Criteria &amp; Scoring'!$B$8+M230*'Criteria &amp; Scoring'!$B$9+N230*'Criteria &amp; Scoring'!$B$10+O230*'Criteria &amp; Scoring'!$B$11)/SUM('Criteria &amp; Scoring'!$B$5:$B$11),2)</x:f>
        <x:v>4.04</x:v>
      </x:c>
      <x:c r="AE230" s="32" t="n">
        <x:f>ROUND((P230*'Criteria &amp; Scoring'!$B$5+Q230*'Criteria &amp; Scoring'!$B$6+R230*'Criteria &amp; Scoring'!$B$7+S230*'Criteria &amp; Scoring'!$B$8+T230*'Criteria &amp; Scoring'!$B$9+U230*'Criteria &amp; Scoring'!$B$10+V230*'Criteria &amp; Scoring'!$B$11)/SUM('Criteria &amp; Scoring'!$B$5:$B$11),2)</x:f>
        <x:v>4.02</x:v>
      </x:c>
      <x:c r="AF230" s="32" t="n">
        <x:f>ROUND((W230*'Criteria &amp; Scoring'!$B$5+X230*'Criteria &amp; Scoring'!$B$6+Y230*'Criteria &amp; Scoring'!$B$7+Z230*'Criteria &amp; Scoring'!$B$8+AA230*'Criteria &amp; Scoring'!$B$9+AB230*'Criteria &amp; Scoring'!$B$10+AC230*'Criteria &amp; Scoring'!$B$11)/SUM('Criteria &amp; Scoring'!$B$5:$B$11),2)</x:f>
        <x:v>3.94</x:v>
      </x:c>
      <x:c r="AG230" s="32" t="str">
        <x:f>IF(LARGE(AD230:AF230,1)-LARGE(AD230:AF230,2)&lt;0.15,"Context-dependent tie",SUBSTITUTE(INDEX($AD$4:$AF$4,1,MATCH(MAX(AD230:AF230),AD230:AF230,0))," Overall",""))</x:f>
        <x:v>Context-dependent tie</x:v>
      </x:c>
      <x:c r="AH230" s="32" t="str">
        <x:f>IF(AG230="AWS","Start with AWS when infrastructure breadth, native integration and operational maturity are the main differentiators.",IF(AG230="Azure","Start with Azure when Microsoft identity, security, data, productivity or hybrid integration reduces delivery effort.",IF(AG230="GCP","Start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30" s="32" t="str">
        <x:v>High</x:v>
      </x:c>
      <x:c r="AJ230" s="32" t="str">
        <x:v>2026-07-12</x:v>
      </x:c>
    </x:row>
    <x:row r="231">
      <x:c r="A231" s="32" t="str">
        <x:v>Managed Grafana</x:v>
      </x:c>
      <x:c r="B231" s="32" t="str">
        <x:v>09 Engineering, Operations &amp; Migration</x:v>
      </x:c>
      <x:c r="C231" s="32" t="str">
        <x:v>Observability &amp; Application Performance</x:v>
      </x:c>
      <x:c r="D231" s="32" t="str">
        <x:v>Workload</x:v>
      </x:c>
      <x:c r="E231" s="32" t="str">
        <x:v>Which metrics, logs, traces, SLOs and diagnostic workflows are needed across the workload?</x:v>
      </x:c>
      <x:c r="F231" s="32" t="str">
        <x:v>Amazon Managed Grafana</x:v>
      </x:c>
      <x:c r="G231" s="32" t="str">
        <x:v>Azure Managed Grafana</x:v>
      </x:c>
      <x:c r="H231" s="32" t="str">
        <x:v>Managed Service for Grafana / partner Grafana Cloud</x:v>
      </x:c>
      <x:c r="I231" s="32" t="n">
        <x:v>3.9</x:v>
      </x:c>
      <x:c r="J231" s="32" t="n">
        <x:v>3</x:v>
      </x:c>
      <x:c r="K231" s="32" t="n">
        <x:v>4.1</x:v>
      </x:c>
      <x:c r="L231" s="32" t="n">
        <x:v>3.9</x:v>
      </x:c>
      <x:c r="M231" s="32" t="n">
        <x:v>4.2</x:v>
      </x:c>
      <x:c r="N231" s="32" t="n">
        <x:v>4.3</x:v>
      </x:c>
      <x:c r="O231" s="32" t="n">
        <x:v>3.7</x:v>
      </x:c>
      <x:c r="P231" s="32" t="n">
        <x:v>3.5</x:v>
      </x:c>
      <x:c r="Q231" s="32" t="n">
        <x:v>3</x:v>
      </x:c>
      <x:c r="R231" s="32" t="n">
        <x:v>4.5</x:v>
      </x:c>
      <x:c r="S231" s="32" t="n">
        <x:v>3.9</x:v>
      </x:c>
      <x:c r="T231" s="32" t="n">
        <x:v>4.2</x:v>
      </x:c>
      <x:c r="U231" s="32" t="n">
        <x:v>4.2</x:v>
      </x:c>
      <x:c r="V231" s="32" t="n">
        <x:v>3.8</x:v>
      </x:c>
      <x:c r="W231" s="32" t="n">
        <x:v>2.8</x:v>
      </x:c>
      <x:c r="X231" s="32" t="n">
        <x:v>2.6</x:v>
      </x:c>
      <x:c r="Y231" s="32" t="n">
        <x:v>3.5</x:v>
      </x:c>
      <x:c r="Z231" s="32" t="n">
        <x:v>3.6</x:v>
      </x:c>
      <x:c r="AA231" s="32" t="n">
        <x:v>3.9</x:v>
      </x:c>
      <x:c r="AB231" s="32" t="n">
        <x:v>3.6</x:v>
      </x:c>
      <x:c r="AC231" s="32" t="n">
        <x:v>3.6</x:v>
      </x:c>
      <x:c r="AD231" s="32" t="n">
        <x:f>ROUND((I231*'Criteria &amp; Scoring'!$B$5+J231*'Criteria &amp; Scoring'!$B$6+K231*'Criteria &amp; Scoring'!$B$7+L231*'Criteria &amp; Scoring'!$B$8+M231*'Criteria &amp; Scoring'!$B$9+N231*'Criteria &amp; Scoring'!$B$10+O231*'Criteria &amp; Scoring'!$B$11)/SUM('Criteria &amp; Scoring'!$B$5:$B$11),2)</x:f>
        <x:v>3.81</x:v>
      </x:c>
      <x:c r="AE231" s="32" t="n">
        <x:f>ROUND((P231*'Criteria &amp; Scoring'!$B$5+Q231*'Criteria &amp; Scoring'!$B$6+R231*'Criteria &amp; Scoring'!$B$7+S231*'Criteria &amp; Scoring'!$B$8+T231*'Criteria &amp; Scoring'!$B$9+U231*'Criteria &amp; Scoring'!$B$10+V231*'Criteria &amp; Scoring'!$B$11)/SUM('Criteria &amp; Scoring'!$B$5:$B$11),2)</x:f>
        <x:v>3.76</x:v>
      </x:c>
      <x:c r="AF231" s="32" t="n">
        <x:f>ROUND((W231*'Criteria &amp; Scoring'!$B$5+X231*'Criteria &amp; Scoring'!$B$6+Y231*'Criteria &amp; Scoring'!$B$7+Z231*'Criteria &amp; Scoring'!$B$8+AA231*'Criteria &amp; Scoring'!$B$9+AB231*'Criteria &amp; Scoring'!$B$10+AC231*'Criteria &amp; Scoring'!$B$11)/SUM('Criteria &amp; Scoring'!$B$5:$B$11),2)</x:f>
        <x:v>3.22</x:v>
      </x:c>
      <x:c r="AG231" s="32" t="str">
        <x:f>IF(LARGE(AD231:AF231,1)-LARGE(AD231:AF231,2)&lt;0.15,"Context-dependent tie",SUBSTITUTE(INDEX($AD$4:$AF$4,1,MATCH(MAX(AD231:AF231),AD231:AF231,0))," Overall",""))</x:f>
        <x:v>Context-dependent tie</x:v>
      </x:c>
      <x:c r="AH231" s="32" t="str">
        <x:f>IF(AG231="AWS","Start with AWS when infrastructure breadth, native integration and operational maturity are the main differentiators.",IF(AG231="Azure","Start with Azure when Microsoft identity, security, data, productivity or hybrid integration reduces delivery effort.",IF(AG231="GCP","Start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31" s="32" t="str">
        <x:v>Low</x:v>
      </x:c>
      <x:c r="AJ231" s="32" t="str">
        <x:v>2026-07-12</x:v>
      </x:c>
    </x:row>
    <x:row r="232">
      <x:c r="A232" s="32" t="str">
        <x:v>Application error reporting</x:v>
      </x:c>
      <x:c r="B232" s="32" t="str">
        <x:v>09 Engineering, Operations &amp; Migration</x:v>
      </x:c>
      <x:c r="C232" s="32" t="str">
        <x:v>Observability &amp; Application Performance</x:v>
      </x:c>
      <x:c r="D232" s="32" t="str">
        <x:v>Workload</x:v>
      </x:c>
      <x:c r="E232" s="32" t="str">
        <x:v>Which metrics, logs, traces, SLOs and diagnostic workflows are needed across the workload?</x:v>
      </x:c>
      <x:c r="F232" s="32" t="str">
        <x:v>Amazon CloudWatch Logs Insights
AWS X-Ray</x:v>
      </x:c>
      <x:c r="G232" s="32" t="str">
        <x:v>Azure Application Insights</x:v>
      </x:c>
      <x:c r="H232" s="32" t="str">
        <x:v>Error Reporting</x:v>
      </x:c>
      <x:c r="I232" s="32" t="n">
        <x:v>4.2</x:v>
      </x:c>
      <x:c r="J232" s="32" t="n">
        <x:v>2.9</x:v>
      </x:c>
      <x:c r="K232" s="32" t="n">
        <x:v>4.2</x:v>
      </x:c>
      <x:c r="L232" s="32" t="n">
        <x:v>3.8</x:v>
      </x:c>
      <x:c r="M232" s="32" t="n">
        <x:v>3.5</x:v>
      </x:c>
      <x:c r="N232" s="32" t="n">
        <x:v>4.4</x:v>
      </x:c>
      <x:c r="O232" s="32" t="n">
        <x:v>3.6</x:v>
      </x:c>
      <x:c r="P232" s="32" t="n">
        <x:v>4</x:v>
      </x:c>
      <x:c r="Q232" s="32" t="n">
        <x:v>3</x:v>
      </x:c>
      <x:c r="R232" s="32" t="n">
        <x:v>4.8</x:v>
      </x:c>
      <x:c r="S232" s="32" t="n">
        <x:v>3.9</x:v>
      </x:c>
      <x:c r="T232" s="32" t="n">
        <x:v>3.5</x:v>
      </x:c>
      <x:c r="U232" s="32" t="n">
        <x:v>4.4</x:v>
      </x:c>
      <x:c r="V232" s="32" t="n">
        <x:v>3.8</x:v>
      </x:c>
      <x:c r="W232" s="32" t="n">
        <x:v>4</x:v>
      </x:c>
      <x:c r="X232" s="32" t="n">
        <x:v>3</x:v>
      </x:c>
      <x:c r="Y232" s="32" t="n">
        <x:v>4.2</x:v>
      </x:c>
      <x:c r="Z232" s="32" t="n">
        <x:v>4</x:v>
      </x:c>
      <x:c r="AA232" s="32" t="n">
        <x:v>3.5</x:v>
      </x:c>
      <x:c r="AB232" s="32" t="n">
        <x:v>4.3</x:v>
      </x:c>
      <x:c r="AC232" s="32" t="n">
        <x:v>3.9</x:v>
      </x:c>
      <x:c r="AD232" s="32" t="n">
        <x:f>ROUND((I232*'Criteria &amp; Scoring'!$B$5+J232*'Criteria &amp; Scoring'!$B$6+K232*'Criteria &amp; Scoring'!$B$7+L232*'Criteria &amp; Scoring'!$B$8+M232*'Criteria &amp; Scoring'!$B$9+N232*'Criteria &amp; Scoring'!$B$10+O232*'Criteria &amp; Scoring'!$B$11)/SUM('Criteria &amp; Scoring'!$B$5:$B$11),2)</x:f>
        <x:v>3.8</x:v>
      </x:c>
      <x:c r="AE232" s="32" t="n">
        <x:f>ROUND((P232*'Criteria &amp; Scoring'!$B$5+Q232*'Criteria &amp; Scoring'!$B$6+R232*'Criteria &amp; Scoring'!$B$7+S232*'Criteria &amp; Scoring'!$B$8+T232*'Criteria &amp; Scoring'!$B$9+U232*'Criteria &amp; Scoring'!$B$10+V232*'Criteria &amp; Scoring'!$B$11)/SUM('Criteria &amp; Scoring'!$B$5:$B$11),2)</x:f>
        <x:v>3.89</x:v>
      </x:c>
      <x:c r="AF232" s="32" t="n">
        <x:f>ROUND((W232*'Criteria &amp; Scoring'!$B$5+X232*'Criteria &amp; Scoring'!$B$6+Y232*'Criteria &amp; Scoring'!$B$7+Z232*'Criteria &amp; Scoring'!$B$8+AA232*'Criteria &amp; Scoring'!$B$9+AB232*'Criteria &amp; Scoring'!$B$10+AC232*'Criteria &amp; Scoring'!$B$11)/SUM('Criteria &amp; Scoring'!$B$5:$B$11),2)</x:f>
        <x:v>3.81</x:v>
      </x:c>
      <x:c r="AG232" s="32" t="str">
        <x:f>IF(LARGE(AD232:AF232,1)-LARGE(AD232:AF232,2)&lt;0.15,"Context-dependent tie",SUBSTITUTE(INDEX($AD$4:$AF$4,1,MATCH(MAX(AD232:AF232),AD232:AF232,0))," Overall",""))</x:f>
        <x:v>Context-dependent tie</x:v>
      </x:c>
      <x:c r="AH232" s="32" t="str">
        <x:f>IF(AG232="AWS","Start with AWS when infrastructure breadth, native integration and operational maturity are the main differentiators.",IF(AG232="Azure","Start with Azure when Microsoft identity, security, data, productivity or hybrid integration reduces delivery effort.",IF(AG232="GCP","Start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32" s="32" t="str">
        <x:v>Medium</x:v>
      </x:c>
      <x:c r="AJ232" s="32" t="str">
        <x:v>2026-07-12</x:v>
      </x:c>
    </x:row>
    <x:row r="233">
      <x:c r="A233" s="32" t="str">
        <x:v>Production code profiling</x:v>
      </x:c>
      <x:c r="B233" s="32" t="str">
        <x:v>09 Engineering, Operations &amp; Migration</x:v>
      </x:c>
      <x:c r="C233" s="32" t="str">
        <x:v>Observability &amp; Application Performance</x:v>
      </x:c>
      <x:c r="D233" s="32" t="str">
        <x:v>Workload</x:v>
      </x:c>
      <x:c r="E233" s="32" t="str">
        <x:v>Which metrics, logs, traces, SLOs and diagnostic workflows are needed across the workload?</x:v>
      </x:c>
      <x:c r="F233" s="32" t="str">
        <x:v>Amazon CodeGuru Profiler</x:v>
      </x:c>
      <x:c r="G233" s="32" t="str">
        <x:v>Azure Application Insights Profiler</x:v>
      </x:c>
      <x:c r="H233" s="32" t="str">
        <x:v>Cloud Profiler</x:v>
      </x:c>
      <x:c r="I233" s="32" t="n">
        <x:v>4.5</x:v>
      </x:c>
      <x:c r="J233" s="32" t="n">
        <x:v>3</x:v>
      </x:c>
      <x:c r="K233" s="32" t="n">
        <x:v>4.4</x:v>
      </x:c>
      <x:c r="L233" s="32" t="n">
        <x:v>3.9</x:v>
      </x:c>
      <x:c r="M233" s="32" t="n">
        <x:v>3.5</x:v>
      </x:c>
      <x:c r="N233" s="32" t="n">
        <x:v>4.6</x:v>
      </x:c>
      <x:c r="O233" s="32" t="n">
        <x:v>3.7</x:v>
      </x:c>
      <x:c r="P233" s="32" t="n">
        <x:v>4.2</x:v>
      </x:c>
      <x:c r="Q233" s="32" t="n">
        <x:v>3</x:v>
      </x:c>
      <x:c r="R233" s="32" t="n">
        <x:v>4.8</x:v>
      </x:c>
      <x:c r="S233" s="32" t="n">
        <x:v>3.9</x:v>
      </x:c>
      <x:c r="T233" s="32" t="n">
        <x:v>3.5</x:v>
      </x:c>
      <x:c r="U233" s="32" t="n">
        <x:v>4.5</x:v>
      </x:c>
      <x:c r="V233" s="32" t="n">
        <x:v>3.8</x:v>
      </x:c>
      <x:c r="W233" s="32" t="n">
        <x:v>4.2</x:v>
      </x:c>
      <x:c r="X233" s="32" t="n">
        <x:v>3</x:v>
      </x:c>
      <x:c r="Y233" s="32" t="n">
        <x:v>4.2</x:v>
      </x:c>
      <x:c r="Z233" s="32" t="n">
        <x:v>4</x:v>
      </x:c>
      <x:c r="AA233" s="32" t="n">
        <x:v>3.5</x:v>
      </x:c>
      <x:c r="AB233" s="32" t="n">
        <x:v>4.4</x:v>
      </x:c>
      <x:c r="AC233" s="32" t="n">
        <x:v>3.9</x:v>
      </x:c>
      <x:c r="AD233" s="32" t="n">
        <x:f>ROUND((I233*'Criteria &amp; Scoring'!$B$5+J233*'Criteria &amp; Scoring'!$B$6+K233*'Criteria &amp; Scoring'!$B$7+L233*'Criteria &amp; Scoring'!$B$8+M233*'Criteria &amp; Scoring'!$B$9+N233*'Criteria &amp; Scoring'!$B$10+O233*'Criteria &amp; Scoring'!$B$11)/SUM('Criteria &amp; Scoring'!$B$5:$B$11),2)</x:f>
        <x:v>3.97</x:v>
      </x:c>
      <x:c r="AE233" s="32" t="n">
        <x:f>ROUND((P233*'Criteria &amp; Scoring'!$B$5+Q233*'Criteria &amp; Scoring'!$B$6+R233*'Criteria &amp; Scoring'!$B$7+S233*'Criteria &amp; Scoring'!$B$8+T233*'Criteria &amp; Scoring'!$B$9+U233*'Criteria &amp; Scoring'!$B$10+V233*'Criteria &amp; Scoring'!$B$11)/SUM('Criteria &amp; Scoring'!$B$5:$B$11),2)</x:f>
        <x:v>3.95</x:v>
      </x:c>
      <x:c r="AF233" s="32" t="n">
        <x:f>ROUND((W233*'Criteria &amp; Scoring'!$B$5+X233*'Criteria &amp; Scoring'!$B$6+Y233*'Criteria &amp; Scoring'!$B$7+Z233*'Criteria &amp; Scoring'!$B$8+AA233*'Criteria &amp; Scoring'!$B$9+AB233*'Criteria &amp; Scoring'!$B$10+AC233*'Criteria &amp; Scoring'!$B$11)/SUM('Criteria &amp; Scoring'!$B$5:$B$11),2)</x:f>
        <x:v>3.87</x:v>
      </x:c>
      <x:c r="AG233" s="32" t="str">
        <x:f>IF(LARGE(AD233:AF233,1)-LARGE(AD233:AF233,2)&lt;0.15,"Context-dependent tie",SUBSTITUTE(INDEX($AD$4:$AF$4,1,MATCH(MAX(AD233:AF233),AD233:AF233,0))," Overall",""))</x:f>
        <x:v>Context-dependent tie</x:v>
      </x:c>
      <x:c r="AH233" s="32" t="str">
        <x:f>IF(AG233="AWS","Start with AWS when infrastructure breadth, native integration and operational maturity are the main differentiators.",IF(AG233="Azure","Start with Azure when Microsoft identity, security, data, productivity or hybrid integration reduces delivery effort.",IF(AG233="GCP","Start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33" s="32" t="str">
        <x:v>High</x:v>
      </x:c>
      <x:c r="AJ233" s="32" t="str">
        <x:v>2026-07-12</x:v>
      </x:c>
    </x:row>
    <x:row r="234">
      <x:c r="A234" s="32" t="str">
        <x:v>AI-assisted reliability engineering</x:v>
      </x:c>
      <x:c r="B234" s="32" t="str">
        <x:v>09 Engineering, Operations &amp; Migration</x:v>
      </x:c>
      <x:c r="C234" s="32" t="str">
        <x:v>Reliability, SRE &amp; Service Health</x:v>
      </x:c>
      <x:c r="D234" s="32" t="str">
        <x:v>Workload</x:v>
      </x:c>
      <x:c r="E234" s="32" t="str">
        <x:v>What business outcome, scale, control, integration and operating model justify choosing ai-assisted reliability engineering?</x:v>
      </x:c>
      <x:c r="F234" s="32" t="str">
        <x:v>Amazon DevOps Guru
Amazon Q Developer</x:v>
      </x:c>
      <x:c r="G234" s="32" t="str">
        <x:v>Azure SRE Agent</x:v>
      </x:c>
      <x:c r="H234" s="32" t="str">
        <x:v>Gemini Cloud Assist
Google Cloud Observability</x:v>
      </x:c>
      <x:c r="I234" s="32" t="n">
        <x:v>4.2</x:v>
      </x:c>
      <x:c r="J234" s="32" t="n">
        <x:v>2.9</x:v>
      </x:c>
      <x:c r="K234" s="32" t="n">
        <x:v>4.2</x:v>
      </x:c>
      <x:c r="L234" s="32" t="n">
        <x:v>3.8</x:v>
      </x:c>
      <x:c r="M234" s="32" t="n">
        <x:v>3.5</x:v>
      </x:c>
      <x:c r="N234" s="32" t="n">
        <x:v>4.4</x:v>
      </x:c>
      <x:c r="O234" s="32" t="n">
        <x:v>3.6</x:v>
      </x:c>
      <x:c r="P234" s="32" t="n">
        <x:v>4</x:v>
      </x:c>
      <x:c r="Q234" s="32" t="n">
        <x:v>3</x:v>
      </x:c>
      <x:c r="R234" s="32" t="n">
        <x:v>4.8</x:v>
      </x:c>
      <x:c r="S234" s="32" t="n">
        <x:v>3.9</x:v>
      </x:c>
      <x:c r="T234" s="32" t="n">
        <x:v>3.5</x:v>
      </x:c>
      <x:c r="U234" s="32" t="n">
        <x:v>4.4</x:v>
      </x:c>
      <x:c r="V234" s="32" t="n">
        <x:v>3.8</x:v>
      </x:c>
      <x:c r="W234" s="32" t="n">
        <x:v>3.9</x:v>
      </x:c>
      <x:c r="X234" s="32" t="n">
        <x:v>2.9</x:v>
      </x:c>
      <x:c r="Y234" s="32" t="n">
        <x:v>4.3</x:v>
      </x:c>
      <x:c r="Z234" s="32" t="n">
        <x:v>3.9</x:v>
      </x:c>
      <x:c r="AA234" s="32" t="n">
        <x:v>3.5</x:v>
      </x:c>
      <x:c r="AB234" s="32" t="n">
        <x:v>4.2</x:v>
      </x:c>
      <x:c r="AC234" s="32" t="n">
        <x:v>3.8</x:v>
      </x:c>
      <x:c r="AD234" s="32" t="n">
        <x:f>ROUND((I234*'Criteria &amp; Scoring'!$B$5+J234*'Criteria &amp; Scoring'!$B$6+K234*'Criteria &amp; Scoring'!$B$7+L234*'Criteria &amp; Scoring'!$B$8+M234*'Criteria &amp; Scoring'!$B$9+N234*'Criteria &amp; Scoring'!$B$10+O234*'Criteria &amp; Scoring'!$B$11)/SUM('Criteria &amp; Scoring'!$B$5:$B$11),2)</x:f>
        <x:v>3.8</x:v>
      </x:c>
      <x:c r="AE234" s="32" t="n">
        <x:f>ROUND((P234*'Criteria &amp; Scoring'!$B$5+Q234*'Criteria &amp; Scoring'!$B$6+R234*'Criteria &amp; Scoring'!$B$7+S234*'Criteria &amp; Scoring'!$B$8+T234*'Criteria &amp; Scoring'!$B$9+U234*'Criteria &amp; Scoring'!$B$10+V234*'Criteria &amp; Scoring'!$B$11)/SUM('Criteria &amp; Scoring'!$B$5:$B$11),2)</x:f>
        <x:v>3.89</x:v>
      </x:c>
      <x:c r="AF234" s="32" t="n">
        <x:f>ROUND((W234*'Criteria &amp; Scoring'!$B$5+X234*'Criteria &amp; Scoring'!$B$6+Y234*'Criteria &amp; Scoring'!$B$7+Z234*'Criteria &amp; Scoring'!$B$8+AA234*'Criteria &amp; Scoring'!$B$9+AB234*'Criteria &amp; Scoring'!$B$10+AC234*'Criteria &amp; Scoring'!$B$11)/SUM('Criteria &amp; Scoring'!$B$5:$B$11),2)</x:f>
        <x:v>3.74</x:v>
      </x:c>
      <x:c r="AG234" s="32" t="str">
        <x:f>IF(LARGE(AD234:AF234,1)-LARGE(AD234:AF234,2)&lt;0.15,"Context-dependent tie",SUBSTITUTE(INDEX($AD$4:$AF$4,1,MATCH(MAX(AD234:AF234),AD234:AF234,0))," Overall",""))</x:f>
        <x:v>Context-dependent tie</x:v>
      </x:c>
      <x:c r="AH234" s="32" t="str">
        <x:f>IF(AG234="AWS","Start with AWS when infrastructure breadth, native integration and operational maturity are the main differentiators.",IF(AG234="Azure","Start with Azure when Microsoft identity, security, data, productivity or hybrid integration reduces delivery effort.",IF(AG234="GCP","Start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34" s="32" t="str">
        <x:v>Medium</x:v>
      </x:c>
      <x:c r="AJ234" s="32" t="str">
        <x:v>2026-07-12</x:v>
      </x:c>
    </x:row>
    <x:row r="235">
      <x:c r="A235" s="32" t="str">
        <x:v>Maintenance coordination</x:v>
      </x:c>
      <x:c r="B235" s="32" t="str">
        <x:v>09 Engineering, Operations &amp; Migration</x:v>
      </x:c>
      <x:c r="C235" s="32" t="str">
        <x:v>Reliability, SRE &amp; Service Health</x:v>
      </x:c>
      <x:c r="D235" s="32" t="str">
        <x:v>Workload</x:v>
      </x:c>
      <x:c r="E235" s="32" t="str">
        <x:v>What business outcome, scale, control, integration and operating model justify choosing maintenance coordination?</x:v>
      </x:c>
      <x:c r="F235" s="32" t="str">
        <x:v>AWS Health
AWS Systems Manager Maintenance Windows</x:v>
      </x:c>
      <x:c r="G235" s="32" t="str">
        <x:v>Azure Service Health
Azure Update Manager</x:v>
      </x:c>
      <x:c r="H235" s="32" t="str">
        <x:v>Unified Maintenance
Personalized Service Health</x:v>
      </x:c>
      <x:c r="I235" s="32" t="n">
        <x:v>4.2</x:v>
      </x:c>
      <x:c r="J235" s="32" t="n">
        <x:v>2.9</x:v>
      </x:c>
      <x:c r="K235" s="32" t="n">
        <x:v>4.2</x:v>
      </x:c>
      <x:c r="L235" s="32" t="n">
        <x:v>3.8</x:v>
      </x:c>
      <x:c r="M235" s="32" t="n">
        <x:v>3.5</x:v>
      </x:c>
      <x:c r="N235" s="32" t="n">
        <x:v>4.4</x:v>
      </x:c>
      <x:c r="O235" s="32" t="n">
        <x:v>3.6</x:v>
      </x:c>
      <x:c r="P235" s="32" t="n">
        <x:v>3.9</x:v>
      </x:c>
      <x:c r="Q235" s="32" t="n">
        <x:v>2.9</x:v>
      </x:c>
      <x:c r="R235" s="32" t="n">
        <x:v>4.7</x:v>
      </x:c>
      <x:c r="S235" s="32" t="n">
        <x:v>3.8</x:v>
      </x:c>
      <x:c r="T235" s="32" t="n">
        <x:v>3.5</x:v>
      </x:c>
      <x:c r="U235" s="32" t="n">
        <x:v>4.3</x:v>
      </x:c>
      <x:c r="V235" s="32" t="n">
        <x:v>3.7</x:v>
      </x:c>
      <x:c r="W235" s="32" t="n">
        <x:v>3.9</x:v>
      </x:c>
      <x:c r="X235" s="32" t="n">
        <x:v>2.9</x:v>
      </x:c>
      <x:c r="Y235" s="32" t="n">
        <x:v>4.3</x:v>
      </x:c>
      <x:c r="Z235" s="32" t="n">
        <x:v>3.9</x:v>
      </x:c>
      <x:c r="AA235" s="32" t="n">
        <x:v>3.5</x:v>
      </x:c>
      <x:c r="AB235" s="32" t="n">
        <x:v>4.2</x:v>
      </x:c>
      <x:c r="AC235" s="32" t="n">
        <x:v>3.8</x:v>
      </x:c>
      <x:c r="AD235" s="32" t="n">
        <x:f>ROUND((I235*'Criteria &amp; Scoring'!$B$5+J235*'Criteria &amp; Scoring'!$B$6+K235*'Criteria &amp; Scoring'!$B$7+L235*'Criteria &amp; Scoring'!$B$8+M235*'Criteria &amp; Scoring'!$B$9+N235*'Criteria &amp; Scoring'!$B$10+O235*'Criteria &amp; Scoring'!$B$11)/SUM('Criteria &amp; Scoring'!$B$5:$B$11),2)</x:f>
        <x:v>3.8</x:v>
      </x:c>
      <x:c r="AE235" s="32" t="n">
        <x:f>ROUND((P235*'Criteria &amp; Scoring'!$B$5+Q235*'Criteria &amp; Scoring'!$B$6+R235*'Criteria &amp; Scoring'!$B$7+S235*'Criteria &amp; Scoring'!$B$8+T235*'Criteria &amp; Scoring'!$B$9+U235*'Criteria &amp; Scoring'!$B$10+V235*'Criteria &amp; Scoring'!$B$11)/SUM('Criteria &amp; Scoring'!$B$5:$B$11),2)</x:f>
        <x:v>3.8</x:v>
      </x:c>
      <x:c r="AF235" s="32" t="n">
        <x:f>ROUND((W235*'Criteria &amp; Scoring'!$B$5+X235*'Criteria &amp; Scoring'!$B$6+Y235*'Criteria &amp; Scoring'!$B$7+Z235*'Criteria &amp; Scoring'!$B$8+AA235*'Criteria &amp; Scoring'!$B$9+AB235*'Criteria &amp; Scoring'!$B$10+AC235*'Criteria &amp; Scoring'!$B$11)/SUM('Criteria &amp; Scoring'!$B$5:$B$11),2)</x:f>
        <x:v>3.74</x:v>
      </x:c>
      <x:c r="AG235" s="32" t="str">
        <x:f>IF(LARGE(AD235:AF235,1)-LARGE(AD235:AF235,2)&lt;0.15,"Context-dependent tie",SUBSTITUTE(INDEX($AD$4:$AF$4,1,MATCH(MAX(AD235:AF235),AD235:AF235,0))," Overall",""))</x:f>
        <x:v>Context-dependent tie</x:v>
      </x:c>
      <x:c r="AH235" s="32" t="str">
        <x:f>IF(AG235="AWS","Start with AWS when infrastructure breadth, native integration and operational maturity are the main differentiators.",IF(AG235="Azure","Start with Azure when Microsoft identity, security, data, productivity or hybrid integration reduces delivery effort.",IF(AG235="GCP","Start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35" s="32" t="str">
        <x:v>Medium</x:v>
      </x:c>
      <x:c r="AJ235" s="32" t="str">
        <x:v>2026-07-12</x:v>
      </x:c>
    </x:row>
    <x:row r="236">
      <x:c r="A236" s="32" t="str">
        <x:v>Migration discovery and assessment</x:v>
      </x:c>
      <x:c r="B236" s="32" t="str">
        <x:v>09 Engineering, Operations &amp; Migration</x:v>
      </x:c>
      <x:c r="C236" s="32" t="str">
        <x:v>Migration, Modernisation &amp; Transformation</x:v>
      </x:c>
      <x:c r="D236" s="32" t="str">
        <x:v>Workload</x:v>
      </x:c>
      <x:c r="E236" s="32" t="str">
        <x:v>What business outcome, scale, control, integration and operating model justify choosing migration discovery and assessment?</x:v>
      </x:c>
      <x:c r="F236" s="32" t="str">
        <x:v>AWS Application Discovery Service
AWS Migration Hub</x:v>
      </x:c>
      <x:c r="G236" s="32" t="str">
        <x:v>Azure Migrate</x:v>
      </x:c>
      <x:c r="H236" s="32" t="str">
        <x:v>Migration Center</x:v>
      </x:c>
      <x:c r="I236" s="32" t="n">
        <x:v>4.2</x:v>
      </x:c>
      <x:c r="J236" s="32" t="n">
        <x:v>2.9</x:v>
      </x:c>
      <x:c r="K236" s="32" t="n">
        <x:v>4.4</x:v>
      </x:c>
      <x:c r="L236" s="32" t="n">
        <x:v>3.8</x:v>
      </x:c>
      <x:c r="M236" s="32" t="n">
        <x:v>3.5</x:v>
      </x:c>
      <x:c r="N236" s="32" t="n">
        <x:v>4.5</x:v>
      </x:c>
      <x:c r="O236" s="32" t="n">
        <x:v>3.6</x:v>
      </x:c>
      <x:c r="P236" s="32" t="n">
        <x:v>4</x:v>
      </x:c>
      <x:c r="Q236" s="32" t="n">
        <x:v>3</x:v>
      </x:c>
      <x:c r="R236" s="32" t="n">
        <x:v>4.5</x:v>
      </x:c>
      <x:c r="S236" s="32" t="n">
        <x:v>3.9</x:v>
      </x:c>
      <x:c r="T236" s="32" t="n">
        <x:v>3.5</x:v>
      </x:c>
      <x:c r="U236" s="32" t="n">
        <x:v>4.4</x:v>
      </x:c>
      <x:c r="V236" s="32" t="n">
        <x:v>3.8</x:v>
      </x:c>
      <x:c r="W236" s="32" t="n">
        <x:v>4</x:v>
      </x:c>
      <x:c r="X236" s="32" t="n">
        <x:v>3</x:v>
      </x:c>
      <x:c r="Y236" s="32" t="n">
        <x:v>4.2</x:v>
      </x:c>
      <x:c r="Z236" s="32" t="n">
        <x:v>4</x:v>
      </x:c>
      <x:c r="AA236" s="32" t="n">
        <x:v>3.5</x:v>
      </x:c>
      <x:c r="AB236" s="32" t="n">
        <x:v>4.3</x:v>
      </x:c>
      <x:c r="AC236" s="32" t="n">
        <x:v>3.9</x:v>
      </x:c>
      <x:c r="AD236" s="32" t="n">
        <x:f>ROUND((I236*'Criteria &amp; Scoring'!$B$5+J236*'Criteria &amp; Scoring'!$B$6+K236*'Criteria &amp; Scoring'!$B$7+L236*'Criteria &amp; Scoring'!$B$8+M236*'Criteria &amp; Scoring'!$B$9+N236*'Criteria &amp; Scoring'!$B$10+O236*'Criteria &amp; Scoring'!$B$11)/SUM('Criteria &amp; Scoring'!$B$5:$B$11),2)</x:f>
        <x:v>3.84</x:v>
      </x:c>
      <x:c r="AE236" s="32" t="n">
        <x:f>ROUND((P236*'Criteria &amp; Scoring'!$B$5+Q236*'Criteria &amp; Scoring'!$B$6+R236*'Criteria &amp; Scoring'!$B$7+S236*'Criteria &amp; Scoring'!$B$8+T236*'Criteria &amp; Scoring'!$B$9+U236*'Criteria &amp; Scoring'!$B$10+V236*'Criteria &amp; Scoring'!$B$11)/SUM('Criteria &amp; Scoring'!$B$5:$B$11),2)</x:f>
        <x:v>3.84</x:v>
      </x:c>
      <x:c r="AF236" s="32" t="n">
        <x:f>ROUND((W236*'Criteria &amp; Scoring'!$B$5+X236*'Criteria &amp; Scoring'!$B$6+Y236*'Criteria &amp; Scoring'!$B$7+Z236*'Criteria &amp; Scoring'!$B$8+AA236*'Criteria &amp; Scoring'!$B$9+AB236*'Criteria &amp; Scoring'!$B$10+AC236*'Criteria &amp; Scoring'!$B$11)/SUM('Criteria &amp; Scoring'!$B$5:$B$11),2)</x:f>
        <x:v>3.81</x:v>
      </x:c>
      <x:c r="AG236" s="32" t="str">
        <x:f>IF(LARGE(AD236:AF236,1)-LARGE(AD236:AF236,2)&lt;0.15,"Context-dependent tie",SUBSTITUTE(INDEX($AD$4:$AF$4,1,MATCH(MAX(AD236:AF236),AD236:AF236,0))," Overall",""))</x:f>
        <x:v>Context-dependent tie</x:v>
      </x:c>
      <x:c r="AH236" s="32" t="str">
        <x:f>IF(AG236="AWS","Start with AWS when infrastructure breadth, native integration and operational maturity are the main differentiators.",IF(AG236="Azure","Start with Azure when Microsoft identity, security, data, productivity or hybrid integration reduces delivery effort.",IF(AG236="GCP","Start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36" s="32" t="str">
        <x:v>Medium</x:v>
      </x:c>
      <x:c r="AJ236" s="32" t="str">
        <x:v>2026-07-12</x:v>
      </x:c>
    </x:row>
    <x:row r="237">
      <x:c r="A237" s="32" t="str">
        <x:v>Migration programme hub</x:v>
      </x:c>
      <x:c r="B237" s="32" t="str">
        <x:v>09 Engineering, Operations &amp; Migration</x:v>
      </x:c>
      <x:c r="C237" s="32" t="str">
        <x:v>Migration, Modernisation &amp; Transformation</x:v>
      </x:c>
      <x:c r="D237" s="32" t="str">
        <x:v>Workload</x:v>
      </x:c>
      <x:c r="E237" s="32" t="str">
        <x:v>What business outcome, scale, control, integration and operating model justify choosing migration programme hub?</x:v>
      </x:c>
      <x:c r="F237" s="32" t="str">
        <x:v>AWS Migration Hub</x:v>
      </x:c>
      <x:c r="G237" s="32" t="str">
        <x:v>Azure Migrate</x:v>
      </x:c>
      <x:c r="H237" s="32" t="str">
        <x:v>Migration Center</x:v>
      </x:c>
      <x:c r="I237" s="32" t="n">
        <x:v>4.3</x:v>
      </x:c>
      <x:c r="J237" s="32" t="n">
        <x:v>3</x:v>
      </x:c>
      <x:c r="K237" s="32" t="n">
        <x:v>4.5</x:v>
      </x:c>
      <x:c r="L237" s="32" t="n">
        <x:v>3.9</x:v>
      </x:c>
      <x:c r="M237" s="32" t="n">
        <x:v>3.5</x:v>
      </x:c>
      <x:c r="N237" s="32" t="n">
        <x:v>4.7</x:v>
      </x:c>
      <x:c r="O237" s="32" t="n">
        <x:v>3.7</x:v>
      </x:c>
      <x:c r="P237" s="32" t="n">
        <x:v>4</x:v>
      </x:c>
      <x:c r="Q237" s="32" t="n">
        <x:v>3</x:v>
      </x:c>
      <x:c r="R237" s="32" t="n">
        <x:v>4.5</x:v>
      </x:c>
      <x:c r="S237" s="32" t="n">
        <x:v>3.9</x:v>
      </x:c>
      <x:c r="T237" s="32" t="n">
        <x:v>3.5</x:v>
      </x:c>
      <x:c r="U237" s="32" t="n">
        <x:v>4.4</x:v>
      </x:c>
      <x:c r="V237" s="32" t="n">
        <x:v>3.8</x:v>
      </x:c>
      <x:c r="W237" s="32" t="n">
        <x:v>4</x:v>
      </x:c>
      <x:c r="X237" s="32" t="n">
        <x:v>3</x:v>
      </x:c>
      <x:c r="Y237" s="32" t="n">
        <x:v>4.2</x:v>
      </x:c>
      <x:c r="Z237" s="32" t="n">
        <x:v>4</x:v>
      </x:c>
      <x:c r="AA237" s="32" t="n">
        <x:v>3.5</x:v>
      </x:c>
      <x:c r="AB237" s="32" t="n">
        <x:v>4.3</x:v>
      </x:c>
      <x:c r="AC237" s="32" t="n">
        <x:v>3.9</x:v>
      </x:c>
      <x:c r="AD237" s="32" t="n">
        <x:f>ROUND((I237*'Criteria &amp; Scoring'!$B$5+J237*'Criteria &amp; Scoring'!$B$6+K237*'Criteria &amp; Scoring'!$B$7+L237*'Criteria &amp; Scoring'!$B$8+M237*'Criteria &amp; Scoring'!$B$9+N237*'Criteria &amp; Scoring'!$B$10+O237*'Criteria &amp; Scoring'!$B$11)/SUM('Criteria &amp; Scoring'!$B$5:$B$11),2)</x:f>
        <x:v>3.94</x:v>
      </x:c>
      <x:c r="AE237" s="32" t="n">
        <x:f>ROUND((P237*'Criteria &amp; Scoring'!$B$5+Q237*'Criteria &amp; Scoring'!$B$6+R237*'Criteria &amp; Scoring'!$B$7+S237*'Criteria &amp; Scoring'!$B$8+T237*'Criteria &amp; Scoring'!$B$9+U237*'Criteria &amp; Scoring'!$B$10+V237*'Criteria &amp; Scoring'!$B$11)/SUM('Criteria &amp; Scoring'!$B$5:$B$11),2)</x:f>
        <x:v>3.84</x:v>
      </x:c>
      <x:c r="AF237" s="32" t="n">
        <x:f>ROUND((W237*'Criteria &amp; Scoring'!$B$5+X237*'Criteria &amp; Scoring'!$B$6+Y237*'Criteria &amp; Scoring'!$B$7+Z237*'Criteria &amp; Scoring'!$B$8+AA237*'Criteria &amp; Scoring'!$B$9+AB237*'Criteria &amp; Scoring'!$B$10+AC237*'Criteria &amp; Scoring'!$B$11)/SUM('Criteria &amp; Scoring'!$B$5:$B$11),2)</x:f>
        <x:v>3.81</x:v>
      </x:c>
      <x:c r="AG237" s="32" t="str">
        <x:f>IF(LARGE(AD237:AF237,1)-LARGE(AD237:AF237,2)&lt;0.15,"Context-dependent tie",SUBSTITUTE(INDEX($AD$4:$AF$4,1,MATCH(MAX(AD237:AF237),AD237:AF237,0))," Overall",""))</x:f>
        <x:v>Context-dependent tie</x:v>
      </x:c>
      <x:c r="AH237" s="32" t="str">
        <x:f>IF(AG237="AWS","Start with AWS when infrastructure breadth, native integration and operational maturity are the main differentiators.",IF(AG237="Azure","Start with Azure when Microsoft identity, security, data, productivity or hybrid integration reduces delivery effort.",IF(AG237="GCP","Start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37" s="32" t="str">
        <x:v>Medium</x:v>
      </x:c>
      <x:c r="AJ237" s="32" t="str">
        <x:v>2026-07-12</x:v>
      </x:c>
    </x:row>
    <x:row r="238">
      <x:c r="A238" s="32" t="str">
        <x:v>Virtual-machine migration</x:v>
      </x:c>
      <x:c r="B238" s="32" t="str">
        <x:v>09 Engineering, Operations &amp; Migration</x:v>
      </x:c>
      <x:c r="C238" s="32" t="str">
        <x:v>Migration, Modernisation &amp; Transformation</x:v>
      </x:c>
      <x:c r="D238" s="32" t="str">
        <x:v>Workload</x:v>
      </x:c>
      <x:c r="E238" s="32" t="str">
        <x:v>What business outcome, scale, control, integration and operating model justify choosing virtual-machine migration?</x:v>
      </x:c>
      <x:c r="F238" s="32" t="str">
        <x:v>AWS Application Migration Service / AWS Transform MGN</x:v>
      </x:c>
      <x:c r="G238" s="32" t="str">
        <x:v>Azure Migrate: Server Migration</x:v>
      </x:c>
      <x:c r="H238" s="32" t="str">
        <x:v>Migrate to Virtual Machines</x:v>
      </x:c>
      <x:c r="I238" s="32" t="n">
        <x:v>4.4</x:v>
      </x:c>
      <x:c r="J238" s="32" t="n">
        <x:v>2.9</x:v>
      </x:c>
      <x:c r="K238" s="32" t="n">
        <x:v>4.5</x:v>
      </x:c>
      <x:c r="L238" s="32" t="n">
        <x:v>3.8</x:v>
      </x:c>
      <x:c r="M238" s="32" t="n">
        <x:v>3.5</x:v>
      </x:c>
      <x:c r="N238" s="32" t="n">
        <x:v>4.6</x:v>
      </x:c>
      <x:c r="O238" s="32" t="n">
        <x:v>3.6</x:v>
      </x:c>
      <x:c r="P238" s="32" t="n">
        <x:v>4.2</x:v>
      </x:c>
      <x:c r="Q238" s="32" t="n">
        <x:v>3</x:v>
      </x:c>
      <x:c r="R238" s="32" t="n">
        <x:v>4.5</x:v>
      </x:c>
      <x:c r="S238" s="32" t="n">
        <x:v>3.9</x:v>
      </x:c>
      <x:c r="T238" s="32" t="n">
        <x:v>3.5</x:v>
      </x:c>
      <x:c r="U238" s="32" t="n">
        <x:v>4.5</x:v>
      </x:c>
      <x:c r="V238" s="32" t="n">
        <x:v>3.8</x:v>
      </x:c>
      <x:c r="W238" s="32" t="n">
        <x:v>4.2</x:v>
      </x:c>
      <x:c r="X238" s="32" t="n">
        <x:v>3</x:v>
      </x:c>
      <x:c r="Y238" s="32" t="n">
        <x:v>4.2</x:v>
      </x:c>
      <x:c r="Z238" s="32" t="n">
        <x:v>4</x:v>
      </x:c>
      <x:c r="AA238" s="32" t="n">
        <x:v>3.5</x:v>
      </x:c>
      <x:c r="AB238" s="32" t="n">
        <x:v>4.4</x:v>
      </x:c>
      <x:c r="AC238" s="32" t="n">
        <x:v>3.9</x:v>
      </x:c>
      <x:c r="AD238" s="32" t="n">
        <x:f>ROUND((I238*'Criteria &amp; Scoring'!$B$5+J238*'Criteria &amp; Scoring'!$B$6+K238*'Criteria &amp; Scoring'!$B$7+L238*'Criteria &amp; Scoring'!$B$8+M238*'Criteria &amp; Scoring'!$B$9+N238*'Criteria &amp; Scoring'!$B$10+O238*'Criteria &amp; Scoring'!$B$11)/SUM('Criteria &amp; Scoring'!$B$5:$B$11),2)</x:f>
        <x:v>3.92</x:v>
      </x:c>
      <x:c r="AE238" s="32" t="n">
        <x:f>ROUND((P238*'Criteria &amp; Scoring'!$B$5+Q238*'Criteria &amp; Scoring'!$B$6+R238*'Criteria &amp; Scoring'!$B$7+S238*'Criteria &amp; Scoring'!$B$8+T238*'Criteria &amp; Scoring'!$B$9+U238*'Criteria &amp; Scoring'!$B$10+V238*'Criteria &amp; Scoring'!$B$11)/SUM('Criteria &amp; Scoring'!$B$5:$B$11),2)</x:f>
        <x:v>3.9</x:v>
      </x:c>
      <x:c r="AF238" s="32" t="n">
        <x:f>ROUND((W238*'Criteria &amp; Scoring'!$B$5+X238*'Criteria &amp; Scoring'!$B$6+Y238*'Criteria &amp; Scoring'!$B$7+Z238*'Criteria &amp; Scoring'!$B$8+AA238*'Criteria &amp; Scoring'!$B$9+AB238*'Criteria &amp; Scoring'!$B$10+AC238*'Criteria &amp; Scoring'!$B$11)/SUM('Criteria &amp; Scoring'!$B$5:$B$11),2)</x:f>
        <x:v>3.87</x:v>
      </x:c>
      <x:c r="AG238" s="32" t="str">
        <x:f>IF(LARGE(AD238:AF238,1)-LARGE(AD238:AF238,2)&lt;0.15,"Context-dependent tie",SUBSTITUTE(INDEX($AD$4:$AF$4,1,MATCH(MAX(AD238:AF238),AD238:AF238,0))," Overall",""))</x:f>
        <x:v>Context-dependent tie</x:v>
      </x:c>
      <x:c r="AH238" s="32" t="str">
        <x:f>IF(AG238="AWS","Start with AWS when infrastructure breadth, native integration and operational maturity are the main differentiators.",IF(AG238="Azure","Start with Azure when Microsoft identity, security, data, productivity or hybrid integration reduces delivery effort.",IF(AG238="GCP","Start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38" s="32" t="str">
        <x:v>High</x:v>
      </x:c>
      <x:c r="AJ238" s="32" t="str">
        <x:v>2026-07-12</x:v>
      </x:c>
    </x:row>
    <x:row r="239">
      <x:c r="A239" s="32" t="str">
        <x:v>Application modernisation</x:v>
      </x:c>
      <x:c r="B239" s="32" t="str">
        <x:v>09 Engineering, Operations &amp; Migration</x:v>
      </x:c>
      <x:c r="C239" s="32" t="str">
        <x:v>Migration, Modernisation &amp; Transformation</x:v>
      </x:c>
      <x:c r="D239" s="32" t="str">
        <x:v>Workload</x:v>
      </x:c>
      <x:c r="E239" s="32" t="str">
        <x:v>What business outcome, scale, control, integration and operating model justify choosing application modernisation?</x:v>
      </x:c>
      <x:c r="F239" s="32" t="str">
        <x:v>AWS Transform
AWS App2Container</x:v>
      </x:c>
      <x:c r="G239" s="32" t="str">
        <x:v>Azure Migrate
Azure App Service migration tools</x:v>
      </x:c>
      <x:c r="H239" s="32" t="str">
        <x:v>Migrate to Containers</x:v>
      </x:c>
      <x:c r="I239" s="32" t="n">
        <x:v>4.2</x:v>
      </x:c>
      <x:c r="J239" s="32" t="n">
        <x:v>2.9</x:v>
      </x:c>
      <x:c r="K239" s="32" t="n">
        <x:v>4.4</x:v>
      </x:c>
      <x:c r="L239" s="32" t="n">
        <x:v>3.8</x:v>
      </x:c>
      <x:c r="M239" s="32" t="n">
        <x:v>3.5</x:v>
      </x:c>
      <x:c r="N239" s="32" t="n">
        <x:v>4.5</x:v>
      </x:c>
      <x:c r="O239" s="32" t="n">
        <x:v>3.6</x:v>
      </x:c>
      <x:c r="P239" s="32" t="n">
        <x:v>3.9</x:v>
      </x:c>
      <x:c r="Q239" s="32" t="n">
        <x:v>2.9</x:v>
      </x:c>
      <x:c r="R239" s="32" t="n">
        <x:v>4.4</x:v>
      </x:c>
      <x:c r="S239" s="32" t="n">
        <x:v>3.8</x:v>
      </x:c>
      <x:c r="T239" s="32" t="n">
        <x:v>3.5</x:v>
      </x:c>
      <x:c r="U239" s="32" t="n">
        <x:v>4.3</x:v>
      </x:c>
      <x:c r="V239" s="32" t="n">
        <x:v>3.7</x:v>
      </x:c>
      <x:c r="W239" s="32" t="n">
        <x:v>4</x:v>
      </x:c>
      <x:c r="X239" s="32" t="n">
        <x:v>3</x:v>
      </x:c>
      <x:c r="Y239" s="32" t="n">
        <x:v>4.2</x:v>
      </x:c>
      <x:c r="Z239" s="32" t="n">
        <x:v>4</x:v>
      </x:c>
      <x:c r="AA239" s="32" t="n">
        <x:v>3.5</x:v>
      </x:c>
      <x:c r="AB239" s="32" t="n">
        <x:v>4.3</x:v>
      </x:c>
      <x:c r="AC239" s="32" t="n">
        <x:v>3.9</x:v>
      </x:c>
      <x:c r="AD239" s="32" t="n">
        <x:f>ROUND((I239*'Criteria &amp; Scoring'!$B$5+J239*'Criteria &amp; Scoring'!$B$6+K239*'Criteria &amp; Scoring'!$B$7+L239*'Criteria &amp; Scoring'!$B$8+M239*'Criteria &amp; Scoring'!$B$9+N239*'Criteria &amp; Scoring'!$B$10+O239*'Criteria &amp; Scoring'!$B$11)/SUM('Criteria &amp; Scoring'!$B$5:$B$11),2)</x:f>
        <x:v>3.84</x:v>
      </x:c>
      <x:c r="AE239" s="32" t="n">
        <x:f>ROUND((P239*'Criteria &amp; Scoring'!$B$5+Q239*'Criteria &amp; Scoring'!$B$6+R239*'Criteria &amp; Scoring'!$B$7+S239*'Criteria &amp; Scoring'!$B$8+T239*'Criteria &amp; Scoring'!$B$9+U239*'Criteria &amp; Scoring'!$B$10+V239*'Criteria &amp; Scoring'!$B$11)/SUM('Criteria &amp; Scoring'!$B$5:$B$11),2)</x:f>
        <x:v>3.75</x:v>
      </x:c>
      <x:c r="AF239" s="32" t="n">
        <x:f>ROUND((W239*'Criteria &amp; Scoring'!$B$5+X239*'Criteria &amp; Scoring'!$B$6+Y239*'Criteria &amp; Scoring'!$B$7+Z239*'Criteria &amp; Scoring'!$B$8+AA239*'Criteria &amp; Scoring'!$B$9+AB239*'Criteria &amp; Scoring'!$B$10+AC239*'Criteria &amp; Scoring'!$B$11)/SUM('Criteria &amp; Scoring'!$B$5:$B$11),2)</x:f>
        <x:v>3.81</x:v>
      </x:c>
      <x:c r="AG239" s="32" t="str">
        <x:f>IF(LARGE(AD239:AF239,1)-LARGE(AD239:AF239,2)&lt;0.15,"Context-dependent tie",SUBSTITUTE(INDEX($AD$4:$AF$4,1,MATCH(MAX(AD239:AF239),AD239:AF239,0))," Overall",""))</x:f>
        <x:v>Context-dependent tie</x:v>
      </x:c>
      <x:c r="AH239" s="32" t="str">
        <x:f>IF(AG239="AWS","Start with AWS when infrastructure breadth, native integration and operational maturity are the main differentiators.",IF(AG239="Azure","Start with Azure when Microsoft identity, security, data, productivity or hybrid integration reduces delivery effort.",IF(AG239="GCP","Start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39" s="32" t="str">
        <x:v>Medium</x:v>
      </x:c>
      <x:c r="AJ239" s="32" t="str">
        <x:v>2026-07-12</x:v>
      </x:c>
    </x:row>
    <x:row r="240">
      <x:c r="A240" s="32" t="str">
        <x:v>Mainframe modernisation</x:v>
      </x:c>
      <x:c r="B240" s="32" t="str">
        <x:v>09 Engineering, Operations &amp; Migration</x:v>
      </x:c>
      <x:c r="C240" s="32" t="str">
        <x:v>Migration, Modernisation &amp; Transformation</x:v>
      </x:c>
      <x:c r="D240" s="32" t="str">
        <x:v>Workload</x:v>
      </x:c>
      <x:c r="E240" s="32" t="str">
        <x:v>What business outcome, scale, control, integration and operating model justify choosing mainframe modernisation?</x:v>
      </x:c>
      <x:c r="F240" s="32" t="str">
        <x:v>AWS Mainframe Modernization Service
AWS Transform</x:v>
      </x:c>
      <x:c r="G240" s="32" t="str">
        <x:v>Azure Logic Apps mainframe connectors
partner mainframe services</x:v>
      </x:c>
      <x:c r="H240" s="32" t="str">
        <x:v>Mainframe Assessment Tool
Mainframe Connector
Dual Run</x:v>
      </x:c>
      <x:c r="I240" s="32" t="n">
        <x:v>3.8</x:v>
      </x:c>
      <x:c r="J240" s="32" t="n">
        <x:v>1.9</x:v>
      </x:c>
      <x:c r="K240" s="32" t="n">
        <x:v>4.2</x:v>
      </x:c>
      <x:c r="L240" s="32" t="n">
        <x:v>3.8</x:v>
      </x:c>
      <x:c r="M240" s="32" t="n">
        <x:v>3.5</x:v>
      </x:c>
      <x:c r="N240" s="32" t="n">
        <x:v>4.3</x:v>
      </x:c>
      <x:c r="O240" s="32" t="n">
        <x:v>3.3</x:v>
      </x:c>
      <x:c r="P240" s="32" t="n">
        <x:v>2.8</x:v>
      </x:c>
      <x:c r="Q240" s="32" t="n">
        <x:v>1.6</x:v>
      </x:c>
      <x:c r="R240" s="32" t="n">
        <x:v>3.8</x:v>
      </x:c>
      <x:c r="S240" s="32" t="n">
        <x:v>3.5</x:v>
      </x:c>
      <x:c r="T240" s="32" t="n">
        <x:v>3.3</x:v>
      </x:c>
      <x:c r="U240" s="32" t="n">
        <x:v>3.7</x:v>
      </x:c>
      <x:c r="V240" s="32" t="n">
        <x:v>3.2</x:v>
      </x:c>
      <x:c r="W240" s="32" t="n">
        <x:v>3.4</x:v>
      </x:c>
      <x:c r="X240" s="32" t="n">
        <x:v>1.9</x:v>
      </x:c>
      <x:c r="Y240" s="32" t="n">
        <x:v>4.1</x:v>
      </x:c>
      <x:c r="Z240" s="32" t="n">
        <x:v>3.9</x:v>
      </x:c>
      <x:c r="AA240" s="32" t="n">
        <x:v>3.5</x:v>
      </x:c>
      <x:c r="AB240" s="32" t="n">
        <x:v>4</x:v>
      </x:c>
      <x:c r="AC240" s="32" t="n">
        <x:v>3.4</x:v>
      </x:c>
      <x:c r="AD240" s="32" t="n">
        <x:f>ROUND((I240*'Criteria &amp; Scoring'!$B$5+J240*'Criteria &amp; Scoring'!$B$6+K240*'Criteria &amp; Scoring'!$B$7+L240*'Criteria &amp; Scoring'!$B$8+M240*'Criteria &amp; Scoring'!$B$9+N240*'Criteria &amp; Scoring'!$B$10+O240*'Criteria &amp; Scoring'!$B$11)/SUM('Criteria &amp; Scoring'!$B$5:$B$11),2)</x:f>
        <x:v>3.48</x:v>
      </x:c>
      <x:c r="AE240" s="32" t="n">
        <x:f>ROUND((P240*'Criteria &amp; Scoring'!$B$5+Q240*'Criteria &amp; Scoring'!$B$6+R240*'Criteria &amp; Scoring'!$B$7+S240*'Criteria &amp; Scoring'!$B$8+T240*'Criteria &amp; Scoring'!$B$9+U240*'Criteria &amp; Scoring'!$B$10+V240*'Criteria &amp; Scoring'!$B$11)/SUM('Criteria &amp; Scoring'!$B$5:$B$11),2)</x:f>
        <x:v>2.98</x:v>
      </x:c>
      <x:c r="AF240" s="32" t="n">
        <x:f>ROUND((W240*'Criteria &amp; Scoring'!$B$5+X240*'Criteria &amp; Scoring'!$B$6+Y240*'Criteria &amp; Scoring'!$B$7+Z240*'Criteria &amp; Scoring'!$B$8+AA240*'Criteria &amp; Scoring'!$B$9+AB240*'Criteria &amp; Scoring'!$B$10+AC240*'Criteria &amp; Scoring'!$B$11)/SUM('Criteria &amp; Scoring'!$B$5:$B$11),2)</x:f>
        <x:v>3.35</x:v>
      </x:c>
      <x:c r="AG240" s="32" t="str">
        <x:f>IF(LARGE(AD240:AF240,1)-LARGE(AD240:AF240,2)&lt;0.15,"Context-dependent tie",SUBSTITUTE(INDEX($AD$4:$AF$4,1,MATCH(MAX(AD240:AF240),AD240:AF240,0))," Overall",""))</x:f>
        <x:v>Context-dependent tie</x:v>
      </x:c>
      <x:c r="AH240" s="32" t="str">
        <x:f>IF(AG240="AWS","Start with AWS when infrastructure breadth, native integration and operational maturity are the main differentiators.",IF(AG240="Azure","Start with Azure when Microsoft identity, security, data, productivity or hybrid integration reduces delivery effort.",IF(AG240="GCP","Start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40" s="32" t="str">
        <x:v>Low</x:v>
      </x:c>
      <x:c r="AJ240" s="32" t="str">
        <x:v>2026-07-12</x:v>
      </x:c>
    </x:row>
    <x:row r="241">
      <x:c r="A241" s="32" t="str">
        <x:v>Managed file transfer</x:v>
      </x:c>
      <x:c r="B241" s="32" t="str">
        <x:v>09 Engineering, Operations &amp; Migration</x:v>
      </x:c>
      <x:c r="C241" s="32" t="str">
        <x:v>Migration, Modernisation &amp; Transformation</x:v>
      </x:c>
      <x:c r="D241" s="32" t="str">
        <x:v>Workload</x:v>
      </x:c>
      <x:c r="E241" s="32" t="str">
        <x:v>What business outcome, scale, control, integration and operating model justify choosing managed file transfer?</x:v>
      </x:c>
      <x:c r="F241" s="32" t="str">
        <x:v>AWS Transfer Family</x:v>
      </x:c>
      <x:c r="G241" s="32" t="str">
        <x:v>Azure Storage SFTP</x:v>
      </x:c>
      <x:c r="H241" s="32" t="str">
        <x:v>Storage Transfer Service / partner SFTP</x:v>
      </x:c>
      <x:c r="I241" s="32" t="n">
        <x:v>3.9</x:v>
      </x:c>
      <x:c r="J241" s="32" t="n">
        <x:v>3</x:v>
      </x:c>
      <x:c r="K241" s="32" t="n">
        <x:v>4.3</x:v>
      </x:c>
      <x:c r="L241" s="32" t="n">
        <x:v>3.9</x:v>
      </x:c>
      <x:c r="M241" s="32" t="n">
        <x:v>3.5</x:v>
      </x:c>
      <x:c r="N241" s="32" t="n">
        <x:v>4.4</x:v>
      </x:c>
      <x:c r="O241" s="32" t="n">
        <x:v>3.7</x:v>
      </x:c>
      <x:c r="P241" s="32" t="n">
        <x:v>3.5</x:v>
      </x:c>
      <x:c r="Q241" s="32" t="n">
        <x:v>3</x:v>
      </x:c>
      <x:c r="R241" s="32" t="n">
        <x:v>4.2</x:v>
      </x:c>
      <x:c r="S241" s="32" t="n">
        <x:v>3.9</x:v>
      </x:c>
      <x:c r="T241" s="32" t="n">
        <x:v>3.5</x:v>
      </x:c>
      <x:c r="U241" s="32" t="n">
        <x:v>4.2</x:v>
      </x:c>
      <x:c r="V241" s="32" t="n">
        <x:v>3.8</x:v>
      </x:c>
      <x:c r="W241" s="32" t="n">
        <x:v>2.8</x:v>
      </x:c>
      <x:c r="X241" s="32" t="n">
        <x:v>2.6</x:v>
      </x:c>
      <x:c r="Y241" s="32" t="n">
        <x:v>3.5</x:v>
      </x:c>
      <x:c r="Z241" s="32" t="n">
        <x:v>3.6</x:v>
      </x:c>
      <x:c r="AA241" s="32" t="n">
        <x:v>3.3</x:v>
      </x:c>
      <x:c r="AB241" s="32" t="n">
        <x:v>3.6</x:v>
      </x:c>
      <x:c r="AC241" s="32" t="n">
        <x:v>3.6</x:v>
      </x:c>
      <x:c r="AD241" s="32" t="n">
        <x:f>ROUND((I241*'Criteria &amp; Scoring'!$B$5+J241*'Criteria &amp; Scoring'!$B$6+K241*'Criteria &amp; Scoring'!$B$7+L241*'Criteria &amp; Scoring'!$B$8+M241*'Criteria &amp; Scoring'!$B$9+N241*'Criteria &amp; Scoring'!$B$10+O241*'Criteria &amp; Scoring'!$B$11)/SUM('Criteria &amp; Scoring'!$B$5:$B$11),2)</x:f>
        <x:v>3.78</x:v>
      </x:c>
      <x:c r="AE241" s="32" t="n">
        <x:f>ROUND((P241*'Criteria &amp; Scoring'!$B$5+Q241*'Criteria &amp; Scoring'!$B$6+R241*'Criteria &amp; Scoring'!$B$7+S241*'Criteria &amp; Scoring'!$B$8+T241*'Criteria &amp; Scoring'!$B$9+U241*'Criteria &amp; Scoring'!$B$10+V241*'Criteria &amp; Scoring'!$B$11)/SUM('Criteria &amp; Scoring'!$B$5:$B$11),2)</x:f>
        <x:v>3.65</x:v>
      </x:c>
      <x:c r="AF241" s="32" t="n">
        <x:f>ROUND((W241*'Criteria &amp; Scoring'!$B$5+X241*'Criteria &amp; Scoring'!$B$6+Y241*'Criteria &amp; Scoring'!$B$7+Z241*'Criteria &amp; Scoring'!$B$8+AA241*'Criteria &amp; Scoring'!$B$9+AB241*'Criteria &amp; Scoring'!$B$10+AC241*'Criteria &amp; Scoring'!$B$11)/SUM('Criteria &amp; Scoring'!$B$5:$B$11),2)</x:f>
        <x:v>3.16</x:v>
      </x:c>
      <x:c r="AG241" s="32" t="str">
        <x:f>IF(LARGE(AD241:AF241,1)-LARGE(AD241:AF241,2)&lt;0.15,"Context-dependent tie",SUBSTITUTE(INDEX($AD$4:$AF$4,1,MATCH(MAX(AD241:AF241),AD241:AF241,0))," Overall",""))</x:f>
        <x:v>Context-dependent tie</x:v>
      </x:c>
      <x:c r="AH241" s="32" t="str">
        <x:f>IF(AG241="AWS","Start with AWS when infrastructure breadth, native integration and operational maturity are the main differentiators.",IF(AG241="Azure","Start with Azure when Microsoft identity, security, data, productivity or hybrid integration reduces delivery effort.",IF(AG241="GCP","Start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41" s="32" t="str">
        <x:v>Low</x:v>
      </x:c>
      <x:c r="AJ241" s="32" t="str">
        <x:v>2026-07-12</x:v>
      </x:c>
    </x:row>
    <x:row r="242">
      <x:c r="A242" s="32" t="str">
        <x:v>Cross-cloud data movement</x:v>
      </x:c>
      <x:c r="B242" s="32" t="str">
        <x:v>09 Engineering, Operations &amp; Migration</x:v>
      </x:c>
      <x:c r="C242" s="32" t="str">
        <x:v>Migration, Modernisation &amp; Transformation</x:v>
      </x:c>
      <x:c r="D242" s="32" t="str">
        <x:v>Workload</x:v>
      </x:c>
      <x:c r="E242" s="32" t="str">
        <x:v>What business outcome, scale, control, integration and operating model justify choosing cross-cloud data movement?</x:v>
      </x:c>
      <x:c r="F242" s="32" t="str">
        <x:v>AWS DataSync</x:v>
      </x:c>
      <x:c r="G242" s="32" t="str">
        <x:v>Azure Data Factory
Azure Storage Mover</x:v>
      </x:c>
      <x:c r="H242" s="32" t="str">
        <x:v>Storage Transfer Service
Data Transfer Essentials</x:v>
      </x:c>
      <x:c r="I242" s="32" t="n">
        <x:v>4.3</x:v>
      </x:c>
      <x:c r="J242" s="32" t="n">
        <x:v>3</x:v>
      </x:c>
      <x:c r="K242" s="32" t="n">
        <x:v>4.5</x:v>
      </x:c>
      <x:c r="L242" s="32" t="n">
        <x:v>3.9</x:v>
      </x:c>
      <x:c r="M242" s="32" t="n">
        <x:v>3.5</x:v>
      </x:c>
      <x:c r="N242" s="32" t="n">
        <x:v>4.7</x:v>
      </x:c>
      <x:c r="O242" s="32" t="n">
        <x:v>3.7</x:v>
      </x:c>
      <x:c r="P242" s="32" t="n">
        <x:v>3.9</x:v>
      </x:c>
      <x:c r="Q242" s="32" t="n">
        <x:v>2.9</x:v>
      </x:c>
      <x:c r="R242" s="32" t="n">
        <x:v>4.4</x:v>
      </x:c>
      <x:c r="S242" s="32" t="n">
        <x:v>3.8</x:v>
      </x:c>
      <x:c r="T242" s="32" t="n">
        <x:v>3.5</x:v>
      </x:c>
      <x:c r="U242" s="32" t="n">
        <x:v>4.3</x:v>
      </x:c>
      <x:c r="V242" s="32" t="n">
        <x:v>3.7</x:v>
      </x:c>
      <x:c r="W242" s="32" t="n">
        <x:v>3.9</x:v>
      </x:c>
      <x:c r="X242" s="32" t="n">
        <x:v>2.9</x:v>
      </x:c>
      <x:c r="Y242" s="32" t="n">
        <x:v>4.3</x:v>
      </x:c>
      <x:c r="Z242" s="32" t="n">
        <x:v>3.9</x:v>
      </x:c>
      <x:c r="AA242" s="32" t="n">
        <x:v>3.5</x:v>
      </x:c>
      <x:c r="AB242" s="32" t="n">
        <x:v>4.2</x:v>
      </x:c>
      <x:c r="AC242" s="32" t="n">
        <x:v>3.8</x:v>
      </x:c>
      <x:c r="AD242" s="32" t="n">
        <x:f>ROUND((I242*'Criteria &amp; Scoring'!$B$5+J242*'Criteria &amp; Scoring'!$B$6+K242*'Criteria &amp; Scoring'!$B$7+L242*'Criteria &amp; Scoring'!$B$8+M242*'Criteria &amp; Scoring'!$B$9+N242*'Criteria &amp; Scoring'!$B$10+O242*'Criteria &amp; Scoring'!$B$11)/SUM('Criteria &amp; Scoring'!$B$5:$B$11),2)</x:f>
        <x:v>3.94</x:v>
      </x:c>
      <x:c r="AE242" s="32" t="n">
        <x:f>ROUND((P242*'Criteria &amp; Scoring'!$B$5+Q242*'Criteria &amp; Scoring'!$B$6+R242*'Criteria &amp; Scoring'!$B$7+S242*'Criteria &amp; Scoring'!$B$8+T242*'Criteria &amp; Scoring'!$B$9+U242*'Criteria &amp; Scoring'!$B$10+V242*'Criteria &amp; Scoring'!$B$11)/SUM('Criteria &amp; Scoring'!$B$5:$B$11),2)</x:f>
        <x:v>3.75</x:v>
      </x:c>
      <x:c r="AF242" s="32" t="n">
        <x:f>ROUND((W242*'Criteria &amp; Scoring'!$B$5+X242*'Criteria &amp; Scoring'!$B$6+Y242*'Criteria &amp; Scoring'!$B$7+Z242*'Criteria &amp; Scoring'!$B$8+AA242*'Criteria &amp; Scoring'!$B$9+AB242*'Criteria &amp; Scoring'!$B$10+AC242*'Criteria &amp; Scoring'!$B$11)/SUM('Criteria &amp; Scoring'!$B$5:$B$11),2)</x:f>
        <x:v>3.74</x:v>
      </x:c>
      <x:c r="AG242" s="32" t="str">
        <x:f>IF(LARGE(AD242:AF242,1)-LARGE(AD242:AF242,2)&lt;0.15,"Context-dependent tie",SUBSTITUTE(INDEX($AD$4:$AF$4,1,MATCH(MAX(AD242:AF242),AD242:AF242,0))," Overall",""))</x:f>
        <x:v>AWS</x:v>
      </x:c>
      <x:c r="AH242" s="32" t="str">
        <x:f>IF(AG242="AWS","Start with AWS when infrastructure breadth, native integration and operational maturity are the main differentiators.",IF(AG242="Azure","Start with Azure when Microsoft identity, security, data, productivity or hybrid integration reduces delivery effort.",IF(AG242="GCP","Start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242" s="32" t="str">
        <x:v>Medium</x:v>
      </x:c>
      <x:c r="AJ242" s="32" t="str">
        <x:v>2026-07-12</x:v>
      </x:c>
    </x:row>
    <x:row r="243">
      <x:c r="A243" s="32" t="str">
        <x:v>Cloud resource relocation</x:v>
      </x:c>
      <x:c r="B243" s="32" t="str">
        <x:v>09 Engineering, Operations &amp; Migration</x:v>
      </x:c>
      <x:c r="C243" s="32" t="str">
        <x:v>Migration, Modernisation &amp; Transformation</x:v>
      </x:c>
      <x:c r="D243" s="32" t="str">
        <x:v>Workload</x:v>
      </x:c>
      <x:c r="E243" s="32" t="str">
        <x:v>What business outcome, scale, control, integration and operating model justify choosing cloud resource relocation?</x:v>
      </x:c>
      <x:c r="F243" s="32" t="str">
        <x:v>AWS Application Migration Service / service-specific replication</x:v>
      </x:c>
      <x:c r="G243" s="32" t="str">
        <x:v>Azure Resource Mover</x:v>
      </x:c>
      <x:c r="H243" s="32" t="str">
        <x:v>Migrate to Virtual Machines / service-specific replication</x:v>
      </x:c>
      <x:c r="I243" s="32" t="n">
        <x:v>3.2</x:v>
      </x:c>
      <x:c r="J243" s="32" t="n">
        <x:v>2.6</x:v>
      </x:c>
      <x:c r="K243" s="32" t="n">
        <x:v>3.9</x:v>
      </x:c>
      <x:c r="L243" s="32" t="n">
        <x:v>3.5</x:v>
      </x:c>
      <x:c r="M243" s="32" t="n">
        <x:v>3.3</x:v>
      </x:c>
      <x:c r="N243" s="32" t="n">
        <x:v>3.9</x:v>
      </x:c>
      <x:c r="O243" s="32" t="n">
        <x:v>3.5</x:v>
      </x:c>
      <x:c r="P243" s="32" t="n">
        <x:v>3.5</x:v>
      </x:c>
      <x:c r="Q243" s="32" t="n">
        <x:v>3</x:v>
      </x:c>
      <x:c r="R243" s="32" t="n">
        <x:v>4.2</x:v>
      </x:c>
      <x:c r="S243" s="32" t="n">
        <x:v>3.9</x:v>
      </x:c>
      <x:c r="T243" s="32" t="n">
        <x:v>3.5</x:v>
      </x:c>
      <x:c r="U243" s="32" t="n">
        <x:v>4.2</x:v>
      </x:c>
      <x:c r="V243" s="32" t="n">
        <x:v>3.8</x:v>
      </x:c>
      <x:c r="W243" s="32" t="n">
        <x:v>2.8</x:v>
      </x:c>
      <x:c r="X243" s="32" t="n">
        <x:v>2.6</x:v>
      </x:c>
      <x:c r="Y243" s="32" t="n">
        <x:v>3.5</x:v>
      </x:c>
      <x:c r="Z243" s="32" t="n">
        <x:v>3.6</x:v>
      </x:c>
      <x:c r="AA243" s="32" t="n">
        <x:v>3.3</x:v>
      </x:c>
      <x:c r="AB243" s="32" t="n">
        <x:v>3.6</x:v>
      </x:c>
      <x:c r="AC243" s="32" t="n">
        <x:v>3.6</x:v>
      </x:c>
      <x:c r="AD243" s="32" t="n">
        <x:f>ROUND((I243*'Criteria &amp; Scoring'!$B$5+J243*'Criteria &amp; Scoring'!$B$6+K243*'Criteria &amp; Scoring'!$B$7+L243*'Criteria &amp; Scoring'!$B$8+M243*'Criteria &amp; Scoring'!$B$9+N243*'Criteria &amp; Scoring'!$B$10+O243*'Criteria &amp; Scoring'!$B$11)/SUM('Criteria &amp; Scoring'!$B$5:$B$11),2)</x:f>
        <x:v>3.33</x:v>
      </x:c>
      <x:c r="AE243" s="32" t="n">
        <x:f>ROUND((P243*'Criteria &amp; Scoring'!$B$5+Q243*'Criteria &amp; Scoring'!$B$6+R243*'Criteria &amp; Scoring'!$B$7+S243*'Criteria &amp; Scoring'!$B$8+T243*'Criteria &amp; Scoring'!$B$9+U243*'Criteria &amp; Scoring'!$B$10+V243*'Criteria &amp; Scoring'!$B$11)/SUM('Criteria &amp; Scoring'!$B$5:$B$11),2)</x:f>
        <x:v>3.65</x:v>
      </x:c>
      <x:c r="AF243" s="32" t="n">
        <x:f>ROUND((W243*'Criteria &amp; Scoring'!$B$5+X243*'Criteria &amp; Scoring'!$B$6+Y243*'Criteria &amp; Scoring'!$B$7+Z243*'Criteria &amp; Scoring'!$B$8+AA243*'Criteria &amp; Scoring'!$B$9+AB243*'Criteria &amp; Scoring'!$B$10+AC243*'Criteria &amp; Scoring'!$B$11)/SUM('Criteria &amp; Scoring'!$B$5:$B$11),2)</x:f>
        <x:v>3.16</x:v>
      </x:c>
      <x:c r="AG243" s="32" t="str">
        <x:f>IF(LARGE(AD243:AF243,1)-LARGE(AD243:AF243,2)&lt;0.15,"Context-dependent tie",SUBSTITUTE(INDEX($AD$4:$AF$4,1,MATCH(MAX(AD243:AF243),AD243:AF243,0))," Overall",""))</x:f>
        <x:v>Azure</x:v>
      </x:c>
      <x:c r="AH243" s="32" t="str">
        <x:f>IF(AG243="AWS","Start with AWS when infrastructure breadth, native integration and operational maturity are the main differentiators.",IF(AG243="Azure","Start with Azure when Microsoft identity, security, data, productivity or hybrid integration reduces delivery effort.",IF(AG243="GCP","Start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243" s="32" t="str">
        <x:v>Low</x:v>
      </x:c>
      <x:c r="AJ243" s="32" t="str">
        <x:v>2026-07-12</x:v>
      </x:c>
    </x:row>
    <x:row r="244">
      <x:c r="A244" s="32" t="str">
        <x:v>Managed IoT messaging</x:v>
      </x:c>
      <x:c r="B244" s="32" t="str">
        <x:v>10 Edge, IoT &amp; Industry</x:v>
      </x:c>
      <x:c r="C244" s="32" t="str">
        <x:v>IoT, Devices &amp; Industrial Edge</x:v>
      </x:c>
      <x:c r="D244" s="32" t="str">
        <x:v>Specialist</x:v>
      </x:c>
      <x:c r="E244" s="32" t="str">
        <x:v>What business outcome, scale, control, integration and operating model justify choosing managed iot messaging?</x:v>
      </x:c>
      <x:c r="F244" s="32" t="str">
        <x:v>AWS IoT Core</x:v>
      </x:c>
      <x:c r="G244" s="32" t="str">
        <x:v>Azure IoT Hub</x:v>
      </x:c>
      <x:c r="H244" s="32" t="str">
        <x:v>Google Cloud partner IoT platforms
Pub/Sub</x:v>
      </x:c>
      <x:c r="I244" s="32" t="n">
        <x:v>4.3</x:v>
      </x:c>
      <x:c r="J244" s="32" t="n">
        <x:v>3.2</x:v>
      </x:c>
      <x:c r="K244" s="32" t="n">
        <x:v>4.1</x:v>
      </x:c>
      <x:c r="L244" s="32" t="n">
        <x:v>3.9</x:v>
      </x:c>
      <x:c r="M244" s="32" t="n">
        <x:v>3.5</x:v>
      </x:c>
      <x:c r="N244" s="32" t="n">
        <x:v>4.3</x:v>
      </x:c>
      <x:c r="O244" s="32" t="n">
        <x:v>3.7</x:v>
      </x:c>
      <x:c r="P244" s="32" t="n">
        <x:v>3.5</x:v>
      </x:c>
      <x:c r="Q244" s="32" t="n">
        <x:v>3</x:v>
      </x:c>
      <x:c r="R244" s="32" t="n">
        <x:v>4.2</x:v>
      </x:c>
      <x:c r="S244" s="32" t="n">
        <x:v>3.9</x:v>
      </x:c>
      <x:c r="T244" s="32" t="n">
        <x:v>3.5</x:v>
      </x:c>
      <x:c r="U244" s="32" t="n">
        <x:v>4.2</x:v>
      </x:c>
      <x:c r="V244" s="32" t="n">
        <x:v>3.8</x:v>
      </x:c>
      <x:c r="W244" s="32" t="n">
        <x:v>2.8</x:v>
      </x:c>
      <x:c r="X244" s="32" t="n">
        <x:v>2.1</x:v>
      </x:c>
      <x:c r="Y244" s="32" t="n">
        <x:v>3.5</x:v>
      </x:c>
      <x:c r="Z244" s="32" t="n">
        <x:v>3.6</x:v>
      </x:c>
      <x:c r="AA244" s="32" t="n">
        <x:v>3.3</x:v>
      </x:c>
      <x:c r="AB244" s="32" t="n">
        <x:v>3.6</x:v>
      </x:c>
      <x:c r="AC244" s="32" t="n">
        <x:v>3.6</x:v>
      </x:c>
      <x:c r="AD244" s="32" t="n">
        <x:f>ROUND((I244*'Criteria &amp; Scoring'!$B$5+J244*'Criteria &amp; Scoring'!$B$6+K244*'Criteria &amp; Scoring'!$B$7+L244*'Criteria &amp; Scoring'!$B$8+M244*'Criteria &amp; Scoring'!$B$9+N244*'Criteria &amp; Scoring'!$B$10+O244*'Criteria &amp; Scoring'!$B$11)/SUM('Criteria &amp; Scoring'!$B$5:$B$11),2)</x:f>
        <x:v>3.88</x:v>
      </x:c>
      <x:c r="AE244" s="32" t="n">
        <x:f>ROUND((P244*'Criteria &amp; Scoring'!$B$5+Q244*'Criteria &amp; Scoring'!$B$6+R244*'Criteria &amp; Scoring'!$B$7+S244*'Criteria &amp; Scoring'!$B$8+T244*'Criteria &amp; Scoring'!$B$9+U244*'Criteria &amp; Scoring'!$B$10+V244*'Criteria &amp; Scoring'!$B$11)/SUM('Criteria &amp; Scoring'!$B$5:$B$11),2)</x:f>
        <x:v>3.65</x:v>
      </x:c>
      <x:c r="AF244" s="32" t="n">
        <x:f>ROUND((W244*'Criteria &amp; Scoring'!$B$5+X244*'Criteria &amp; Scoring'!$B$6+Y244*'Criteria &amp; Scoring'!$B$7+Z244*'Criteria &amp; Scoring'!$B$8+AA244*'Criteria &amp; Scoring'!$B$9+AB244*'Criteria &amp; Scoring'!$B$10+AC244*'Criteria &amp; Scoring'!$B$11)/SUM('Criteria &amp; Scoring'!$B$5:$B$11),2)</x:f>
        <x:v>3.06</x:v>
      </x:c>
      <x:c r="AG244" s="32" t="str">
        <x:f>IF(LARGE(AD244:AF244,1)-LARGE(AD244:AF244,2)&lt;0.15,"Context-dependent tie",SUBSTITUTE(INDEX($AD$4:$AF$4,1,MATCH(MAX(AD244:AF244),AD244:AF244,0))," Overall",""))</x:f>
        <x:v>AWS</x:v>
      </x:c>
      <x:c r="AH244" s="32" t="str">
        <x:f>IF(AG244="AWS","Start with AWS when infrastructure breadth, native integration and operational maturity are the main differentiators.",IF(AG244="Azure","Start with Azure when Microsoft identity, security, data, productivity or hybrid integration reduces delivery effort.",IF(AG244="GCP","Start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244" s="32" t="str">
        <x:v>Low</x:v>
      </x:c>
      <x:c r="AJ244" s="32" t="str">
        <x:v>2026-07-12</x:v>
      </x:c>
    </x:row>
    <x:row r="245">
      <x:c r="A245" s="32" t="str">
        <x:v>IoT device management</x:v>
      </x:c>
      <x:c r="B245" s="32" t="str">
        <x:v>10 Edge, IoT &amp; Industry</x:v>
      </x:c>
      <x:c r="C245" s="32" t="str">
        <x:v>IoT, Devices &amp; Industrial Edge</x:v>
      </x:c>
      <x:c r="D245" s="32" t="str">
        <x:v>Specialist</x:v>
      </x:c>
      <x:c r="E245" s="32" t="str">
        <x:v>What business outcome, scale, control, integration and operating model justify choosing iot device management?</x:v>
      </x:c>
      <x:c r="F245" s="32" t="str">
        <x:v>AWS IoT Device Management</x:v>
      </x:c>
      <x:c r="G245" s="32" t="str">
        <x:v>Azure IoT Hub Device Provisioning Service</x:v>
      </x:c>
      <x:c r="H245" s="32" t="str">
        <x:v>Google Cloud partner IoT platforms</x:v>
      </x:c>
      <x:c r="I245" s="32" t="n">
        <x:v>4</x:v>
      </x:c>
      <x:c r="J245" s="32" t="n">
        <x:v>3</x:v>
      </x:c>
      <x:c r="K245" s="32" t="n">
        <x:v>4.1</x:v>
      </x:c>
      <x:c r="L245" s="32" t="n">
        <x:v>3.9</x:v>
      </x:c>
      <x:c r="M245" s="32" t="n">
        <x:v>3.5</x:v>
      </x:c>
      <x:c r="N245" s="32" t="n">
        <x:v>4.3</x:v>
      </x:c>
      <x:c r="O245" s="32" t="n">
        <x:v>3.7</x:v>
      </x:c>
      <x:c r="P245" s="32" t="n">
        <x:v>3.5</x:v>
      </x:c>
      <x:c r="Q245" s="32" t="n">
        <x:v>3</x:v>
      </x:c>
      <x:c r="R245" s="32" t="n">
        <x:v>4.2</x:v>
      </x:c>
      <x:c r="S245" s="32" t="n">
        <x:v>3.9</x:v>
      </x:c>
      <x:c r="T245" s="32" t="n">
        <x:v>3.5</x:v>
      </x:c>
      <x:c r="U245" s="32" t="n">
        <x:v>4.2</x:v>
      </x:c>
      <x:c r="V245" s="32" t="n">
        <x:v>3.8</x:v>
      </x:c>
      <x:c r="W245" s="32" t="n">
        <x:v>2.8</x:v>
      </x:c>
      <x:c r="X245" s="32" t="n">
        <x:v>2.1</x:v>
      </x:c>
      <x:c r="Y245" s="32" t="n">
        <x:v>3.5</x:v>
      </x:c>
      <x:c r="Z245" s="32" t="n">
        <x:v>3.6</x:v>
      </x:c>
      <x:c r="AA245" s="32" t="n">
        <x:v>3.3</x:v>
      </x:c>
      <x:c r="AB245" s="32" t="n">
        <x:v>3.6</x:v>
      </x:c>
      <x:c r="AC245" s="32" t="n">
        <x:v>3.6</x:v>
      </x:c>
      <x:c r="AD245" s="32" t="n">
        <x:f>ROUND((I245*'Criteria &amp; Scoring'!$B$5+J245*'Criteria &amp; Scoring'!$B$6+K245*'Criteria &amp; Scoring'!$B$7+L245*'Criteria &amp; Scoring'!$B$8+M245*'Criteria &amp; Scoring'!$B$9+N245*'Criteria &amp; Scoring'!$B$10+O245*'Criteria &amp; Scoring'!$B$11)/SUM('Criteria &amp; Scoring'!$B$5:$B$11),2)</x:f>
        <x:v>3.77</x:v>
      </x:c>
      <x:c r="AE245" s="32" t="n">
        <x:f>ROUND((P245*'Criteria &amp; Scoring'!$B$5+Q245*'Criteria &amp; Scoring'!$B$6+R245*'Criteria &amp; Scoring'!$B$7+S245*'Criteria &amp; Scoring'!$B$8+T245*'Criteria &amp; Scoring'!$B$9+U245*'Criteria &amp; Scoring'!$B$10+V245*'Criteria &amp; Scoring'!$B$11)/SUM('Criteria &amp; Scoring'!$B$5:$B$11),2)</x:f>
        <x:v>3.65</x:v>
      </x:c>
      <x:c r="AF245" s="32" t="n">
        <x:f>ROUND((W245*'Criteria &amp; Scoring'!$B$5+X245*'Criteria &amp; Scoring'!$B$6+Y245*'Criteria &amp; Scoring'!$B$7+Z245*'Criteria &amp; Scoring'!$B$8+AA245*'Criteria &amp; Scoring'!$B$9+AB245*'Criteria &amp; Scoring'!$B$10+AC245*'Criteria &amp; Scoring'!$B$11)/SUM('Criteria &amp; Scoring'!$B$5:$B$11),2)</x:f>
        <x:v>3.06</x:v>
      </x:c>
      <x:c r="AG245" s="32" t="str">
        <x:f>IF(LARGE(AD245:AF245,1)-LARGE(AD245:AF245,2)&lt;0.15,"Context-dependent tie",SUBSTITUTE(INDEX($AD$4:$AF$4,1,MATCH(MAX(AD245:AF245),AD245:AF245,0))," Overall",""))</x:f>
        <x:v>Context-dependent tie</x:v>
      </x:c>
      <x:c r="AH245" s="32" t="str">
        <x:f>IF(AG245="AWS","Start with AWS when infrastructure breadth, native integration and operational maturity are the main differentiators.",IF(AG245="Azure","Start with Azure when Microsoft identity, security, data, productivity or hybrid integration reduces delivery effort.",IF(AG245="GCP","Start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45" s="32" t="str">
        <x:v>Low</x:v>
      </x:c>
      <x:c r="AJ245" s="32" t="str">
        <x:v>2026-07-12</x:v>
      </x:c>
    </x:row>
    <x:row r="246">
      <x:c r="A246" s="32" t="str">
        <x:v>IoT security monitoring</x:v>
      </x:c>
      <x:c r="B246" s="32" t="str">
        <x:v>10 Edge, IoT &amp; Industry</x:v>
      </x:c>
      <x:c r="C246" s="32" t="str">
        <x:v>IoT, Devices &amp; Industrial Edge</x:v>
      </x:c>
      <x:c r="D246" s="32" t="str">
        <x:v>Specialist</x:v>
      </x:c>
      <x:c r="E246" s="32" t="str">
        <x:v>What business outcome, scale, control, integration and operating model justify choosing iot security monitoring?</x:v>
      </x:c>
      <x:c r="F246" s="32" t="str">
        <x:v>AWS IoT Device Defender</x:v>
      </x:c>
      <x:c r="G246" s="32" t="str">
        <x:v>Microsoft Defender for IoT</x:v>
      </x:c>
      <x:c r="H246" s="32" t="str">
        <x:v>Security Command Center / partner IoT security</x:v>
      </x:c>
      <x:c r="I246" s="32" t="n">
        <x:v>4</x:v>
      </x:c>
      <x:c r="J246" s="32" t="n">
        <x:v>3</x:v>
      </x:c>
      <x:c r="K246" s="32" t="n">
        <x:v>4.1</x:v>
      </x:c>
      <x:c r="L246" s="32" t="n">
        <x:v>3.9</x:v>
      </x:c>
      <x:c r="M246" s="32" t="n">
        <x:v>3.5</x:v>
      </x:c>
      <x:c r="N246" s="32" t="n">
        <x:v>4.3</x:v>
      </x:c>
      <x:c r="O246" s="32" t="n">
        <x:v>3.7</x:v>
      </x:c>
      <x:c r="P246" s="32" t="n">
        <x:v>3.5</x:v>
      </x:c>
      <x:c r="Q246" s="32" t="n">
        <x:v>3</x:v>
      </x:c>
      <x:c r="R246" s="32" t="n">
        <x:v>4.5</x:v>
      </x:c>
      <x:c r="S246" s="32" t="n">
        <x:v>3.9</x:v>
      </x:c>
      <x:c r="T246" s="32" t="n">
        <x:v>3.5</x:v>
      </x:c>
      <x:c r="U246" s="32" t="n">
        <x:v>4.4</x:v>
      </x:c>
      <x:c r="V246" s="32" t="n">
        <x:v>3.8</x:v>
      </x:c>
      <x:c r="W246" s="32" t="n">
        <x:v>2.8</x:v>
      </x:c>
      <x:c r="X246" s="32" t="n">
        <x:v>2.1</x:v>
      </x:c>
      <x:c r="Y246" s="32" t="n">
        <x:v>3.5</x:v>
      </x:c>
      <x:c r="Z246" s="32" t="n">
        <x:v>3.6</x:v>
      </x:c>
      <x:c r="AA246" s="32" t="n">
        <x:v>3.3</x:v>
      </x:c>
      <x:c r="AB246" s="32" t="n">
        <x:v>3.6</x:v>
      </x:c>
      <x:c r="AC246" s="32" t="n">
        <x:v>3.6</x:v>
      </x:c>
      <x:c r="AD246" s="32" t="n">
        <x:f>ROUND((I246*'Criteria &amp; Scoring'!$B$5+J246*'Criteria &amp; Scoring'!$B$6+K246*'Criteria &amp; Scoring'!$B$7+L246*'Criteria &amp; Scoring'!$B$8+M246*'Criteria &amp; Scoring'!$B$9+N246*'Criteria &amp; Scoring'!$B$10+O246*'Criteria &amp; Scoring'!$B$11)/SUM('Criteria &amp; Scoring'!$B$5:$B$11),2)</x:f>
        <x:v>3.77</x:v>
      </x:c>
      <x:c r="AE246" s="32" t="n">
        <x:f>ROUND((P246*'Criteria &amp; Scoring'!$B$5+Q246*'Criteria &amp; Scoring'!$B$6+R246*'Criteria &amp; Scoring'!$B$7+S246*'Criteria &amp; Scoring'!$B$8+T246*'Criteria &amp; Scoring'!$B$9+U246*'Criteria &amp; Scoring'!$B$10+V246*'Criteria &amp; Scoring'!$B$11)/SUM('Criteria &amp; Scoring'!$B$5:$B$11),2)</x:f>
        <x:v>3.72</x:v>
      </x:c>
      <x:c r="AF246" s="32" t="n">
        <x:f>ROUND((W246*'Criteria &amp; Scoring'!$B$5+X246*'Criteria &amp; Scoring'!$B$6+Y246*'Criteria &amp; Scoring'!$B$7+Z246*'Criteria &amp; Scoring'!$B$8+AA246*'Criteria &amp; Scoring'!$B$9+AB246*'Criteria &amp; Scoring'!$B$10+AC246*'Criteria &amp; Scoring'!$B$11)/SUM('Criteria &amp; Scoring'!$B$5:$B$11),2)</x:f>
        <x:v>3.06</x:v>
      </x:c>
      <x:c r="AG246" s="32" t="str">
        <x:f>IF(LARGE(AD246:AF246,1)-LARGE(AD246:AF246,2)&lt;0.15,"Context-dependent tie",SUBSTITUTE(INDEX($AD$4:$AF$4,1,MATCH(MAX(AD246:AF246),AD246:AF246,0))," Overall",""))</x:f>
        <x:v>Context-dependent tie</x:v>
      </x:c>
      <x:c r="AH246" s="32" t="str">
        <x:f>IF(AG246="AWS","Start with AWS when infrastructure breadth, native integration and operational maturity are the main differentiators.",IF(AG246="Azure","Start with Azure when Microsoft identity, security, data, productivity or hybrid integration reduces delivery effort.",IF(AG246="GCP","Start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46" s="32" t="str">
        <x:v>Low</x:v>
      </x:c>
      <x:c r="AJ246" s="32" t="str">
        <x:v>2026-07-12</x:v>
      </x:c>
    </x:row>
    <x:row r="247">
      <x:c r="A247" s="32" t="str">
        <x:v>IoT edge runtime</x:v>
      </x:c>
      <x:c r="B247" s="32" t="str">
        <x:v>10 Edge, IoT &amp; Industry</x:v>
      </x:c>
      <x:c r="C247" s="32" t="str">
        <x:v>IoT, Devices &amp; Industrial Edge</x:v>
      </x:c>
      <x:c r="D247" s="32" t="str">
        <x:v>Specialist</x:v>
      </x:c>
      <x:c r="E247" s="32" t="str">
        <x:v>What business outcome, scale, control, integration and operating model justify choosing iot edge runtime?</x:v>
      </x:c>
      <x:c r="F247" s="32" t="str">
        <x:v>AWS IoT Greengrass</x:v>
      </x:c>
      <x:c r="G247" s="32" t="str">
        <x:v>Azure IoT Edge</x:v>
      </x:c>
      <x:c r="H247" s="32" t="str">
        <x:v>Google Distributed Cloud Edge / partner runtimes</x:v>
      </x:c>
      <x:c r="I247" s="32" t="n">
        <x:v>4</x:v>
      </x:c>
      <x:c r="J247" s="32" t="n">
        <x:v>3</x:v>
      </x:c>
      <x:c r="K247" s="32" t="n">
        <x:v>4.1</x:v>
      </x:c>
      <x:c r="L247" s="32" t="n">
        <x:v>3.9</x:v>
      </x:c>
      <x:c r="M247" s="32" t="n">
        <x:v>3.5</x:v>
      </x:c>
      <x:c r="N247" s="32" t="n">
        <x:v>4.3</x:v>
      </x:c>
      <x:c r="O247" s="32" t="n">
        <x:v>3.7</x:v>
      </x:c>
      <x:c r="P247" s="32" t="n">
        <x:v>3.5</x:v>
      </x:c>
      <x:c r="Q247" s="32" t="n">
        <x:v>3</x:v>
      </x:c>
      <x:c r="R247" s="32" t="n">
        <x:v>4.2</x:v>
      </x:c>
      <x:c r="S247" s="32" t="n">
        <x:v>3.9</x:v>
      </x:c>
      <x:c r="T247" s="32" t="n">
        <x:v>3.5</x:v>
      </x:c>
      <x:c r="U247" s="32" t="n">
        <x:v>4.2</x:v>
      </x:c>
      <x:c r="V247" s="32" t="n">
        <x:v>3.8</x:v>
      </x:c>
      <x:c r="W247" s="32" t="n">
        <x:v>2.8</x:v>
      </x:c>
      <x:c r="X247" s="32" t="n">
        <x:v>2.1</x:v>
      </x:c>
      <x:c r="Y247" s="32" t="n">
        <x:v>3.5</x:v>
      </x:c>
      <x:c r="Z247" s="32" t="n">
        <x:v>3.6</x:v>
      </x:c>
      <x:c r="AA247" s="32" t="n">
        <x:v>3.3</x:v>
      </x:c>
      <x:c r="AB247" s="32" t="n">
        <x:v>3.6</x:v>
      </x:c>
      <x:c r="AC247" s="32" t="n">
        <x:v>3.6</x:v>
      </x:c>
      <x:c r="AD247" s="32" t="n">
        <x:f>ROUND((I247*'Criteria &amp; Scoring'!$B$5+J247*'Criteria &amp; Scoring'!$B$6+K247*'Criteria &amp; Scoring'!$B$7+L247*'Criteria &amp; Scoring'!$B$8+M247*'Criteria &amp; Scoring'!$B$9+N247*'Criteria &amp; Scoring'!$B$10+O247*'Criteria &amp; Scoring'!$B$11)/SUM('Criteria &amp; Scoring'!$B$5:$B$11),2)</x:f>
        <x:v>3.77</x:v>
      </x:c>
      <x:c r="AE247" s="32" t="n">
        <x:f>ROUND((P247*'Criteria &amp; Scoring'!$B$5+Q247*'Criteria &amp; Scoring'!$B$6+R247*'Criteria &amp; Scoring'!$B$7+S247*'Criteria &amp; Scoring'!$B$8+T247*'Criteria &amp; Scoring'!$B$9+U247*'Criteria &amp; Scoring'!$B$10+V247*'Criteria &amp; Scoring'!$B$11)/SUM('Criteria &amp; Scoring'!$B$5:$B$11),2)</x:f>
        <x:v>3.65</x:v>
      </x:c>
      <x:c r="AF247" s="32" t="n">
        <x:f>ROUND((W247*'Criteria &amp; Scoring'!$B$5+X247*'Criteria &amp; Scoring'!$B$6+Y247*'Criteria &amp; Scoring'!$B$7+Z247*'Criteria &amp; Scoring'!$B$8+AA247*'Criteria &amp; Scoring'!$B$9+AB247*'Criteria &amp; Scoring'!$B$10+AC247*'Criteria &amp; Scoring'!$B$11)/SUM('Criteria &amp; Scoring'!$B$5:$B$11),2)</x:f>
        <x:v>3.06</x:v>
      </x:c>
      <x:c r="AG247" s="32" t="str">
        <x:f>IF(LARGE(AD247:AF247,1)-LARGE(AD247:AF247,2)&lt;0.15,"Context-dependent tie",SUBSTITUTE(INDEX($AD$4:$AF$4,1,MATCH(MAX(AD247:AF247),AD247:AF247,0))," Overall",""))</x:f>
        <x:v>Context-dependent tie</x:v>
      </x:c>
      <x:c r="AH247" s="32" t="str">
        <x:f>IF(AG247="AWS","Start with AWS when infrastructure breadth, native integration and operational maturity are the main differentiators.",IF(AG247="Azure","Start with Azure when Microsoft identity, security, data, productivity or hybrid integration reduces delivery effort.",IF(AG247="GCP","Start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47" s="32" t="str">
        <x:v>Low</x:v>
      </x:c>
      <x:c r="AJ247" s="32" t="str">
        <x:v>2026-07-12</x:v>
      </x:c>
    </x:row>
    <x:row r="248">
      <x:c r="A248" s="32" t="str">
        <x:v>Digital twin platform</x:v>
      </x:c>
      <x:c r="B248" s="32" t="str">
        <x:v>10 Edge, IoT &amp; Industry</x:v>
      </x:c>
      <x:c r="C248" s="32" t="str">
        <x:v>IoT, Devices &amp; Industrial Edge</x:v>
      </x:c>
      <x:c r="D248" s="32" t="str">
        <x:v>Platform</x:v>
      </x:c>
      <x:c r="E248" s="32" t="str">
        <x:v>What business outcome, scale, control, integration and operating model justify choosing digital twin platform?</x:v>
      </x:c>
      <x:c r="F248" s="32" t="str">
        <x:v>AWS IoT TwinMaker</x:v>
      </x:c>
      <x:c r="G248" s="32" t="str">
        <x:v>Azure Digital Twins</x:v>
      </x:c>
      <x:c r="H248" s="32" t="str">
        <x:v>Manufacturing Data Engine / partner digital twins</x:v>
      </x:c>
      <x:c r="I248" s="32" t="n">
        <x:v>4</x:v>
      </x:c>
      <x:c r="J248" s="32" t="n">
        <x:v>3</x:v>
      </x:c>
      <x:c r="K248" s="32" t="n">
        <x:v>4.1</x:v>
      </x:c>
      <x:c r="L248" s="32" t="n">
        <x:v>3.9</x:v>
      </x:c>
      <x:c r="M248" s="32" t="n">
        <x:v>3.5</x:v>
      </x:c>
      <x:c r="N248" s="32" t="n">
        <x:v>4.3</x:v>
      </x:c>
      <x:c r="O248" s="32" t="n">
        <x:v>3.7</x:v>
      </x:c>
      <x:c r="P248" s="32" t="n">
        <x:v>3.5</x:v>
      </x:c>
      <x:c r="Q248" s="32" t="n">
        <x:v>3</x:v>
      </x:c>
      <x:c r="R248" s="32" t="n">
        <x:v>4.2</x:v>
      </x:c>
      <x:c r="S248" s="32" t="n">
        <x:v>3.9</x:v>
      </x:c>
      <x:c r="T248" s="32" t="n">
        <x:v>3.5</x:v>
      </x:c>
      <x:c r="U248" s="32" t="n">
        <x:v>4.2</x:v>
      </x:c>
      <x:c r="V248" s="32" t="n">
        <x:v>3.8</x:v>
      </x:c>
      <x:c r="W248" s="32" t="n">
        <x:v>2.8</x:v>
      </x:c>
      <x:c r="X248" s="32" t="n">
        <x:v>2.1</x:v>
      </x:c>
      <x:c r="Y248" s="32" t="n">
        <x:v>3.5</x:v>
      </x:c>
      <x:c r="Z248" s="32" t="n">
        <x:v>3.6</x:v>
      </x:c>
      <x:c r="AA248" s="32" t="n">
        <x:v>3.3</x:v>
      </x:c>
      <x:c r="AB248" s="32" t="n">
        <x:v>3.6</x:v>
      </x:c>
      <x:c r="AC248" s="32" t="n">
        <x:v>3.6</x:v>
      </x:c>
      <x:c r="AD248" s="32" t="n">
        <x:f>ROUND((I248*'Criteria &amp; Scoring'!$B$5+J248*'Criteria &amp; Scoring'!$B$6+K248*'Criteria &amp; Scoring'!$B$7+L248*'Criteria &amp; Scoring'!$B$8+M248*'Criteria &amp; Scoring'!$B$9+N248*'Criteria &amp; Scoring'!$B$10+O248*'Criteria &amp; Scoring'!$B$11)/SUM('Criteria &amp; Scoring'!$B$5:$B$11),2)</x:f>
        <x:v>3.77</x:v>
      </x:c>
      <x:c r="AE248" s="32" t="n">
        <x:f>ROUND((P248*'Criteria &amp; Scoring'!$B$5+Q248*'Criteria &amp; Scoring'!$B$6+R248*'Criteria &amp; Scoring'!$B$7+S248*'Criteria &amp; Scoring'!$B$8+T248*'Criteria &amp; Scoring'!$B$9+U248*'Criteria &amp; Scoring'!$B$10+V248*'Criteria &amp; Scoring'!$B$11)/SUM('Criteria &amp; Scoring'!$B$5:$B$11),2)</x:f>
        <x:v>3.65</x:v>
      </x:c>
      <x:c r="AF248" s="32" t="n">
        <x:f>ROUND((W248*'Criteria &amp; Scoring'!$B$5+X248*'Criteria &amp; Scoring'!$B$6+Y248*'Criteria &amp; Scoring'!$B$7+Z248*'Criteria &amp; Scoring'!$B$8+AA248*'Criteria &amp; Scoring'!$B$9+AB248*'Criteria &amp; Scoring'!$B$10+AC248*'Criteria &amp; Scoring'!$B$11)/SUM('Criteria &amp; Scoring'!$B$5:$B$11),2)</x:f>
        <x:v>3.06</x:v>
      </x:c>
      <x:c r="AG248" s="32" t="str">
        <x:f>IF(LARGE(AD248:AF248,1)-LARGE(AD248:AF248,2)&lt;0.15,"Context-dependent tie",SUBSTITUTE(INDEX($AD$4:$AF$4,1,MATCH(MAX(AD248:AF248),AD248:AF248,0))," Overall",""))</x:f>
        <x:v>Context-dependent tie</x:v>
      </x:c>
      <x:c r="AH248" s="32" t="str">
        <x:f>IF(AG248="AWS","Start with AWS when infrastructure breadth, native integration and operational maturity are the main differentiators.",IF(AG248="Azure","Start with Azure when Microsoft identity, security, data, productivity or hybrid integration reduces delivery effort.",IF(AG248="GCP","Start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48" s="32" t="str">
        <x:v>Low</x:v>
      </x:c>
      <x:c r="AJ248" s="32" t="str">
        <x:v>2026-07-12</x:v>
      </x:c>
    </x:row>
    <x:row r="249">
      <x:c r="A249" s="32" t="str">
        <x:v>Industrial equipment data platform</x:v>
      </x:c>
      <x:c r="B249" s="32" t="str">
        <x:v>10 Edge, IoT &amp; Industry</x:v>
      </x:c>
      <x:c r="C249" s="32" t="str">
        <x:v>IoT, Devices &amp; Industrial Edge</x:v>
      </x:c>
      <x:c r="D249" s="32" t="str">
        <x:v>Platform</x:v>
      </x:c>
      <x:c r="E249" s="32" t="str">
        <x:v>What business outcome, scale, control, integration and operating model justify choosing industrial equipment data platform?</x:v>
      </x:c>
      <x:c r="F249" s="32" t="str">
        <x:v>AWS IoT SiteWise
Amazon Monitron</x:v>
      </x:c>
      <x:c r="G249" s="32" t="str">
        <x:v>Azure IoT Operations</x:v>
      </x:c>
      <x:c r="H249" s="32" t="str">
        <x:v>Manufacturing Data Engine</x:v>
      </x:c>
      <x:c r="I249" s="32" t="n">
        <x:v>4.3</x:v>
      </x:c>
      <x:c r="J249" s="32" t="n">
        <x:v>2.9</x:v>
      </x:c>
      <x:c r="K249" s="32" t="n">
        <x:v>4.2</x:v>
      </x:c>
      <x:c r="L249" s="32" t="n">
        <x:v>3.8</x:v>
      </x:c>
      <x:c r="M249" s="32" t="n">
        <x:v>3.5</x:v>
      </x:c>
      <x:c r="N249" s="32" t="n">
        <x:v>4.4</x:v>
      </x:c>
      <x:c r="O249" s="32" t="n">
        <x:v>3.6</x:v>
      </x:c>
      <x:c r="P249" s="32" t="n">
        <x:v>4</x:v>
      </x:c>
      <x:c r="Q249" s="32" t="n">
        <x:v>3</x:v>
      </x:c>
      <x:c r="R249" s="32" t="n">
        <x:v>4.5</x:v>
      </x:c>
      <x:c r="S249" s="32" t="n">
        <x:v>3.9</x:v>
      </x:c>
      <x:c r="T249" s="32" t="n">
        <x:v>3.5</x:v>
      </x:c>
      <x:c r="U249" s="32" t="n">
        <x:v>4.4</x:v>
      </x:c>
      <x:c r="V249" s="32" t="n">
        <x:v>3.8</x:v>
      </x:c>
      <x:c r="W249" s="32" t="n">
        <x:v>4</x:v>
      </x:c>
      <x:c r="X249" s="32" t="n">
        <x:v>2.5</x:v>
      </x:c>
      <x:c r="Y249" s="32" t="n">
        <x:v>4.4</x:v>
      </x:c>
      <x:c r="Z249" s="32" t="n">
        <x:v>4</x:v>
      </x:c>
      <x:c r="AA249" s="32" t="n">
        <x:v>3.5</x:v>
      </x:c>
      <x:c r="AB249" s="32" t="n">
        <x:v>4.3</x:v>
      </x:c>
      <x:c r="AC249" s="32" t="n">
        <x:v>3.9</x:v>
      </x:c>
      <x:c r="AD249" s="32" t="n">
        <x:f>ROUND((I249*'Criteria &amp; Scoring'!$B$5+J249*'Criteria &amp; Scoring'!$B$6+K249*'Criteria &amp; Scoring'!$B$7+L249*'Criteria &amp; Scoring'!$B$8+M249*'Criteria &amp; Scoring'!$B$9+N249*'Criteria &amp; Scoring'!$B$10+O249*'Criteria &amp; Scoring'!$B$11)/SUM('Criteria &amp; Scoring'!$B$5:$B$11),2)</x:f>
        <x:v>3.83</x:v>
      </x:c>
      <x:c r="AE249" s="32" t="n">
        <x:f>ROUND((P249*'Criteria &amp; Scoring'!$B$5+Q249*'Criteria &amp; Scoring'!$B$6+R249*'Criteria &amp; Scoring'!$B$7+S249*'Criteria &amp; Scoring'!$B$8+T249*'Criteria &amp; Scoring'!$B$9+U249*'Criteria &amp; Scoring'!$B$10+V249*'Criteria &amp; Scoring'!$B$11)/SUM('Criteria &amp; Scoring'!$B$5:$B$11),2)</x:f>
        <x:v>3.84</x:v>
      </x:c>
      <x:c r="AF249" s="32" t="n">
        <x:f>ROUND((W249*'Criteria &amp; Scoring'!$B$5+X249*'Criteria &amp; Scoring'!$B$6+Y249*'Criteria &amp; Scoring'!$B$7+Z249*'Criteria &amp; Scoring'!$B$8+AA249*'Criteria &amp; Scoring'!$B$9+AB249*'Criteria &amp; Scoring'!$B$10+AC249*'Criteria &amp; Scoring'!$B$11)/SUM('Criteria &amp; Scoring'!$B$5:$B$11),2)</x:f>
        <x:v>3.74</x:v>
      </x:c>
      <x:c r="AG249" s="32" t="str">
        <x:f>IF(LARGE(AD249:AF249,1)-LARGE(AD249:AF249,2)&lt;0.15,"Context-dependent tie",SUBSTITUTE(INDEX($AD$4:$AF$4,1,MATCH(MAX(AD249:AF249),AD249:AF249,0))," Overall",""))</x:f>
        <x:v>Context-dependent tie</x:v>
      </x:c>
      <x:c r="AH249" s="32" t="str">
        <x:f>IF(AG249="AWS","Start with AWS when infrastructure breadth, native integration and operational maturity are the main differentiators.",IF(AG249="Azure","Start with Azure when Microsoft identity, security, data, productivity or hybrid integration reduces delivery effort.",IF(AG249="GCP","Start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49" s="32" t="str">
        <x:v>Medium</x:v>
      </x:c>
      <x:c r="AJ249" s="32" t="str">
        <x:v>2026-07-12</x:v>
      </x:c>
    </x:row>
    <x:row r="250">
      <x:c r="A250" s="32" t="str">
        <x:v>Connected vehicle data</x:v>
      </x:c>
      <x:c r="B250" s="32" t="str">
        <x:v>10 Edge, IoT &amp; Industry</x:v>
      </x:c>
      <x:c r="C250" s="32" t="str">
        <x:v>IoT, Devices &amp; Industrial Edge</x:v>
      </x:c>
      <x:c r="D250" s="32" t="str">
        <x:v>Specialist</x:v>
      </x:c>
      <x:c r="E250" s="32" t="str">
        <x:v>What business outcome, scale, control, integration and operating model justify choosing connected vehicle data?</x:v>
      </x:c>
      <x:c r="F250" s="32" t="str">
        <x:v>AWS IoT FleetWise</x:v>
      </x:c>
      <x:c r="G250" s="32" t="str">
        <x:v>Azure Data Manager for Agriculture / mobility partner solutions</x:v>
      </x:c>
      <x:c r="H250" s="32" t="str">
        <x:v>Fleet Routing / partner automotive solutions</x:v>
      </x:c>
      <x:c r="I250" s="32" t="n">
        <x:v>4</x:v>
      </x:c>
      <x:c r="J250" s="32" t="n">
        <x:v>3</x:v>
      </x:c>
      <x:c r="K250" s="32" t="n">
        <x:v>4.1</x:v>
      </x:c>
      <x:c r="L250" s="32" t="n">
        <x:v>3.9</x:v>
      </x:c>
      <x:c r="M250" s="32" t="n">
        <x:v>3.5</x:v>
      </x:c>
      <x:c r="N250" s="32" t="n">
        <x:v>4.3</x:v>
      </x:c>
      <x:c r="O250" s="32" t="n">
        <x:v>3.7</x:v>
      </x:c>
      <x:c r="P250" s="32" t="n">
        <x:v>2.8</x:v>
      </x:c>
      <x:c r="Q250" s="32" t="n">
        <x:v>2.6</x:v>
      </x:c>
      <x:c r="R250" s="32" t="n">
        <x:v>3.8</x:v>
      </x:c>
      <x:c r="S250" s="32" t="n">
        <x:v>3.5</x:v>
      </x:c>
      <x:c r="T250" s="32" t="n">
        <x:v>3.3</x:v>
      </x:c>
      <x:c r="U250" s="32" t="n">
        <x:v>3.7</x:v>
      </x:c>
      <x:c r="V250" s="32" t="n">
        <x:v>3.6</x:v>
      </x:c>
      <x:c r="W250" s="32" t="n">
        <x:v>2.8</x:v>
      </x:c>
      <x:c r="X250" s="32" t="n">
        <x:v>2.1</x:v>
      </x:c>
      <x:c r="Y250" s="32" t="n">
        <x:v>3.8</x:v>
      </x:c>
      <x:c r="Z250" s="32" t="n">
        <x:v>3.6</x:v>
      </x:c>
      <x:c r="AA250" s="32" t="n">
        <x:v>3.3</x:v>
      </x:c>
      <x:c r="AB250" s="32" t="n">
        <x:v>3.6</x:v>
      </x:c>
      <x:c r="AC250" s="32" t="n">
        <x:v>3.6</x:v>
      </x:c>
      <x:c r="AD250" s="32" t="n">
        <x:f>ROUND((I250*'Criteria &amp; Scoring'!$B$5+J250*'Criteria &amp; Scoring'!$B$6+K250*'Criteria &amp; Scoring'!$B$7+L250*'Criteria &amp; Scoring'!$B$8+M250*'Criteria &amp; Scoring'!$B$9+N250*'Criteria &amp; Scoring'!$B$10+O250*'Criteria &amp; Scoring'!$B$11)/SUM('Criteria &amp; Scoring'!$B$5:$B$11),2)</x:f>
        <x:v>3.77</x:v>
      </x:c>
      <x:c r="AE250" s="32" t="n">
        <x:f>ROUND((P250*'Criteria &amp; Scoring'!$B$5+Q250*'Criteria &amp; Scoring'!$B$6+R250*'Criteria &amp; Scoring'!$B$7+S250*'Criteria &amp; Scoring'!$B$8+T250*'Criteria &amp; Scoring'!$B$9+U250*'Criteria &amp; Scoring'!$B$10+V250*'Criteria &amp; Scoring'!$B$11)/SUM('Criteria &amp; Scoring'!$B$5:$B$11),2)</x:f>
        <x:v>3.2</x:v>
      </x:c>
      <x:c r="AF250" s="32" t="n">
        <x:f>ROUND((W250*'Criteria &amp; Scoring'!$B$5+X250*'Criteria &amp; Scoring'!$B$6+Y250*'Criteria &amp; Scoring'!$B$7+Z250*'Criteria &amp; Scoring'!$B$8+AA250*'Criteria &amp; Scoring'!$B$9+AB250*'Criteria &amp; Scoring'!$B$10+AC250*'Criteria &amp; Scoring'!$B$11)/SUM('Criteria &amp; Scoring'!$B$5:$B$11),2)</x:f>
        <x:v>3.1</x:v>
      </x:c>
      <x:c r="AG250" s="32" t="str">
        <x:f>IF(LARGE(AD250:AF250,1)-LARGE(AD250:AF250,2)&lt;0.15,"Context-dependent tie",SUBSTITUTE(INDEX($AD$4:$AF$4,1,MATCH(MAX(AD250:AF250),AD250:AF250,0))," Overall",""))</x:f>
        <x:v>AWS</x:v>
      </x:c>
      <x:c r="AH250" s="32" t="str">
        <x:f>IF(AG250="AWS","Start with AWS when infrastructure breadth, native integration and operational maturity are the main differentiators.",IF(AG250="Azure","Start with Azure when Microsoft identity, security, data, productivity or hybrid integration reduces delivery effort.",IF(AG250="GCP","Start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250" s="32" t="str">
        <x:v>Low</x:v>
      </x:c>
      <x:c r="AJ250" s="32" t="str">
        <x:v>2026-07-12</x:v>
      </x:c>
    </x:row>
    <x:row r="251">
      <x:c r="A251" s="32" t="str">
        <x:v>IoT event detection</x:v>
      </x:c>
      <x:c r="B251" s="32" t="str">
        <x:v>10 Edge, IoT &amp; Industry</x:v>
      </x:c>
      <x:c r="C251" s="32" t="str">
        <x:v>IoT, Devices &amp; Industrial Edge</x:v>
      </x:c>
      <x:c r="D251" s="32" t="str">
        <x:v>Specialist</x:v>
      </x:c>
      <x:c r="E251" s="32" t="str">
        <x:v>What business outcome, scale, control, integration and operating model justify choosing iot event detection?</x:v>
      </x:c>
      <x:c r="F251" s="32" t="str">
        <x:v>AWS IoT Events</x:v>
      </x:c>
      <x:c r="G251" s="32" t="str">
        <x:v>Azure Stream Analytics
Azure IoT Operations</x:v>
      </x:c>
      <x:c r="H251" s="32" t="str">
        <x:v>Dataflow
Pub/Sub</x:v>
      </x:c>
      <x:c r="I251" s="32" t="n">
        <x:v>4</x:v>
      </x:c>
      <x:c r="J251" s="32" t="n">
        <x:v>3</x:v>
      </x:c>
      <x:c r="K251" s="32" t="n">
        <x:v>4.1</x:v>
      </x:c>
      <x:c r="L251" s="32" t="n">
        <x:v>3.9</x:v>
      </x:c>
      <x:c r="M251" s="32" t="n">
        <x:v>3.5</x:v>
      </x:c>
      <x:c r="N251" s="32" t="n">
        <x:v>4.3</x:v>
      </x:c>
      <x:c r="O251" s="32" t="n">
        <x:v>3.7</x:v>
      </x:c>
      <x:c r="P251" s="32" t="n">
        <x:v>3.4</x:v>
      </x:c>
      <x:c r="Q251" s="32" t="n">
        <x:v>2.9</x:v>
      </x:c>
      <x:c r="R251" s="32" t="n">
        <x:v>4.1</x:v>
      </x:c>
      <x:c r="S251" s="32" t="n">
        <x:v>3.8</x:v>
      </x:c>
      <x:c r="T251" s="32" t="n">
        <x:v>3.5</x:v>
      </x:c>
      <x:c r="U251" s="32" t="n">
        <x:v>4.1</x:v>
      </x:c>
      <x:c r="V251" s="32" t="n">
        <x:v>3.7</x:v>
      </x:c>
      <x:c r="W251" s="32" t="n">
        <x:v>3.4</x:v>
      </x:c>
      <x:c r="X251" s="32" t="n">
        <x:v>2.4</x:v>
      </x:c>
      <x:c r="Y251" s="32" t="n">
        <x:v>3.8</x:v>
      </x:c>
      <x:c r="Z251" s="32" t="n">
        <x:v>3.9</x:v>
      </x:c>
      <x:c r="AA251" s="32" t="n">
        <x:v>3.5</x:v>
      </x:c>
      <x:c r="AB251" s="32" t="n">
        <x:v>4</x:v>
      </x:c>
      <x:c r="AC251" s="32" t="n">
        <x:v>3.8</x:v>
      </x:c>
      <x:c r="AD251" s="32" t="n">
        <x:f>ROUND((I251*'Criteria &amp; Scoring'!$B$5+J251*'Criteria &amp; Scoring'!$B$6+K251*'Criteria &amp; Scoring'!$B$7+L251*'Criteria &amp; Scoring'!$B$8+M251*'Criteria &amp; Scoring'!$B$9+N251*'Criteria &amp; Scoring'!$B$10+O251*'Criteria &amp; Scoring'!$B$11)/SUM('Criteria &amp; Scoring'!$B$5:$B$11),2)</x:f>
        <x:v>3.77</x:v>
      </x:c>
      <x:c r="AE251" s="32" t="n">
        <x:f>ROUND((P251*'Criteria &amp; Scoring'!$B$5+Q251*'Criteria &amp; Scoring'!$B$6+R251*'Criteria &amp; Scoring'!$B$7+S251*'Criteria &amp; Scoring'!$B$8+T251*'Criteria &amp; Scoring'!$B$9+U251*'Criteria &amp; Scoring'!$B$10+V251*'Criteria &amp; Scoring'!$B$11)/SUM('Criteria &amp; Scoring'!$B$5:$B$11),2)</x:f>
        <x:v>3.56</x:v>
      </x:c>
      <x:c r="AF251" s="32" t="n">
        <x:f>ROUND((W251*'Criteria &amp; Scoring'!$B$5+X251*'Criteria &amp; Scoring'!$B$6+Y251*'Criteria &amp; Scoring'!$B$7+Z251*'Criteria &amp; Scoring'!$B$8+AA251*'Criteria &amp; Scoring'!$B$9+AB251*'Criteria &amp; Scoring'!$B$10+AC251*'Criteria &amp; Scoring'!$B$11)/SUM('Criteria &amp; Scoring'!$B$5:$B$11),2)</x:f>
        <x:v>3.43</x:v>
      </x:c>
      <x:c r="AG251" s="32" t="str">
        <x:f>IF(LARGE(AD251:AF251,1)-LARGE(AD251:AF251,2)&lt;0.15,"Context-dependent tie",SUBSTITUTE(INDEX($AD$4:$AF$4,1,MATCH(MAX(AD251:AF251),AD251:AF251,0))," Overall",""))</x:f>
        <x:v>AWS</x:v>
      </x:c>
      <x:c r="AH251" s="32" t="str">
        <x:f>IF(AG251="AWS","Start with AWS when infrastructure breadth, native integration and operational maturity are the main differentiators.",IF(AG251="Azure","Start with Azure when Microsoft identity, security, data, productivity or hybrid integration reduces delivery effort.",IF(AG251="GCP","Start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251" s="32" t="str">
        <x:v>Low</x:v>
      </x:c>
      <x:c r="AJ251" s="32" t="str">
        <x:v>2026-07-12</x:v>
      </x:c>
    </x:row>
    <x:row r="252">
      <x:c r="A252" s="32" t="str">
        <x:v>Embedded real-time operating system</x:v>
      </x:c>
      <x:c r="B252" s="32" t="str">
        <x:v>10 Edge, IoT &amp; Industry</x:v>
      </x:c>
      <x:c r="C252" s="32" t="str">
        <x:v>IoT, Devices &amp; Industrial Edge</x:v>
      </x:c>
      <x:c r="D252" s="32" t="str">
        <x:v>Specialist</x:v>
      </x:c>
      <x:c r="E252" s="32" t="str">
        <x:v>What business outcome, scale, control, integration and operating model justify choosing embedded real-time operating system?</x:v>
      </x:c>
      <x:c r="F252" s="32" t="str">
        <x:v>FreeRTOS</x:v>
      </x:c>
      <x:c r="G252" s="32" t="str">
        <x:v>Azure RTOS / Eclipse ThreadX ecosystem</x:v>
      </x:c>
      <x:c r="H252" s="32" t="str">
        <x:v>Zephyr / partner ecosystem</x:v>
      </x:c>
      <x:c r="I252" s="32" t="n">
        <x:v>4</x:v>
      </x:c>
      <x:c r="J252" s="32" t="n">
        <x:v>3</x:v>
      </x:c>
      <x:c r="K252" s="32" t="n">
        <x:v>4.1</x:v>
      </x:c>
      <x:c r="L252" s="32" t="n">
        <x:v>3.9</x:v>
      </x:c>
      <x:c r="M252" s="32" t="n">
        <x:v>3.5</x:v>
      </x:c>
      <x:c r="N252" s="32" t="n">
        <x:v>4.3</x:v>
      </x:c>
      <x:c r="O252" s="32" t="n">
        <x:v>3.7</x:v>
      </x:c>
      <x:c r="P252" s="32" t="n">
        <x:v>2.8</x:v>
      </x:c>
      <x:c r="Q252" s="32" t="n">
        <x:v>2.6</x:v>
      </x:c>
      <x:c r="R252" s="32" t="n">
        <x:v>3.8</x:v>
      </x:c>
      <x:c r="S252" s="32" t="n">
        <x:v>3.5</x:v>
      </x:c>
      <x:c r="T252" s="32" t="n">
        <x:v>3.3</x:v>
      </x:c>
      <x:c r="U252" s="32" t="n">
        <x:v>3.7</x:v>
      </x:c>
      <x:c r="V252" s="32" t="n">
        <x:v>3.6</x:v>
      </x:c>
      <x:c r="W252" s="32" t="n">
        <x:v>2.8</x:v>
      </x:c>
      <x:c r="X252" s="32" t="n">
        <x:v>2.1</x:v>
      </x:c>
      <x:c r="Y252" s="32" t="n">
        <x:v>3.5</x:v>
      </x:c>
      <x:c r="Z252" s="32" t="n">
        <x:v>3.6</x:v>
      </x:c>
      <x:c r="AA252" s="32" t="n">
        <x:v>3.3</x:v>
      </x:c>
      <x:c r="AB252" s="32" t="n">
        <x:v>3.6</x:v>
      </x:c>
      <x:c r="AC252" s="32" t="n">
        <x:v>3.6</x:v>
      </x:c>
      <x:c r="AD252" s="32" t="n">
        <x:f>ROUND((I252*'Criteria &amp; Scoring'!$B$5+J252*'Criteria &amp; Scoring'!$B$6+K252*'Criteria &amp; Scoring'!$B$7+L252*'Criteria &amp; Scoring'!$B$8+M252*'Criteria &amp; Scoring'!$B$9+N252*'Criteria &amp; Scoring'!$B$10+O252*'Criteria &amp; Scoring'!$B$11)/SUM('Criteria &amp; Scoring'!$B$5:$B$11),2)</x:f>
        <x:v>3.77</x:v>
      </x:c>
      <x:c r="AE252" s="32" t="n">
        <x:f>ROUND((P252*'Criteria &amp; Scoring'!$B$5+Q252*'Criteria &amp; Scoring'!$B$6+R252*'Criteria &amp; Scoring'!$B$7+S252*'Criteria &amp; Scoring'!$B$8+T252*'Criteria &amp; Scoring'!$B$9+U252*'Criteria &amp; Scoring'!$B$10+V252*'Criteria &amp; Scoring'!$B$11)/SUM('Criteria &amp; Scoring'!$B$5:$B$11),2)</x:f>
        <x:v>3.2</x:v>
      </x:c>
      <x:c r="AF252" s="32" t="n">
        <x:f>ROUND((W252*'Criteria &amp; Scoring'!$B$5+X252*'Criteria &amp; Scoring'!$B$6+Y252*'Criteria &amp; Scoring'!$B$7+Z252*'Criteria &amp; Scoring'!$B$8+AA252*'Criteria &amp; Scoring'!$B$9+AB252*'Criteria &amp; Scoring'!$B$10+AC252*'Criteria &amp; Scoring'!$B$11)/SUM('Criteria &amp; Scoring'!$B$5:$B$11),2)</x:f>
        <x:v>3.06</x:v>
      </x:c>
      <x:c r="AG252" s="32" t="str">
        <x:f>IF(LARGE(AD252:AF252,1)-LARGE(AD252:AF252,2)&lt;0.15,"Context-dependent tie",SUBSTITUTE(INDEX($AD$4:$AF$4,1,MATCH(MAX(AD252:AF252),AD252:AF252,0))," Overall",""))</x:f>
        <x:v>AWS</x:v>
      </x:c>
      <x:c r="AH252" s="32" t="str">
        <x:f>IF(AG252="AWS","Start with AWS when infrastructure breadth, native integration and operational maturity are the main differentiators.",IF(AG252="Azure","Start with Azure when Microsoft identity, security, data, productivity or hybrid integration reduces delivery effort.",IF(AG252="GCP","Start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252" s="32" t="str">
        <x:v>Low</x:v>
      </x:c>
      <x:c r="AJ252" s="32" t="str">
        <x:v>2026-07-12</x:v>
      </x:c>
    </x:row>
    <x:row r="253">
      <x:c r="A253" s="32" t="str">
        <x:v>File-based media transcoding</x:v>
      </x:c>
      <x:c r="B253" s="32" t="str">
        <x:v>10 Edge, IoT &amp; Industry</x:v>
      </x:c>
      <x:c r="C253" s="32" t="str">
        <x:v>Media, Communications &amp; Location</x:v>
      </x:c>
      <x:c r="D253" s="32" t="str">
        <x:v>Specialist</x:v>
      </x:c>
      <x:c r="E253" s="32" t="str">
        <x:v>What business outcome, scale, control, integration and operating model justify choosing file-based media transcoding?</x:v>
      </x:c>
      <x:c r="F253" s="32" t="str">
        <x:v>AWS Elemental MediaConvert
Amazon Elastic Transcoder</x:v>
      </x:c>
      <x:c r="G253" s="32" t="str">
        <x:v>Azure Media Services migration partners
Azure Functions / partner encoders</x:v>
      </x:c>
      <x:c r="H253" s="32" t="str">
        <x:v>Transcoder API</x:v>
      </x:c>
      <x:c r="I253" s="32" t="n">
        <x:v>3.9</x:v>
      </x:c>
      <x:c r="J253" s="32" t="n">
        <x:v>2.9</x:v>
      </x:c>
      <x:c r="K253" s="32" t="n">
        <x:v>4</x:v>
      </x:c>
      <x:c r="L253" s="32" t="n">
        <x:v>3.8</x:v>
      </x:c>
      <x:c r="M253" s="32" t="n">
        <x:v>3.5</x:v>
      </x:c>
      <x:c r="N253" s="32" t="n">
        <x:v>4.2</x:v>
      </x:c>
      <x:c r="O253" s="32" t="n">
        <x:v>3.6</x:v>
      </x:c>
      <x:c r="P253" s="32" t="n">
        <x:v>2.8</x:v>
      </x:c>
      <x:c r="Q253" s="32" t="n">
        <x:v>2.6</x:v>
      </x:c>
      <x:c r="R253" s="32" t="n">
        <x:v>3.8</x:v>
      </x:c>
      <x:c r="S253" s="32" t="n">
        <x:v>3.5</x:v>
      </x:c>
      <x:c r="T253" s="32" t="n">
        <x:v>3.3</x:v>
      </x:c>
      <x:c r="U253" s="32" t="n">
        <x:v>3.7</x:v>
      </x:c>
      <x:c r="V253" s="32" t="n">
        <x:v>3.6</x:v>
      </x:c>
      <x:c r="W253" s="32" t="n">
        <x:v>3.5</x:v>
      </x:c>
      <x:c r="X253" s="32" t="n">
        <x:v>3</x:v>
      </x:c>
      <x:c r="Y253" s="32" t="n">
        <x:v>3.9</x:v>
      </x:c>
      <x:c r="Z253" s="32" t="n">
        <x:v>4</x:v>
      </x:c>
      <x:c r="AA253" s="32" t="n">
        <x:v>3.5</x:v>
      </x:c>
      <x:c r="AB253" s="32" t="n">
        <x:v>4.1</x:v>
      </x:c>
      <x:c r="AC253" s="32" t="n">
        <x:v>3.9</x:v>
      </x:c>
      <x:c r="AD253" s="32" t="n">
        <x:f>ROUND((I253*'Criteria &amp; Scoring'!$B$5+J253*'Criteria &amp; Scoring'!$B$6+K253*'Criteria &amp; Scoring'!$B$7+L253*'Criteria &amp; Scoring'!$B$8+M253*'Criteria &amp; Scoring'!$B$9+N253*'Criteria &amp; Scoring'!$B$10+O253*'Criteria &amp; Scoring'!$B$11)/SUM('Criteria &amp; Scoring'!$B$5:$B$11),2)</x:f>
        <x:v>3.68</x:v>
      </x:c>
      <x:c r="AE253" s="32" t="n">
        <x:f>ROUND((P253*'Criteria &amp; Scoring'!$B$5+Q253*'Criteria &amp; Scoring'!$B$6+R253*'Criteria &amp; Scoring'!$B$7+S253*'Criteria &amp; Scoring'!$B$8+T253*'Criteria &amp; Scoring'!$B$9+U253*'Criteria &amp; Scoring'!$B$10+V253*'Criteria &amp; Scoring'!$B$11)/SUM('Criteria &amp; Scoring'!$B$5:$B$11),2)</x:f>
        <x:v>3.2</x:v>
      </x:c>
      <x:c r="AF253" s="32" t="n">
        <x:f>ROUND((W253*'Criteria &amp; Scoring'!$B$5+X253*'Criteria &amp; Scoring'!$B$6+Y253*'Criteria &amp; Scoring'!$B$7+Z253*'Criteria &amp; Scoring'!$B$8+AA253*'Criteria &amp; Scoring'!$B$9+AB253*'Criteria &amp; Scoring'!$B$10+AC253*'Criteria &amp; Scoring'!$B$11)/SUM('Criteria &amp; Scoring'!$B$5:$B$11),2)</x:f>
        <x:v>3.62</x:v>
      </x:c>
      <x:c r="AG253" s="32" t="str">
        <x:f>IF(LARGE(AD253:AF253,1)-LARGE(AD253:AF253,2)&lt;0.15,"Context-dependent tie",SUBSTITUTE(INDEX($AD$4:$AF$4,1,MATCH(MAX(AD253:AF253),AD253:AF253,0))," Overall",""))</x:f>
        <x:v>Context-dependent tie</x:v>
      </x:c>
      <x:c r="AH253" s="32" t="str">
        <x:f>IF(AG253="AWS","Start with AWS when infrastructure breadth, native integration and operational maturity are the main differentiators.",IF(AG253="Azure","Start with Azure when Microsoft identity, security, data, productivity or hybrid integration reduces delivery effort.",IF(AG253="GCP","Start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53" s="32" t="str">
        <x:v>Low</x:v>
      </x:c>
      <x:c r="AJ253" s="32" t="str">
        <x:v>2026-07-12</x:v>
      </x:c>
    </x:row>
    <x:row r="254">
      <x:c r="A254" s="32" t="str">
        <x:v>Live video encoding</x:v>
      </x:c>
      <x:c r="B254" s="32" t="str">
        <x:v>10 Edge, IoT &amp; Industry</x:v>
      </x:c>
      <x:c r="C254" s="32" t="str">
        <x:v>Media, Communications &amp; Location</x:v>
      </x:c>
      <x:c r="D254" s="32" t="str">
        <x:v>Specialist</x:v>
      </x:c>
      <x:c r="E254" s="32" t="str">
        <x:v>What business outcome, scale, control, integration and operating model justify choosing live video encoding?</x:v>
      </x:c>
      <x:c r="F254" s="32" t="str">
        <x:v>AWS Elemental MediaLive</x:v>
      </x:c>
      <x:c r="G254" s="32" t="str">
        <x:v>partner live-video services on Azure</x:v>
      </x:c>
      <x:c r="H254" s="32" t="str">
        <x:v>Live Stream API</x:v>
      </x:c>
      <x:c r="I254" s="32" t="n">
        <x:v>4</x:v>
      </x:c>
      <x:c r="J254" s="32" t="n">
        <x:v>3</x:v>
      </x:c>
      <x:c r="K254" s="32" t="n">
        <x:v>4.1</x:v>
      </x:c>
      <x:c r="L254" s="32" t="n">
        <x:v>3.9</x:v>
      </x:c>
      <x:c r="M254" s="32" t="n">
        <x:v>3.5</x:v>
      </x:c>
      <x:c r="N254" s="32" t="n">
        <x:v>4.3</x:v>
      </x:c>
      <x:c r="O254" s="32" t="n">
        <x:v>3.7</x:v>
      </x:c>
      <x:c r="P254" s="32" t="n">
        <x:v>2.8</x:v>
      </x:c>
      <x:c r="Q254" s="32" t="n">
        <x:v>2.6</x:v>
      </x:c>
      <x:c r="R254" s="32" t="n">
        <x:v>3.8</x:v>
      </x:c>
      <x:c r="S254" s="32" t="n">
        <x:v>3.5</x:v>
      </x:c>
      <x:c r="T254" s="32" t="n">
        <x:v>3.3</x:v>
      </x:c>
      <x:c r="U254" s="32" t="n">
        <x:v>3.7</x:v>
      </x:c>
      <x:c r="V254" s="32" t="n">
        <x:v>3.6</x:v>
      </x:c>
      <x:c r="W254" s="32" t="n">
        <x:v>3.5</x:v>
      </x:c>
      <x:c r="X254" s="32" t="n">
        <x:v>3</x:v>
      </x:c>
      <x:c r="Y254" s="32" t="n">
        <x:v>3.9</x:v>
      </x:c>
      <x:c r="Z254" s="32" t="n">
        <x:v>4</x:v>
      </x:c>
      <x:c r="AA254" s="32" t="n">
        <x:v>3.5</x:v>
      </x:c>
      <x:c r="AB254" s="32" t="n">
        <x:v>4.1</x:v>
      </x:c>
      <x:c r="AC254" s="32" t="n">
        <x:v>3.9</x:v>
      </x:c>
      <x:c r="AD254" s="32" t="n">
        <x:f>ROUND((I254*'Criteria &amp; Scoring'!$B$5+J254*'Criteria &amp; Scoring'!$B$6+K254*'Criteria &amp; Scoring'!$B$7+L254*'Criteria &amp; Scoring'!$B$8+M254*'Criteria &amp; Scoring'!$B$9+N254*'Criteria &amp; Scoring'!$B$10+O254*'Criteria &amp; Scoring'!$B$11)/SUM('Criteria &amp; Scoring'!$B$5:$B$11),2)</x:f>
        <x:v>3.77</x:v>
      </x:c>
      <x:c r="AE254" s="32" t="n">
        <x:f>ROUND((P254*'Criteria &amp; Scoring'!$B$5+Q254*'Criteria &amp; Scoring'!$B$6+R254*'Criteria &amp; Scoring'!$B$7+S254*'Criteria &amp; Scoring'!$B$8+T254*'Criteria &amp; Scoring'!$B$9+U254*'Criteria &amp; Scoring'!$B$10+V254*'Criteria &amp; Scoring'!$B$11)/SUM('Criteria &amp; Scoring'!$B$5:$B$11),2)</x:f>
        <x:v>3.2</x:v>
      </x:c>
      <x:c r="AF254" s="32" t="n">
        <x:f>ROUND((W254*'Criteria &amp; Scoring'!$B$5+X254*'Criteria &amp; Scoring'!$B$6+Y254*'Criteria &amp; Scoring'!$B$7+Z254*'Criteria &amp; Scoring'!$B$8+AA254*'Criteria &amp; Scoring'!$B$9+AB254*'Criteria &amp; Scoring'!$B$10+AC254*'Criteria &amp; Scoring'!$B$11)/SUM('Criteria &amp; Scoring'!$B$5:$B$11),2)</x:f>
        <x:v>3.62</x:v>
      </x:c>
      <x:c r="AG254" s="32" t="str">
        <x:f>IF(LARGE(AD254:AF254,1)-LARGE(AD254:AF254,2)&lt;0.15,"Context-dependent tie",SUBSTITUTE(INDEX($AD$4:$AF$4,1,MATCH(MAX(AD254:AF254),AD254:AF254,0))," Overall",""))</x:f>
        <x:v>AWS</x:v>
      </x:c>
      <x:c r="AH254" s="32" t="str">
        <x:f>IF(AG254="AWS","Start with AWS when infrastructure breadth, native integration and operational maturity are the main differentiators.",IF(AG254="Azure","Start with Azure when Microsoft identity, security, data, productivity or hybrid integration reduces delivery effort.",IF(AG254="GCP","Start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254" s="32" t="str">
        <x:v>Low</x:v>
      </x:c>
      <x:c r="AJ254" s="32" t="str">
        <x:v>2026-07-12</x:v>
      </x:c>
    </x:row>
    <x:row r="255">
      <x:c r="A255" s="32" t="str">
        <x:v>Video packaging and origin</x:v>
      </x:c>
      <x:c r="B255" s="32" t="str">
        <x:v>10 Edge, IoT &amp; Industry</x:v>
      </x:c>
      <x:c r="C255" s="32" t="str">
        <x:v>Media, Communications &amp; Location</x:v>
      </x:c>
      <x:c r="D255" s="32" t="str">
        <x:v>Specialist</x:v>
      </x:c>
      <x:c r="E255" s="32" t="str">
        <x:v>What business outcome, scale, control, integration and operating model justify choosing video packaging and origin?</x:v>
      </x:c>
      <x:c r="F255" s="32" t="str">
        <x:v>AWS Elemental MediaPackage
AWS Elemental MediaStore</x:v>
      </x:c>
      <x:c r="G255" s="32" t="str">
        <x:v>Azure Storage
Azure Front Door
partner packaging</x:v>
      </x:c>
      <x:c r="H255" s="32" t="str">
        <x:v>Transcoder API
Cloud Storage
Media CDN</x:v>
      </x:c>
      <x:c r="I255" s="32" t="n">
        <x:v>3.9</x:v>
      </x:c>
      <x:c r="J255" s="32" t="n">
        <x:v>2.9</x:v>
      </x:c>
      <x:c r="K255" s="32" t="n">
        <x:v>4</x:v>
      </x:c>
      <x:c r="L255" s="32" t="n">
        <x:v>3.8</x:v>
      </x:c>
      <x:c r="M255" s="32" t="n">
        <x:v>3.5</x:v>
      </x:c>
      <x:c r="N255" s="32" t="n">
        <x:v>4.2</x:v>
      </x:c>
      <x:c r="O255" s="32" t="n">
        <x:v>3.6</x:v>
      </x:c>
      <x:c r="P255" s="32" t="n">
        <x:v>2.8</x:v>
      </x:c>
      <x:c r="Q255" s="32" t="n">
        <x:v>2.6</x:v>
      </x:c>
      <x:c r="R255" s="32" t="n">
        <x:v>3.8</x:v>
      </x:c>
      <x:c r="S255" s="32" t="n">
        <x:v>3.5</x:v>
      </x:c>
      <x:c r="T255" s="32" t="n">
        <x:v>3.3</x:v>
      </x:c>
      <x:c r="U255" s="32" t="n">
        <x:v>3.7</x:v>
      </x:c>
      <x:c r="V255" s="32" t="n">
        <x:v>3.6</x:v>
      </x:c>
      <x:c r="W255" s="32" t="n">
        <x:v>3.4</x:v>
      </x:c>
      <x:c r="X255" s="32" t="n">
        <x:v>2.9</x:v>
      </x:c>
      <x:c r="Y255" s="32" t="n">
        <x:v>3.8</x:v>
      </x:c>
      <x:c r="Z255" s="32" t="n">
        <x:v>3.9</x:v>
      </x:c>
      <x:c r="AA255" s="32" t="n">
        <x:v>3.5</x:v>
      </x:c>
      <x:c r="AB255" s="32" t="n">
        <x:v>4</x:v>
      </x:c>
      <x:c r="AC255" s="32" t="n">
        <x:v>3.8</x:v>
      </x:c>
      <x:c r="AD255" s="32" t="n">
        <x:f>ROUND((I255*'Criteria &amp; Scoring'!$B$5+J255*'Criteria &amp; Scoring'!$B$6+K255*'Criteria &amp; Scoring'!$B$7+L255*'Criteria &amp; Scoring'!$B$8+M255*'Criteria &amp; Scoring'!$B$9+N255*'Criteria &amp; Scoring'!$B$10+O255*'Criteria &amp; Scoring'!$B$11)/SUM('Criteria &amp; Scoring'!$B$5:$B$11),2)</x:f>
        <x:v>3.68</x:v>
      </x:c>
      <x:c r="AE255" s="32" t="n">
        <x:f>ROUND((P255*'Criteria &amp; Scoring'!$B$5+Q255*'Criteria &amp; Scoring'!$B$6+R255*'Criteria &amp; Scoring'!$B$7+S255*'Criteria &amp; Scoring'!$B$8+T255*'Criteria &amp; Scoring'!$B$9+U255*'Criteria &amp; Scoring'!$B$10+V255*'Criteria &amp; Scoring'!$B$11)/SUM('Criteria &amp; Scoring'!$B$5:$B$11),2)</x:f>
        <x:v>3.2</x:v>
      </x:c>
      <x:c r="AF255" s="32" t="n">
        <x:f>ROUND((W255*'Criteria &amp; Scoring'!$B$5+X255*'Criteria &amp; Scoring'!$B$6+Y255*'Criteria &amp; Scoring'!$B$7+Z255*'Criteria &amp; Scoring'!$B$8+AA255*'Criteria &amp; Scoring'!$B$9+AB255*'Criteria &amp; Scoring'!$B$10+AC255*'Criteria &amp; Scoring'!$B$11)/SUM('Criteria &amp; Scoring'!$B$5:$B$11),2)</x:f>
        <x:v>3.53</x:v>
      </x:c>
      <x:c r="AG255" s="32" t="str">
        <x:f>IF(LARGE(AD255:AF255,1)-LARGE(AD255:AF255,2)&lt;0.15,"Context-dependent tie",SUBSTITUTE(INDEX($AD$4:$AF$4,1,MATCH(MAX(AD255:AF255),AD255:AF255,0))," Overall",""))</x:f>
        <x:v>AWS</x:v>
      </x:c>
      <x:c r="AH255" s="32" t="str">
        <x:f>IF(AG255="AWS","Start with AWS when infrastructure breadth, native integration and operational maturity are the main differentiators.",IF(AG255="Azure","Start with Azure when Microsoft identity, security, data, productivity or hybrid integration reduces delivery effort.",IF(AG255="GCP","Start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255" s="32" t="str">
        <x:v>Low</x:v>
      </x:c>
      <x:c r="AJ255" s="32" t="str">
        <x:v>2026-07-12</x:v>
      </x:c>
    </x:row>
    <x:row r="256">
      <x:c r="A256" s="32" t="str">
        <x:v>Live video transport</x:v>
      </x:c>
      <x:c r="B256" s="32" t="str">
        <x:v>10 Edge, IoT &amp; Industry</x:v>
      </x:c>
      <x:c r="C256" s="32" t="str">
        <x:v>Media, Communications &amp; Location</x:v>
      </x:c>
      <x:c r="D256" s="32" t="str">
        <x:v>Specialist</x:v>
      </x:c>
      <x:c r="E256" s="32" t="str">
        <x:v>What business outcome, scale, control, integration and operating model justify choosing live video transport?</x:v>
      </x:c>
      <x:c r="F256" s="32" t="str">
        <x:v>AWS Elemental MediaConnect</x:v>
      </x:c>
      <x:c r="G256" s="32" t="str">
        <x:v>Azure ExpressRoute / partner media transport</x:v>
      </x:c>
      <x:c r="H256" s="32" t="str">
        <x:v>Cloud Interconnect / partner media transport</x:v>
      </x:c>
      <x:c r="I256" s="32" t="n">
        <x:v>4</x:v>
      </x:c>
      <x:c r="J256" s="32" t="n">
        <x:v>3</x:v>
      </x:c>
      <x:c r="K256" s="32" t="n">
        <x:v>4.1</x:v>
      </x:c>
      <x:c r="L256" s="32" t="n">
        <x:v>3.9</x:v>
      </x:c>
      <x:c r="M256" s="32" t="n">
        <x:v>3.5</x:v>
      </x:c>
      <x:c r="N256" s="32" t="n">
        <x:v>4.3</x:v>
      </x:c>
      <x:c r="O256" s="32" t="n">
        <x:v>3.7</x:v>
      </x:c>
      <x:c r="P256" s="32" t="n">
        <x:v>2.8</x:v>
      </x:c>
      <x:c r="Q256" s="32" t="n">
        <x:v>2.6</x:v>
      </x:c>
      <x:c r="R256" s="32" t="n">
        <x:v>3.8</x:v>
      </x:c>
      <x:c r="S256" s="32" t="n">
        <x:v>3.5</x:v>
      </x:c>
      <x:c r="T256" s="32" t="n">
        <x:v>3.3</x:v>
      </x:c>
      <x:c r="U256" s="32" t="n">
        <x:v>3.7</x:v>
      </x:c>
      <x:c r="V256" s="32" t="n">
        <x:v>3.6</x:v>
      </x:c>
      <x:c r="W256" s="32" t="n">
        <x:v>2.8</x:v>
      </x:c>
      <x:c r="X256" s="32" t="n">
        <x:v>2.6</x:v>
      </x:c>
      <x:c r="Y256" s="32" t="n">
        <x:v>3.5</x:v>
      </x:c>
      <x:c r="Z256" s="32" t="n">
        <x:v>3.6</x:v>
      </x:c>
      <x:c r="AA256" s="32" t="n">
        <x:v>3.3</x:v>
      </x:c>
      <x:c r="AB256" s="32" t="n">
        <x:v>3.6</x:v>
      </x:c>
      <x:c r="AC256" s="32" t="n">
        <x:v>3.6</x:v>
      </x:c>
      <x:c r="AD256" s="32" t="n">
        <x:f>ROUND((I256*'Criteria &amp; Scoring'!$B$5+J256*'Criteria &amp; Scoring'!$B$6+K256*'Criteria &amp; Scoring'!$B$7+L256*'Criteria &amp; Scoring'!$B$8+M256*'Criteria &amp; Scoring'!$B$9+N256*'Criteria &amp; Scoring'!$B$10+O256*'Criteria &amp; Scoring'!$B$11)/SUM('Criteria &amp; Scoring'!$B$5:$B$11),2)</x:f>
        <x:v>3.77</x:v>
      </x:c>
      <x:c r="AE256" s="32" t="n">
        <x:f>ROUND((P256*'Criteria &amp; Scoring'!$B$5+Q256*'Criteria &amp; Scoring'!$B$6+R256*'Criteria &amp; Scoring'!$B$7+S256*'Criteria &amp; Scoring'!$B$8+T256*'Criteria &amp; Scoring'!$B$9+U256*'Criteria &amp; Scoring'!$B$10+V256*'Criteria &amp; Scoring'!$B$11)/SUM('Criteria &amp; Scoring'!$B$5:$B$11),2)</x:f>
        <x:v>3.2</x:v>
      </x:c>
      <x:c r="AF256" s="32" t="n">
        <x:f>ROUND((W256*'Criteria &amp; Scoring'!$B$5+X256*'Criteria &amp; Scoring'!$B$6+Y256*'Criteria &amp; Scoring'!$B$7+Z256*'Criteria &amp; Scoring'!$B$8+AA256*'Criteria &amp; Scoring'!$B$9+AB256*'Criteria &amp; Scoring'!$B$10+AC256*'Criteria &amp; Scoring'!$B$11)/SUM('Criteria &amp; Scoring'!$B$5:$B$11),2)</x:f>
        <x:v>3.16</x:v>
      </x:c>
      <x:c r="AG256" s="32" t="str">
        <x:f>IF(LARGE(AD256:AF256,1)-LARGE(AD256:AF256,2)&lt;0.15,"Context-dependent tie",SUBSTITUTE(INDEX($AD$4:$AF$4,1,MATCH(MAX(AD256:AF256),AD256:AF256,0))," Overall",""))</x:f>
        <x:v>AWS</x:v>
      </x:c>
      <x:c r="AH256" s="32" t="str">
        <x:f>IF(AG256="AWS","Start with AWS when infrastructure breadth, native integration and operational maturity are the main differentiators.",IF(AG256="Azure","Start with Azure when Microsoft identity, security, data, productivity or hybrid integration reduces delivery effort.",IF(AG256="GCP","Start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256" s="32" t="str">
        <x:v>Low</x:v>
      </x:c>
      <x:c r="AJ256" s="32" t="str">
        <x:v>2026-07-12</x:v>
      </x:c>
    </x:row>
    <x:row r="257">
      <x:c r="A257" s="32" t="str">
        <x:v>Interactive low-latency streaming</x:v>
      </x:c>
      <x:c r="B257" s="32" t="str">
        <x:v>10 Edge, IoT &amp; Industry</x:v>
      </x:c>
      <x:c r="C257" s="32" t="str">
        <x:v>Media, Communications &amp; Location</x:v>
      </x:c>
      <x:c r="D257" s="32" t="str">
        <x:v>Specialist</x:v>
      </x:c>
      <x:c r="E257" s="32" t="str">
        <x:v>What business outcome, scale, control, integration and operating model justify choosing interactive low-latency streaming?</x:v>
      </x:c>
      <x:c r="F257" s="32" t="str">
        <x:v>Amazon Interactive Video Service</x:v>
      </x:c>
      <x:c r="G257" s="32" t="str">
        <x:v>Azure Communication Services / partner video platforms</x:v>
      </x:c>
      <x:c r="H257" s="32" t="str">
        <x:v>WebRTC on Google Cloud / partner platforms</x:v>
      </x:c>
      <x:c r="I257" s="32" t="n">
        <x:v>4</x:v>
      </x:c>
      <x:c r="J257" s="32" t="n">
        <x:v>3</x:v>
      </x:c>
      <x:c r="K257" s="32" t="n">
        <x:v>4.1</x:v>
      </x:c>
      <x:c r="L257" s="32" t="n">
        <x:v>3.9</x:v>
      </x:c>
      <x:c r="M257" s="32" t="n">
        <x:v>3.5</x:v>
      </x:c>
      <x:c r="N257" s="32" t="n">
        <x:v>4.3</x:v>
      </x:c>
      <x:c r="O257" s="32" t="n">
        <x:v>3.7</x:v>
      </x:c>
      <x:c r="P257" s="32" t="n">
        <x:v>2.8</x:v>
      </x:c>
      <x:c r="Q257" s="32" t="n">
        <x:v>2.6</x:v>
      </x:c>
      <x:c r="R257" s="32" t="n">
        <x:v>3.8</x:v>
      </x:c>
      <x:c r="S257" s="32" t="n">
        <x:v>3.5</x:v>
      </x:c>
      <x:c r="T257" s="32" t="n">
        <x:v>3.3</x:v>
      </x:c>
      <x:c r="U257" s="32" t="n">
        <x:v>3.7</x:v>
      </x:c>
      <x:c r="V257" s="32" t="n">
        <x:v>3.6</x:v>
      </x:c>
      <x:c r="W257" s="32" t="n">
        <x:v>3.3</x:v>
      </x:c>
      <x:c r="X257" s="32" t="n">
        <x:v>2.6</x:v>
      </x:c>
      <x:c r="Y257" s="32" t="n">
        <x:v>3.5</x:v>
      </x:c>
      <x:c r="Z257" s="32" t="n">
        <x:v>3.6</x:v>
      </x:c>
      <x:c r="AA257" s="32" t="n">
        <x:v>3.3</x:v>
      </x:c>
      <x:c r="AB257" s="32" t="n">
        <x:v>3.6</x:v>
      </x:c>
      <x:c r="AC257" s="32" t="n">
        <x:v>3.6</x:v>
      </x:c>
      <x:c r="AD257" s="32" t="n">
        <x:f>ROUND((I257*'Criteria &amp; Scoring'!$B$5+J257*'Criteria &amp; Scoring'!$B$6+K257*'Criteria &amp; Scoring'!$B$7+L257*'Criteria &amp; Scoring'!$B$8+M257*'Criteria &amp; Scoring'!$B$9+N257*'Criteria &amp; Scoring'!$B$10+O257*'Criteria &amp; Scoring'!$B$11)/SUM('Criteria &amp; Scoring'!$B$5:$B$11),2)</x:f>
        <x:v>3.77</x:v>
      </x:c>
      <x:c r="AE257" s="32" t="n">
        <x:f>ROUND((P257*'Criteria &amp; Scoring'!$B$5+Q257*'Criteria &amp; Scoring'!$B$6+R257*'Criteria &amp; Scoring'!$B$7+S257*'Criteria &amp; Scoring'!$B$8+T257*'Criteria &amp; Scoring'!$B$9+U257*'Criteria &amp; Scoring'!$B$10+V257*'Criteria &amp; Scoring'!$B$11)/SUM('Criteria &amp; Scoring'!$B$5:$B$11),2)</x:f>
        <x:v>3.2</x:v>
      </x:c>
      <x:c r="AF257" s="32" t="n">
        <x:f>ROUND((W257*'Criteria &amp; Scoring'!$B$5+X257*'Criteria &amp; Scoring'!$B$6+Y257*'Criteria &amp; Scoring'!$B$7+Z257*'Criteria &amp; Scoring'!$B$8+AA257*'Criteria &amp; Scoring'!$B$9+AB257*'Criteria &amp; Scoring'!$B$10+AC257*'Criteria &amp; Scoring'!$B$11)/SUM('Criteria &amp; Scoring'!$B$5:$B$11),2)</x:f>
        <x:v>3.28</x:v>
      </x:c>
      <x:c r="AG257" s="32" t="str">
        <x:f>IF(LARGE(AD257:AF257,1)-LARGE(AD257:AF257,2)&lt;0.15,"Context-dependent tie",SUBSTITUTE(INDEX($AD$4:$AF$4,1,MATCH(MAX(AD257:AF257),AD257:AF257,0))," Overall",""))</x:f>
        <x:v>AWS</x:v>
      </x:c>
      <x:c r="AH257" s="32" t="str">
        <x:f>IF(AG257="AWS","Start with AWS when infrastructure breadth, native integration and operational maturity are the main differentiators.",IF(AG257="Azure","Start with Azure when Microsoft identity, security, data, productivity or hybrid integration reduces delivery effort.",IF(AG257="GCP","Start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257" s="32" t="str">
        <x:v>Low</x:v>
      </x:c>
      <x:c r="AJ257" s="32" t="str">
        <x:v>2026-07-12</x:v>
      </x:c>
    </x:row>
    <x:row r="258">
      <x:c r="A258" s="32" t="str">
        <x:v>Server-side ad insertion</x:v>
      </x:c>
      <x:c r="B258" s="32" t="str">
        <x:v>10 Edge, IoT &amp; Industry</x:v>
      </x:c>
      <x:c r="C258" s="32" t="str">
        <x:v>Media, Communications &amp; Location</x:v>
      </x:c>
      <x:c r="D258" s="32" t="str">
        <x:v>Specialist</x:v>
      </x:c>
      <x:c r="E258" s="32" t="str">
        <x:v>What business outcome, scale, control, integration and operating model justify choosing server-side ad insertion?</x:v>
      </x:c>
      <x:c r="F258" s="32" t="str">
        <x:v>AWS Elemental MediaTailor</x:v>
      </x:c>
      <x:c r="G258" s="32" t="str">
        <x:v>partner ad-insertion services on Azure</x:v>
      </x:c>
      <x:c r="H258" s="32" t="str">
        <x:v>Video Stitcher API</x:v>
      </x:c>
      <x:c r="I258" s="32" t="n">
        <x:v>4</x:v>
      </x:c>
      <x:c r="J258" s="32" t="n">
        <x:v>3</x:v>
      </x:c>
      <x:c r="K258" s="32" t="n">
        <x:v>4.1</x:v>
      </x:c>
      <x:c r="L258" s="32" t="n">
        <x:v>3.9</x:v>
      </x:c>
      <x:c r="M258" s="32" t="n">
        <x:v>3.5</x:v>
      </x:c>
      <x:c r="N258" s="32" t="n">
        <x:v>4.3</x:v>
      </x:c>
      <x:c r="O258" s="32" t="n">
        <x:v>3.7</x:v>
      </x:c>
      <x:c r="P258" s="32" t="n">
        <x:v>2.8</x:v>
      </x:c>
      <x:c r="Q258" s="32" t="n">
        <x:v>2.6</x:v>
      </x:c>
      <x:c r="R258" s="32" t="n">
        <x:v>3.8</x:v>
      </x:c>
      <x:c r="S258" s="32" t="n">
        <x:v>3.5</x:v>
      </x:c>
      <x:c r="T258" s="32" t="n">
        <x:v>3.3</x:v>
      </x:c>
      <x:c r="U258" s="32" t="n">
        <x:v>3.7</x:v>
      </x:c>
      <x:c r="V258" s="32" t="n">
        <x:v>3.6</x:v>
      </x:c>
      <x:c r="W258" s="32" t="n">
        <x:v>3.5</x:v>
      </x:c>
      <x:c r="X258" s="32" t="n">
        <x:v>3</x:v>
      </x:c>
      <x:c r="Y258" s="32" t="n">
        <x:v>3.9</x:v>
      </x:c>
      <x:c r="Z258" s="32" t="n">
        <x:v>4</x:v>
      </x:c>
      <x:c r="AA258" s="32" t="n">
        <x:v>3.5</x:v>
      </x:c>
      <x:c r="AB258" s="32" t="n">
        <x:v>4.1</x:v>
      </x:c>
      <x:c r="AC258" s="32" t="n">
        <x:v>3.9</x:v>
      </x:c>
      <x:c r="AD258" s="32" t="n">
        <x:f>ROUND((I258*'Criteria &amp; Scoring'!$B$5+J258*'Criteria &amp; Scoring'!$B$6+K258*'Criteria &amp; Scoring'!$B$7+L258*'Criteria &amp; Scoring'!$B$8+M258*'Criteria &amp; Scoring'!$B$9+N258*'Criteria &amp; Scoring'!$B$10+O258*'Criteria &amp; Scoring'!$B$11)/SUM('Criteria &amp; Scoring'!$B$5:$B$11),2)</x:f>
        <x:v>3.77</x:v>
      </x:c>
      <x:c r="AE258" s="32" t="n">
        <x:f>ROUND((P258*'Criteria &amp; Scoring'!$B$5+Q258*'Criteria &amp; Scoring'!$B$6+R258*'Criteria &amp; Scoring'!$B$7+S258*'Criteria &amp; Scoring'!$B$8+T258*'Criteria &amp; Scoring'!$B$9+U258*'Criteria &amp; Scoring'!$B$10+V258*'Criteria &amp; Scoring'!$B$11)/SUM('Criteria &amp; Scoring'!$B$5:$B$11),2)</x:f>
        <x:v>3.2</x:v>
      </x:c>
      <x:c r="AF258" s="32" t="n">
        <x:f>ROUND((W258*'Criteria &amp; Scoring'!$B$5+X258*'Criteria &amp; Scoring'!$B$6+Y258*'Criteria &amp; Scoring'!$B$7+Z258*'Criteria &amp; Scoring'!$B$8+AA258*'Criteria &amp; Scoring'!$B$9+AB258*'Criteria &amp; Scoring'!$B$10+AC258*'Criteria &amp; Scoring'!$B$11)/SUM('Criteria &amp; Scoring'!$B$5:$B$11),2)</x:f>
        <x:v>3.62</x:v>
      </x:c>
      <x:c r="AG258" s="32" t="str">
        <x:f>IF(LARGE(AD258:AF258,1)-LARGE(AD258:AF258,2)&lt;0.15,"Context-dependent tie",SUBSTITUTE(INDEX($AD$4:$AF$4,1,MATCH(MAX(AD258:AF258),AD258:AF258,0))," Overall",""))</x:f>
        <x:v>AWS</x:v>
      </x:c>
      <x:c r="AH258" s="32" t="str">
        <x:f>IF(AG258="AWS","Start with AWS when infrastructure breadth, native integration and operational maturity are the main differentiators.",IF(AG258="Azure","Start with Azure when Microsoft identity, security, data, productivity or hybrid integration reduces delivery effort.",IF(AG258="GCP","Start with Google Cloud when data, AI, Kubernetes, network or managed developer experience is the main differentiator.","Scores are close: use ecosystem, data gravity, region, skills, commercials and proof-of-value results to decide.")))</x:f>
        <x:v>Start with AWS when infrastructure breadth, native integration and operational maturity are the main differentiators.</x:v>
      </x:c>
      <x:c r="AI258" s="32" t="str">
        <x:v>Low</x:v>
      </x:c>
      <x:c r="AJ258" s="32" t="str">
        <x:v>2026-07-12</x:v>
      </x:c>
    </x:row>
    <x:row r="259">
      <x:c r="A259" s="32" t="str">
        <x:v>Programmable communications</x:v>
      </x:c>
      <x:c r="B259" s="32" t="str">
        <x:v>10 Edge, IoT &amp; Industry</x:v>
      </x:c>
      <x:c r="C259" s="32" t="str">
        <x:v>Media, Communications &amp; Location</x:v>
      </x:c>
      <x:c r="D259" s="32" t="str">
        <x:v>Specialist</x:v>
      </x:c>
      <x:c r="E259" s="32" t="str">
        <x:v>What business outcome, scale, control, integration and operating model justify choosing programmable communications?</x:v>
      </x:c>
      <x:c r="F259" s="32" t="str">
        <x:v>Amazon Chime SDK
Amazon Connect</x:v>
      </x:c>
      <x:c r="G259" s="32" t="str">
        <x:v>Azure Communication Services</x:v>
      </x:c>
      <x:c r="H259" s="32" t="str">
        <x:v>Google Cloud CCaaS / partner communications APIs</x:v>
      </x:c>
      <x:c r="I259" s="32" t="n">
        <x:v>3.9</x:v>
      </x:c>
      <x:c r="J259" s="32" t="n">
        <x:v>2.9</x:v>
      </x:c>
      <x:c r="K259" s="32" t="n">
        <x:v>4</x:v>
      </x:c>
      <x:c r="L259" s="32" t="n">
        <x:v>3.8</x:v>
      </x:c>
      <x:c r="M259" s="32" t="n">
        <x:v>3.5</x:v>
      </x:c>
      <x:c r="N259" s="32" t="n">
        <x:v>4.2</x:v>
      </x:c>
      <x:c r="O259" s="32" t="n">
        <x:v>3.6</x:v>
      </x:c>
      <x:c r="P259" s="32" t="n">
        <x:v>3.5</x:v>
      </x:c>
      <x:c r="Q259" s="32" t="n">
        <x:v>3</x:v>
      </x:c>
      <x:c r="R259" s="32" t="n">
        <x:v>4.2</x:v>
      </x:c>
      <x:c r="S259" s="32" t="n">
        <x:v>3.9</x:v>
      </x:c>
      <x:c r="T259" s="32" t="n">
        <x:v>3.5</x:v>
      </x:c>
      <x:c r="U259" s="32" t="n">
        <x:v>4.2</x:v>
      </x:c>
      <x:c r="V259" s="32" t="n">
        <x:v>3.8</x:v>
      </x:c>
      <x:c r="W259" s="32" t="n">
        <x:v>2.8</x:v>
      </x:c>
      <x:c r="X259" s="32" t="n">
        <x:v>2.6</x:v>
      </x:c>
      <x:c r="Y259" s="32" t="n">
        <x:v>3.5</x:v>
      </x:c>
      <x:c r="Z259" s="32" t="n">
        <x:v>3.6</x:v>
      </x:c>
      <x:c r="AA259" s="32" t="n">
        <x:v>3.3</x:v>
      </x:c>
      <x:c r="AB259" s="32" t="n">
        <x:v>3.6</x:v>
      </x:c>
      <x:c r="AC259" s="32" t="n">
        <x:v>3.6</x:v>
      </x:c>
      <x:c r="AD259" s="32" t="n">
        <x:f>ROUND((I259*'Criteria &amp; Scoring'!$B$5+J259*'Criteria &amp; Scoring'!$B$6+K259*'Criteria &amp; Scoring'!$B$7+L259*'Criteria &amp; Scoring'!$B$8+M259*'Criteria &amp; Scoring'!$B$9+N259*'Criteria &amp; Scoring'!$B$10+O259*'Criteria &amp; Scoring'!$B$11)/SUM('Criteria &amp; Scoring'!$B$5:$B$11),2)</x:f>
        <x:v>3.68</x:v>
      </x:c>
      <x:c r="AE259" s="32" t="n">
        <x:f>ROUND((P259*'Criteria &amp; Scoring'!$B$5+Q259*'Criteria &amp; Scoring'!$B$6+R259*'Criteria &amp; Scoring'!$B$7+S259*'Criteria &amp; Scoring'!$B$8+T259*'Criteria &amp; Scoring'!$B$9+U259*'Criteria &amp; Scoring'!$B$10+V259*'Criteria &amp; Scoring'!$B$11)/SUM('Criteria &amp; Scoring'!$B$5:$B$11),2)</x:f>
        <x:v>3.65</x:v>
      </x:c>
      <x:c r="AF259" s="32" t="n">
        <x:f>ROUND((W259*'Criteria &amp; Scoring'!$B$5+X259*'Criteria &amp; Scoring'!$B$6+Y259*'Criteria &amp; Scoring'!$B$7+Z259*'Criteria &amp; Scoring'!$B$8+AA259*'Criteria &amp; Scoring'!$B$9+AB259*'Criteria &amp; Scoring'!$B$10+AC259*'Criteria &amp; Scoring'!$B$11)/SUM('Criteria &amp; Scoring'!$B$5:$B$11),2)</x:f>
        <x:v>3.16</x:v>
      </x:c>
      <x:c r="AG259" s="32" t="str">
        <x:f>IF(LARGE(AD259:AF259,1)-LARGE(AD259:AF259,2)&lt;0.15,"Context-dependent tie",SUBSTITUTE(INDEX($AD$4:$AF$4,1,MATCH(MAX(AD259:AF259),AD259:AF259,0))," Overall",""))</x:f>
        <x:v>Context-dependent tie</x:v>
      </x:c>
      <x:c r="AH259" s="32" t="str">
        <x:f>IF(AG259="AWS","Start with AWS when infrastructure breadth, native integration and operational maturity are the main differentiators.",IF(AG259="Azure","Start with Azure when Microsoft identity, security, data, productivity or hybrid integration reduces delivery effort.",IF(AG259="GCP","Start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59" s="32" t="str">
        <x:v>Low</x:v>
      </x:c>
      <x:c r="AJ259" s="32" t="str">
        <x:v>2026-07-12</x:v>
      </x:c>
    </x:row>
    <x:row r="260">
      <x:c r="A260" s="32" t="str">
        <x:v>Maps and geospatial APIs</x:v>
      </x:c>
      <x:c r="B260" s="32" t="str">
        <x:v>10 Edge, IoT &amp; Industry</x:v>
      </x:c>
      <x:c r="C260" s="32" t="str">
        <x:v>Media, Communications &amp; Location</x:v>
      </x:c>
      <x:c r="D260" s="32" t="str">
        <x:v>Specialist</x:v>
      </x:c>
      <x:c r="E260" s="32" t="str">
        <x:v>What business outcome, scale, control, integration and operating model justify choosing maps and geospatial apis?</x:v>
      </x:c>
      <x:c r="F260" s="32" t="str">
        <x:v>Amazon Location Service</x:v>
      </x:c>
      <x:c r="G260" s="32" t="str">
        <x:v>Azure Maps</x:v>
      </x:c>
      <x:c r="H260" s="32" t="str">
        <x:v>Google Maps Platform</x:v>
      </x:c>
      <x:c r="I260" s="32" t="n">
        <x:v>4.5</x:v>
      </x:c>
      <x:c r="J260" s="32" t="n">
        <x:v>3</x:v>
      </x:c>
      <x:c r="K260" s="32" t="n">
        <x:v>4.3</x:v>
      </x:c>
      <x:c r="L260" s="32" t="n">
        <x:v>3.9</x:v>
      </x:c>
      <x:c r="M260" s="32" t="n">
        <x:v>3.5</x:v>
      </x:c>
      <x:c r="N260" s="32" t="n">
        <x:v>4.5</x:v>
      </x:c>
      <x:c r="O260" s="32" t="n">
        <x:v>3.7</x:v>
      </x:c>
      <x:c r="P260" s="32" t="n">
        <x:v>4</x:v>
      </x:c>
      <x:c r="Q260" s="32" t="n">
        <x:v>3</x:v>
      </x:c>
      <x:c r="R260" s="32" t="n">
        <x:v>4.5</x:v>
      </x:c>
      <x:c r="S260" s="32" t="n">
        <x:v>3.9</x:v>
      </x:c>
      <x:c r="T260" s="32" t="n">
        <x:v>3.5</x:v>
      </x:c>
      <x:c r="U260" s="32" t="n">
        <x:v>4.4</x:v>
      </x:c>
      <x:c r="V260" s="32" t="n">
        <x:v>3.8</x:v>
      </x:c>
      <x:c r="W260" s="32" t="n">
        <x:v>4</x:v>
      </x:c>
      <x:c r="X260" s="32" t="n">
        <x:v>3</x:v>
      </x:c>
      <x:c r="Y260" s="32" t="n">
        <x:v>4.2</x:v>
      </x:c>
      <x:c r="Z260" s="32" t="n">
        <x:v>4</x:v>
      </x:c>
      <x:c r="AA260" s="32" t="n">
        <x:v>3.5</x:v>
      </x:c>
      <x:c r="AB260" s="32" t="n">
        <x:v>4.3</x:v>
      </x:c>
      <x:c r="AC260" s="32" t="n">
        <x:v>3.9</x:v>
      </x:c>
      <x:c r="AD260" s="32" t="n">
        <x:f>ROUND((I260*'Criteria &amp; Scoring'!$B$5+J260*'Criteria &amp; Scoring'!$B$6+K260*'Criteria &amp; Scoring'!$B$7+L260*'Criteria &amp; Scoring'!$B$8+M260*'Criteria &amp; Scoring'!$B$9+N260*'Criteria &amp; Scoring'!$B$10+O260*'Criteria &amp; Scoring'!$B$11)/SUM('Criteria &amp; Scoring'!$B$5:$B$11),2)</x:f>
        <x:v>3.94</x:v>
      </x:c>
      <x:c r="AE260" s="32" t="n">
        <x:f>ROUND((P260*'Criteria &amp; Scoring'!$B$5+Q260*'Criteria &amp; Scoring'!$B$6+R260*'Criteria &amp; Scoring'!$B$7+S260*'Criteria &amp; Scoring'!$B$8+T260*'Criteria &amp; Scoring'!$B$9+U260*'Criteria &amp; Scoring'!$B$10+V260*'Criteria &amp; Scoring'!$B$11)/SUM('Criteria &amp; Scoring'!$B$5:$B$11),2)</x:f>
        <x:v>3.84</x:v>
      </x:c>
      <x:c r="AF260" s="32" t="n">
        <x:f>ROUND((W260*'Criteria &amp; Scoring'!$B$5+X260*'Criteria &amp; Scoring'!$B$6+Y260*'Criteria &amp; Scoring'!$B$7+Z260*'Criteria &amp; Scoring'!$B$8+AA260*'Criteria &amp; Scoring'!$B$9+AB260*'Criteria &amp; Scoring'!$B$10+AC260*'Criteria &amp; Scoring'!$B$11)/SUM('Criteria &amp; Scoring'!$B$5:$B$11),2)</x:f>
        <x:v>3.81</x:v>
      </x:c>
      <x:c r="AG260" s="32" t="str">
        <x:f>IF(LARGE(AD260:AF260,1)-LARGE(AD260:AF260,2)&lt;0.15,"Context-dependent tie",SUBSTITUTE(INDEX($AD$4:$AF$4,1,MATCH(MAX(AD260:AF260),AD260:AF260,0))," Overall",""))</x:f>
        <x:v>Context-dependent tie</x:v>
      </x:c>
      <x:c r="AH260" s="32" t="str">
        <x:f>IF(AG260="AWS","Start with AWS when infrastructure breadth, native integration and operational maturity are the main differentiators.",IF(AG260="Azure","Start with Azure when Microsoft identity, security, data, productivity or hybrid integration reduces delivery effort.",IF(AG260="GCP","Start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60" s="32" t="str">
        <x:v>Medium</x:v>
      </x:c>
      <x:c r="AJ260" s="32" t="str">
        <x:v>2026-07-12</x:v>
      </x:c>
    </x:row>
    <x:row r="261">
      <x:c r="A261" s="32" t="str">
        <x:v>Managed multiplayer game servers</x:v>
      </x:c>
      <x:c r="B261" s="32" t="str">
        <x:v>10 Edge, IoT &amp; Industry</x:v>
      </x:c>
      <x:c r="C261" s="32" t="str">
        <x:v>Media, Communications &amp; Location</x:v>
      </x:c>
      <x:c r="D261" s="32" t="str">
        <x:v>Specialist</x:v>
      </x:c>
      <x:c r="E261" s="32" t="str">
        <x:v>What business outcome, scale, control, integration and operating model justify choosing managed multiplayer game servers?</x:v>
      </x:c>
      <x:c r="F261" s="32" t="str">
        <x:v>Amazon GameLift Servers</x:v>
      </x:c>
      <x:c r="G261" s="32" t="str">
        <x:v>PlayFab Multiplayer Servers</x:v>
      </x:c>
      <x:c r="H261" s="32" t="str">
        <x:v>Agones on Google Kubernetes Engine</x:v>
      </x:c>
      <x:c r="I261" s="32" t="n">
        <x:v>4.5</x:v>
      </x:c>
      <x:c r="J261" s="32" t="n">
        <x:v>3</x:v>
      </x:c>
      <x:c r="K261" s="32" t="n">
        <x:v>4.3</x:v>
      </x:c>
      <x:c r="L261" s="32" t="n">
        <x:v>3.9</x:v>
      </x:c>
      <x:c r="M261" s="32" t="n">
        <x:v>3.5</x:v>
      </x:c>
      <x:c r="N261" s="32" t="n">
        <x:v>4.5</x:v>
      </x:c>
      <x:c r="O261" s="32" t="n">
        <x:v>3.7</x:v>
      </x:c>
      <x:c r="P261" s="32" t="n">
        <x:v>4</x:v>
      </x:c>
      <x:c r="Q261" s="32" t="n">
        <x:v>3</x:v>
      </x:c>
      <x:c r="R261" s="32" t="n">
        <x:v>4.5</x:v>
      </x:c>
      <x:c r="S261" s="32" t="n">
        <x:v>3.9</x:v>
      </x:c>
      <x:c r="T261" s="32" t="n">
        <x:v>3.5</x:v>
      </x:c>
      <x:c r="U261" s="32" t="n">
        <x:v>4.4</x:v>
      </x:c>
      <x:c r="V261" s="32" t="n">
        <x:v>3.8</x:v>
      </x:c>
      <x:c r="W261" s="32" t="n">
        <x:v>4</x:v>
      </x:c>
      <x:c r="X261" s="32" t="n">
        <x:v>3</x:v>
      </x:c>
      <x:c r="Y261" s="32" t="n">
        <x:v>4.2</x:v>
      </x:c>
      <x:c r="Z261" s="32" t="n">
        <x:v>4</x:v>
      </x:c>
      <x:c r="AA261" s="32" t="n">
        <x:v>3.5</x:v>
      </x:c>
      <x:c r="AB261" s="32" t="n">
        <x:v>4.3</x:v>
      </x:c>
      <x:c r="AC261" s="32" t="n">
        <x:v>3.9</x:v>
      </x:c>
      <x:c r="AD261" s="32" t="n">
        <x:f>ROUND((I261*'Criteria &amp; Scoring'!$B$5+J261*'Criteria &amp; Scoring'!$B$6+K261*'Criteria &amp; Scoring'!$B$7+L261*'Criteria &amp; Scoring'!$B$8+M261*'Criteria &amp; Scoring'!$B$9+N261*'Criteria &amp; Scoring'!$B$10+O261*'Criteria &amp; Scoring'!$B$11)/SUM('Criteria &amp; Scoring'!$B$5:$B$11),2)</x:f>
        <x:v>3.94</x:v>
      </x:c>
      <x:c r="AE261" s="32" t="n">
        <x:f>ROUND((P261*'Criteria &amp; Scoring'!$B$5+Q261*'Criteria &amp; Scoring'!$B$6+R261*'Criteria &amp; Scoring'!$B$7+S261*'Criteria &amp; Scoring'!$B$8+T261*'Criteria &amp; Scoring'!$B$9+U261*'Criteria &amp; Scoring'!$B$10+V261*'Criteria &amp; Scoring'!$B$11)/SUM('Criteria &amp; Scoring'!$B$5:$B$11),2)</x:f>
        <x:v>3.84</x:v>
      </x:c>
      <x:c r="AF261" s="32" t="n">
        <x:f>ROUND((W261*'Criteria &amp; Scoring'!$B$5+X261*'Criteria &amp; Scoring'!$B$6+Y261*'Criteria &amp; Scoring'!$B$7+Z261*'Criteria &amp; Scoring'!$B$8+AA261*'Criteria &amp; Scoring'!$B$9+AB261*'Criteria &amp; Scoring'!$B$10+AC261*'Criteria &amp; Scoring'!$B$11)/SUM('Criteria &amp; Scoring'!$B$5:$B$11),2)</x:f>
        <x:v>3.81</x:v>
      </x:c>
      <x:c r="AG261" s="32" t="str">
        <x:f>IF(LARGE(AD261:AF261,1)-LARGE(AD261:AF261,2)&lt;0.15,"Context-dependent tie",SUBSTITUTE(INDEX($AD$4:$AF$4,1,MATCH(MAX(AD261:AF261),AD261:AF261,0))," Overall",""))</x:f>
        <x:v>Context-dependent tie</x:v>
      </x:c>
      <x:c r="AH261" s="32" t="str">
        <x:f>IF(AG261="AWS","Start with AWS when infrastructure breadth, native integration and operational maturity are the main differentiators.",IF(AG261="Azure","Start with Azure when Microsoft identity, security, data, productivity or hybrid integration reduces delivery effort.",IF(AG261="GCP","Start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61" s="32" t="str">
        <x:v>Medium</x:v>
      </x:c>
      <x:c r="AJ261" s="32" t="str">
        <x:v>2026-07-12</x:v>
      </x:c>
    </x:row>
    <x:row r="262">
      <x:c r="A262" s="32" t="str">
        <x:v>Managed virtual desktop</x:v>
      </x:c>
      <x:c r="B262" s="32" t="str">
        <x:v>08 Applications, APIs &amp; Integration</x:v>
      </x:c>
      <x:c r="C262" s="32" t="str">
        <x:v>End-User, Collaboration &amp; Contact Centre</x:v>
      </x:c>
      <x:c r="D262" s="32" t="str">
        <x:v>Workload</x:v>
      </x:c>
      <x:c r="E262" s="32" t="str">
        <x:v>What business outcome, scale, control, integration and operating model justify choosing managed virtual desktop?</x:v>
      </x:c>
      <x:c r="F262" s="32" t="str">
        <x:v>Amazon WorkSpaces</x:v>
      </x:c>
      <x:c r="G262" s="32" t="str">
        <x:v>Azure Virtual Desktop
Windows 365</x:v>
      </x:c>
      <x:c r="H262" s="32" t="str">
        <x:v>partner virtual desktop solutions on Google Cloud</x:v>
      </x:c>
      <x:c r="I262" s="32" t="n">
        <x:v>3.5</x:v>
      </x:c>
      <x:c r="J262" s="32" t="n">
        <x:v>3</x:v>
      </x:c>
      <x:c r="K262" s="32" t="n">
        <x:v>4.1</x:v>
      </x:c>
      <x:c r="L262" s="32" t="n">
        <x:v>3.9</x:v>
      </x:c>
      <x:c r="M262" s="32" t="n">
        <x:v>3.1</x:v>
      </x:c>
      <x:c r="N262" s="32" t="n">
        <x:v>4.3</x:v>
      </x:c>
      <x:c r="O262" s="32" t="n">
        <x:v>3.7</x:v>
      </x:c>
      <x:c r="P262" s="32" t="n">
        <x:v>3.9</x:v>
      </x:c>
      <x:c r="Q262" s="32" t="n">
        <x:v>3.3</x:v>
      </x:c>
      <x:c r="R262" s="32" t="n">
        <x:v>4.4</x:v>
      </x:c>
      <x:c r="S262" s="32" t="n">
        <x:v>3.8</x:v>
      </x:c>
      <x:c r="T262" s="32" t="n">
        <x:v>3.1</x:v>
      </x:c>
      <x:c r="U262" s="32" t="n">
        <x:v>4.3</x:v>
      </x:c>
      <x:c r="V262" s="32" t="n">
        <x:v>3.7</x:v>
      </x:c>
      <x:c r="W262" s="32" t="n">
        <x:v>2.8</x:v>
      </x:c>
      <x:c r="X262" s="32" t="n">
        <x:v>2.6</x:v>
      </x:c>
      <x:c r="Y262" s="32" t="n">
        <x:v>3.5</x:v>
      </x:c>
      <x:c r="Z262" s="32" t="n">
        <x:v>3.6</x:v>
      </x:c>
      <x:c r="AA262" s="32" t="n">
        <x:v>2.9</x:v>
      </x:c>
      <x:c r="AB262" s="32" t="n">
        <x:v>3.6</x:v>
      </x:c>
      <x:c r="AC262" s="32" t="n">
        <x:v>3.6</x:v>
      </x:c>
      <x:c r="AD262" s="32" t="n">
        <x:f>ROUND((I262*'Criteria &amp; Scoring'!$B$5+J262*'Criteria &amp; Scoring'!$B$6+K262*'Criteria &amp; Scoring'!$B$7+L262*'Criteria &amp; Scoring'!$B$8+M262*'Criteria &amp; Scoring'!$B$9+N262*'Criteria &amp; Scoring'!$B$10+O262*'Criteria &amp; Scoring'!$B$11)/SUM('Criteria &amp; Scoring'!$B$5:$B$11),2)</x:f>
        <x:v>3.6</x:v>
      </x:c>
      <x:c r="AE262" s="32" t="n">
        <x:f>ROUND((P262*'Criteria &amp; Scoring'!$B$5+Q262*'Criteria &amp; Scoring'!$B$6+R262*'Criteria &amp; Scoring'!$B$7+S262*'Criteria &amp; Scoring'!$B$8+T262*'Criteria &amp; Scoring'!$B$9+U262*'Criteria &amp; Scoring'!$B$10+V262*'Criteria &amp; Scoring'!$B$11)/SUM('Criteria &amp; Scoring'!$B$5:$B$11),2)</x:f>
        <x:v>3.79</x:v>
      </x:c>
      <x:c r="AF262" s="32" t="n">
        <x:f>ROUND((W262*'Criteria &amp; Scoring'!$B$5+X262*'Criteria &amp; Scoring'!$B$6+Y262*'Criteria &amp; Scoring'!$B$7+Z262*'Criteria &amp; Scoring'!$B$8+AA262*'Criteria &amp; Scoring'!$B$9+AB262*'Criteria &amp; Scoring'!$B$10+AC262*'Criteria &amp; Scoring'!$B$11)/SUM('Criteria &amp; Scoring'!$B$5:$B$11),2)</x:f>
        <x:v>3.12</x:v>
      </x:c>
      <x:c r="AG262" s="32" t="str">
        <x:f>IF(LARGE(AD262:AF262,1)-LARGE(AD262:AF262,2)&lt;0.15,"Context-dependent tie",SUBSTITUTE(INDEX($AD$4:$AF$4,1,MATCH(MAX(AD262:AF262),AD262:AF262,0))," Overall",""))</x:f>
        <x:v>Azure</x:v>
      </x:c>
      <x:c r="AH262" s="32" t="str">
        <x:f>IF(AG262="AWS","Start with AWS when infrastructure breadth, native integration and operational maturity are the main differentiators.",IF(AG262="Azure","Start with Azure when Microsoft identity, security, data, productivity or hybrid integration reduces delivery effort.",IF(AG262="GCP","Start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262" s="32" t="str">
        <x:v>Low</x:v>
      </x:c>
      <x:c r="AJ262" s="32" t="str">
        <x:v>2026-07-12</x:v>
      </x:c>
    </x:row>
    <x:row r="263">
      <x:c r="A263" s="32" t="str">
        <x:v>Application streaming</x:v>
      </x:c>
      <x:c r="B263" s="32" t="str">
        <x:v>08 Applications, APIs &amp; Integration</x:v>
      </x:c>
      <x:c r="C263" s="32" t="str">
        <x:v>End-User, Collaboration &amp; Contact Centre</x:v>
      </x:c>
      <x:c r="D263" s="32" t="str">
        <x:v>Workload</x:v>
      </x:c>
      <x:c r="E263" s="32" t="str">
        <x:v>What business outcome, scale, control, integration and operating model justify choosing application streaming?</x:v>
      </x:c>
      <x:c r="F263" s="32" t="str">
        <x:v>Amazon WorkSpaces Applications</x:v>
      </x:c>
      <x:c r="G263" s="32" t="str">
        <x:v>Azure Virtual Desktop RemoteApp</x:v>
      </x:c>
      <x:c r="H263" s="32" t="str">
        <x:v>partner application streaming on Google Cloud</x:v>
      </x:c>
      <x:c r="I263" s="32" t="n">
        <x:v>4</x:v>
      </x:c>
      <x:c r="J263" s="32" t="n">
        <x:v>3</x:v>
      </x:c>
      <x:c r="K263" s="32" t="n">
        <x:v>4.3</x:v>
      </x:c>
      <x:c r="L263" s="32" t="n">
        <x:v>3.9</x:v>
      </x:c>
      <x:c r="M263" s="32" t="n">
        <x:v>3.1</x:v>
      </x:c>
      <x:c r="N263" s="32" t="n">
        <x:v>4.5</x:v>
      </x:c>
      <x:c r="O263" s="32" t="n">
        <x:v>3.7</x:v>
      </x:c>
      <x:c r="P263" s="32" t="n">
        <x:v>4.5</x:v>
      </x:c>
      <x:c r="Q263" s="32" t="n">
        <x:v>3.4</x:v>
      </x:c>
      <x:c r="R263" s="32" t="n">
        <x:v>4.8</x:v>
      </x:c>
      <x:c r="S263" s="32" t="n">
        <x:v>3.9</x:v>
      </x:c>
      <x:c r="T263" s="32" t="n">
        <x:v>3.1</x:v>
      </x:c>
      <x:c r="U263" s="32" t="n">
        <x:v>4.6</x:v>
      </x:c>
      <x:c r="V263" s="32" t="n">
        <x:v>3.8</x:v>
      </x:c>
      <x:c r="W263" s="32" t="n">
        <x:v>3.8</x:v>
      </x:c>
      <x:c r="X263" s="32" t="n">
        <x:v>2.6</x:v>
      </x:c>
      <x:c r="Y263" s="32" t="n">
        <x:v>3.7</x:v>
      </x:c>
      <x:c r="Z263" s="32" t="n">
        <x:v>3.6</x:v>
      </x:c>
      <x:c r="AA263" s="32" t="n">
        <x:v>2.9</x:v>
      </x:c>
      <x:c r="AB263" s="32" t="n">
        <x:v>3.9</x:v>
      </x:c>
      <x:c r="AC263" s="32" t="n">
        <x:v>3.6</x:v>
      </x:c>
      <x:c r="AD263" s="32" t="n">
        <x:f>ROUND((I263*'Criteria &amp; Scoring'!$B$5+J263*'Criteria &amp; Scoring'!$B$6+K263*'Criteria &amp; Scoring'!$B$7+L263*'Criteria &amp; Scoring'!$B$8+M263*'Criteria &amp; Scoring'!$B$9+N263*'Criteria &amp; Scoring'!$B$10+O263*'Criteria &amp; Scoring'!$B$11)/SUM('Criteria &amp; Scoring'!$B$5:$B$11),2)</x:f>
        <x:v>3.78</x:v>
      </x:c>
      <x:c r="AE263" s="32" t="n">
        <x:f>ROUND((P263*'Criteria &amp; Scoring'!$B$5+Q263*'Criteria &amp; Scoring'!$B$6+R263*'Criteria &amp; Scoring'!$B$7+S263*'Criteria &amp; Scoring'!$B$8+T263*'Criteria &amp; Scoring'!$B$9+U263*'Criteria &amp; Scoring'!$B$10+V263*'Criteria &amp; Scoring'!$B$11)/SUM('Criteria &amp; Scoring'!$B$5:$B$11),2)</x:f>
        <x:v>4.07</x:v>
      </x:c>
      <x:c r="AF263" s="32" t="n">
        <x:f>ROUND((W263*'Criteria &amp; Scoring'!$B$5+X263*'Criteria &amp; Scoring'!$B$6+Y263*'Criteria &amp; Scoring'!$B$7+Z263*'Criteria &amp; Scoring'!$B$8+AA263*'Criteria &amp; Scoring'!$B$9+AB263*'Criteria &amp; Scoring'!$B$10+AC263*'Criteria &amp; Scoring'!$B$11)/SUM('Criteria &amp; Scoring'!$B$5:$B$11),2)</x:f>
        <x:v>3.43</x:v>
      </x:c>
      <x:c r="AG263" s="32" t="str">
        <x:f>IF(LARGE(AD263:AF263,1)-LARGE(AD263:AF263,2)&lt;0.15,"Context-dependent tie",SUBSTITUTE(INDEX($AD$4:$AF$4,1,MATCH(MAX(AD263:AF263),AD263:AF263,0))," Overall",""))</x:f>
        <x:v>Azure</x:v>
      </x:c>
      <x:c r="AH263" s="32" t="str">
        <x:f>IF(AG263="AWS","Start with AWS when infrastructure breadth, native integration and operational maturity are the main differentiators.",IF(AG263="Azure","Start with Azure when Microsoft identity, security, data, productivity or hybrid integration reduces delivery effort.",IF(AG263="GCP","Start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263" s="32" t="str">
        <x:v>Medium</x:v>
      </x:c>
      <x:c r="AJ263" s="32" t="str">
        <x:v>2026-07-12</x:v>
      </x:c>
    </x:row>
    <x:row r="264">
      <x:c r="A264" s="32" t="str">
        <x:v>Cloud contact centre</x:v>
      </x:c>
      <x:c r="B264" s="32" t="str">
        <x:v>08 Applications, APIs &amp; Integration</x:v>
      </x:c>
      <x:c r="C264" s="32" t="str">
        <x:v>End-User, Collaboration &amp; Contact Centre</x:v>
      </x:c>
      <x:c r="D264" s="32" t="str">
        <x:v>Workload</x:v>
      </x:c>
      <x:c r="E264" s="32" t="str">
        <x:v>What business outcome, scale, control, integration and operating model justify choosing cloud contact centre?</x:v>
      </x:c>
      <x:c r="F264" s="32" t="str">
        <x:v>Amazon Connect</x:v>
      </x:c>
      <x:c r="G264" s="32" t="str">
        <x:v>Dynamics 365 Contact Center
Azure Communication Services</x:v>
      </x:c>
      <x:c r="H264" s="32" t="str">
        <x:v>Google Cloud CCaaS</x:v>
      </x:c>
      <x:c r="I264" s="32" t="n">
        <x:v>4</x:v>
      </x:c>
      <x:c r="J264" s="32" t="n">
        <x:v>3</x:v>
      </x:c>
      <x:c r="K264" s="32" t="n">
        <x:v>4.3</x:v>
      </x:c>
      <x:c r="L264" s="32" t="n">
        <x:v>3.9</x:v>
      </x:c>
      <x:c r="M264" s="32" t="n">
        <x:v>3.1</x:v>
      </x:c>
      <x:c r="N264" s="32" t="n">
        <x:v>4.5</x:v>
      </x:c>
      <x:c r="O264" s="32" t="n">
        <x:v>3.7</x:v>
      </x:c>
      <x:c r="P264" s="32" t="n">
        <x:v>4.3</x:v>
      </x:c>
      <x:c r="Q264" s="32" t="n">
        <x:v>3.3</x:v>
      </x:c>
      <x:c r="R264" s="32" t="n">
        <x:v>4.7</x:v>
      </x:c>
      <x:c r="S264" s="32" t="n">
        <x:v>3.8</x:v>
      </x:c>
      <x:c r="T264" s="32" t="n">
        <x:v>3.1</x:v>
      </x:c>
      <x:c r="U264" s="32" t="n">
        <x:v>4.5</x:v>
      </x:c>
      <x:c r="V264" s="32" t="n">
        <x:v>3.7</x:v>
      </x:c>
      <x:c r="W264" s="32" t="n">
        <x:v>4</x:v>
      </x:c>
      <x:c r="X264" s="32" t="n">
        <x:v>3</x:v>
      </x:c>
      <x:c r="Y264" s="32" t="n">
        <x:v>4.2</x:v>
      </x:c>
      <x:c r="Z264" s="32" t="n">
        <x:v>4</x:v>
      </x:c>
      <x:c r="AA264" s="32" t="n">
        <x:v>3.1</x:v>
      </x:c>
      <x:c r="AB264" s="32" t="n">
        <x:v>4.3</x:v>
      </x:c>
      <x:c r="AC264" s="32" t="n">
        <x:v>3.9</x:v>
      </x:c>
      <x:c r="AD264" s="32" t="n">
        <x:f>ROUND((I264*'Criteria &amp; Scoring'!$B$5+J264*'Criteria &amp; Scoring'!$B$6+K264*'Criteria &amp; Scoring'!$B$7+L264*'Criteria &amp; Scoring'!$B$8+M264*'Criteria &amp; Scoring'!$B$9+N264*'Criteria &amp; Scoring'!$B$10+O264*'Criteria &amp; Scoring'!$B$11)/SUM('Criteria &amp; Scoring'!$B$5:$B$11),2)</x:f>
        <x:v>3.78</x:v>
      </x:c>
      <x:c r="AE264" s="32" t="n">
        <x:f>ROUND((P264*'Criteria &amp; Scoring'!$B$5+Q264*'Criteria &amp; Scoring'!$B$6+R264*'Criteria &amp; Scoring'!$B$7+S264*'Criteria &amp; Scoring'!$B$8+T264*'Criteria &amp; Scoring'!$B$9+U264*'Criteria &amp; Scoring'!$B$10+V264*'Criteria &amp; Scoring'!$B$11)/SUM('Criteria &amp; Scoring'!$B$5:$B$11),2)</x:f>
        <x:v>3.96</x:v>
      </x:c>
      <x:c r="AF264" s="32" t="n">
        <x:f>ROUND((W264*'Criteria &amp; Scoring'!$B$5+X264*'Criteria &amp; Scoring'!$B$6+Y264*'Criteria &amp; Scoring'!$B$7+Z264*'Criteria &amp; Scoring'!$B$8+AA264*'Criteria &amp; Scoring'!$B$9+AB264*'Criteria &amp; Scoring'!$B$10+AC264*'Criteria &amp; Scoring'!$B$11)/SUM('Criteria &amp; Scoring'!$B$5:$B$11),2)</x:f>
        <x:v>3.77</x:v>
      </x:c>
      <x:c r="AG264" s="32" t="str">
        <x:f>IF(LARGE(AD264:AF264,1)-LARGE(AD264:AF264,2)&lt;0.15,"Context-dependent tie",SUBSTITUTE(INDEX($AD$4:$AF$4,1,MATCH(MAX(AD264:AF264),AD264:AF264,0))," Overall",""))</x:f>
        <x:v>Azure</x:v>
      </x:c>
      <x:c r="AH264" s="32" t="str">
        <x:f>IF(AG264="AWS","Start with AWS when infrastructure breadth, native integration and operational maturity are the main differentiators.",IF(AG264="Azure","Start with Azure when Microsoft identity, security, data, productivity or hybrid integration reduces delivery effort.",IF(AG264="GCP","Start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264" s="32" t="str">
        <x:v>Medium</x:v>
      </x:c>
      <x:c r="AJ264" s="32" t="str">
        <x:v>2026-07-12</x:v>
      </x:c>
    </x:row>
    <x:row r="265">
      <x:c r="A265" s="32" t="str">
        <x:v>Managed business email</x:v>
      </x:c>
      <x:c r="B265" s="32" t="str">
        <x:v>08 Applications, APIs &amp; Integration</x:v>
      </x:c>
      <x:c r="C265" s="32" t="str">
        <x:v>End-User, Collaboration &amp; Contact Centre</x:v>
      </x:c>
      <x:c r="D265" s="32" t="str">
        <x:v>Workload</x:v>
      </x:c>
      <x:c r="E265" s="32" t="str">
        <x:v>What business outcome, scale, control, integration and operating model justify choosing managed business email?</x:v>
      </x:c>
      <x:c r="F265" s="32" t="str">
        <x:v>Amazon WorkMail</x:v>
      </x:c>
      <x:c r="G265" s="32" t="str">
        <x:v>Microsoft Exchange Online</x:v>
      </x:c>
      <x:c r="H265" s="32" t="str">
        <x:v>Google Workspace Gmail</x:v>
      </x:c>
      <x:c r="I265" s="32" t="n">
        <x:v>4.2</x:v>
      </x:c>
      <x:c r="J265" s="32" t="n">
        <x:v>3</x:v>
      </x:c>
      <x:c r="K265" s="32" t="n">
        <x:v>4.4</x:v>
      </x:c>
      <x:c r="L265" s="32" t="n">
        <x:v>3.9</x:v>
      </x:c>
      <x:c r="M265" s="32" t="n">
        <x:v>3.1</x:v>
      </x:c>
      <x:c r="N265" s="32" t="n">
        <x:v>4.6</x:v>
      </x:c>
      <x:c r="O265" s="32" t="n">
        <x:v>3.7</x:v>
      </x:c>
      <x:c r="P265" s="32" t="n">
        <x:v>4.7</x:v>
      </x:c>
      <x:c r="Q265" s="32" t="n">
        <x:v>3.4</x:v>
      </x:c>
      <x:c r="R265" s="32" t="n">
        <x:v>4.8</x:v>
      </x:c>
      <x:c r="S265" s="32" t="n">
        <x:v>3.9</x:v>
      </x:c>
      <x:c r="T265" s="32" t="n">
        <x:v>3.1</x:v>
      </x:c>
      <x:c r="U265" s="32" t="n">
        <x:v>4.7</x:v>
      </x:c>
      <x:c r="V265" s="32" t="n">
        <x:v>3.8</x:v>
      </x:c>
      <x:c r="W265" s="32" t="n">
        <x:v>4.2</x:v>
      </x:c>
      <x:c r="X265" s="32" t="n">
        <x:v>3</x:v>
      </x:c>
      <x:c r="Y265" s="32" t="n">
        <x:v>4.5</x:v>
      </x:c>
      <x:c r="Z265" s="32" t="n">
        <x:v>4</x:v>
      </x:c>
      <x:c r="AA265" s="32" t="n">
        <x:v>3.1</x:v>
      </x:c>
      <x:c r="AB265" s="32" t="n">
        <x:v>4.4</x:v>
      </x:c>
      <x:c r="AC265" s="32" t="n">
        <x:v>3.9</x:v>
      </x:c>
      <x:c r="AD265" s="32" t="n">
        <x:f>ROUND((I265*'Criteria &amp; Scoring'!$B$5+J265*'Criteria &amp; Scoring'!$B$6+K265*'Criteria &amp; Scoring'!$B$7+L265*'Criteria &amp; Scoring'!$B$8+M265*'Criteria &amp; Scoring'!$B$9+N265*'Criteria &amp; Scoring'!$B$10+O265*'Criteria &amp; Scoring'!$B$11)/SUM('Criteria &amp; Scoring'!$B$5:$B$11),2)</x:f>
        <x:v>3.85</x:v>
      </x:c>
      <x:c r="AE265" s="32" t="n">
        <x:f>ROUND((P265*'Criteria &amp; Scoring'!$B$5+Q265*'Criteria &amp; Scoring'!$B$6+R265*'Criteria &amp; Scoring'!$B$7+S265*'Criteria &amp; Scoring'!$B$8+T265*'Criteria &amp; Scoring'!$B$9+U265*'Criteria &amp; Scoring'!$B$10+V265*'Criteria &amp; Scoring'!$B$11)/SUM('Criteria &amp; Scoring'!$B$5:$B$11),2)</x:f>
        <x:v>4.13</x:v>
      </x:c>
      <x:c r="AF265" s="32" t="n">
        <x:f>ROUND((W265*'Criteria &amp; Scoring'!$B$5+X265*'Criteria &amp; Scoring'!$B$6+Y265*'Criteria &amp; Scoring'!$B$7+Z265*'Criteria &amp; Scoring'!$B$8+AA265*'Criteria &amp; Scoring'!$B$9+AB265*'Criteria &amp; Scoring'!$B$10+AC265*'Criteria &amp; Scoring'!$B$11)/SUM('Criteria &amp; Scoring'!$B$5:$B$11),2)</x:f>
        <x:v>3.87</x:v>
      </x:c>
      <x:c r="AG265" s="32" t="str">
        <x:f>IF(LARGE(AD265:AF265,1)-LARGE(AD265:AF265,2)&lt;0.15,"Context-dependent tie",SUBSTITUTE(INDEX($AD$4:$AF$4,1,MATCH(MAX(AD265:AF265),AD265:AF265,0))," Overall",""))</x:f>
        <x:v>Azure</x:v>
      </x:c>
      <x:c r="AH265" s="32" t="str">
        <x:f>IF(AG265="AWS","Start with AWS when infrastructure breadth, native integration and operational maturity are the main differentiators.",IF(AG265="Azure","Start with Azure when Microsoft identity, security, data, productivity or hybrid integration reduces delivery effort.",IF(AG265="GCP","Start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265" s="32" t="str">
        <x:v>High</x:v>
      </x:c>
      <x:c r="AJ265" s="32" t="str">
        <x:v>2026-07-12</x:v>
      </x:c>
    </x:row>
    <x:row r="266">
      <x:c r="A266" s="32" t="str">
        <x:v>Business collaboration</x:v>
      </x:c>
      <x:c r="B266" s="32" t="str">
        <x:v>08 Applications, APIs &amp; Integration</x:v>
      </x:c>
      <x:c r="C266" s="32" t="str">
        <x:v>End-User, Collaboration &amp; Contact Centre</x:v>
      </x:c>
      <x:c r="D266" s="32" t="str">
        <x:v>Workload</x:v>
      </x:c>
      <x:c r="E266" s="32" t="str">
        <x:v>What business outcome, scale, control, integration and operating model justify choosing business collaboration?</x:v>
      </x:c>
      <x:c r="F266" s="32" t="str">
        <x:v>Amazon Chime
Amazon WorkDocs</x:v>
      </x:c>
      <x:c r="G266" s="32" t="str">
        <x:v>Microsoft Teams
SharePoint Online</x:v>
      </x:c>
      <x:c r="H266" s="32" t="str">
        <x:v>Google Workspace</x:v>
      </x:c>
      <x:c r="I266" s="32" t="n">
        <x:v>3.4</x:v>
      </x:c>
      <x:c r="J266" s="32" t="n">
        <x:v>2.9</x:v>
      </x:c>
      <x:c r="K266" s="32" t="n">
        <x:v>4</x:v>
      </x:c>
      <x:c r="L266" s="32" t="n">
        <x:v>3.8</x:v>
      </x:c>
      <x:c r="M266" s="32" t="n">
        <x:v>3.1</x:v>
      </x:c>
      <x:c r="N266" s="32" t="n">
        <x:v>4.2</x:v>
      </x:c>
      <x:c r="O266" s="32" t="n">
        <x:v>3.6</x:v>
      </x:c>
      <x:c r="P266" s="32" t="n">
        <x:v>3.9</x:v>
      </x:c>
      <x:c r="Q266" s="32" t="n">
        <x:v>3.3</x:v>
      </x:c>
      <x:c r="R266" s="32" t="n">
        <x:v>4.4</x:v>
      </x:c>
      <x:c r="S266" s="32" t="n">
        <x:v>3.8</x:v>
      </x:c>
      <x:c r="T266" s="32" t="n">
        <x:v>3.1</x:v>
      </x:c>
      <x:c r="U266" s="32" t="n">
        <x:v>4.3</x:v>
      </x:c>
      <x:c r="V266" s="32" t="n">
        <x:v>3.7</x:v>
      </x:c>
      <x:c r="W266" s="32" t="n">
        <x:v>3.5</x:v>
      </x:c>
      <x:c r="X266" s="32" t="n">
        <x:v>3</x:v>
      </x:c>
      <x:c r="Y266" s="32" t="n">
        <x:v>3.9</x:v>
      </x:c>
      <x:c r="Z266" s="32" t="n">
        <x:v>4</x:v>
      </x:c>
      <x:c r="AA266" s="32" t="n">
        <x:v>3.1</x:v>
      </x:c>
      <x:c r="AB266" s="32" t="n">
        <x:v>4.1</x:v>
      </x:c>
      <x:c r="AC266" s="32" t="n">
        <x:v>3.9</x:v>
      </x:c>
      <x:c r="AD266" s="32" t="n">
        <x:f>ROUND((I266*'Criteria &amp; Scoring'!$B$5+J266*'Criteria &amp; Scoring'!$B$6+K266*'Criteria &amp; Scoring'!$B$7+L266*'Criteria &amp; Scoring'!$B$8+M266*'Criteria &amp; Scoring'!$B$9+N266*'Criteria &amp; Scoring'!$B$10+O266*'Criteria &amp; Scoring'!$B$11)/SUM('Criteria &amp; Scoring'!$B$5:$B$11),2)</x:f>
        <x:v>3.51</x:v>
      </x:c>
      <x:c r="AE266" s="32" t="n">
        <x:f>ROUND((P266*'Criteria &amp; Scoring'!$B$5+Q266*'Criteria &amp; Scoring'!$B$6+R266*'Criteria &amp; Scoring'!$B$7+S266*'Criteria &amp; Scoring'!$B$8+T266*'Criteria &amp; Scoring'!$B$9+U266*'Criteria &amp; Scoring'!$B$10+V266*'Criteria &amp; Scoring'!$B$11)/SUM('Criteria &amp; Scoring'!$B$5:$B$11),2)</x:f>
        <x:v>3.79</x:v>
      </x:c>
      <x:c r="AF266" s="32" t="n">
        <x:f>ROUND((W266*'Criteria &amp; Scoring'!$B$5+X266*'Criteria &amp; Scoring'!$B$6+Y266*'Criteria &amp; Scoring'!$B$7+Z266*'Criteria &amp; Scoring'!$B$8+AA266*'Criteria &amp; Scoring'!$B$9+AB266*'Criteria &amp; Scoring'!$B$10+AC266*'Criteria &amp; Scoring'!$B$11)/SUM('Criteria &amp; Scoring'!$B$5:$B$11),2)</x:f>
        <x:v>3.58</x:v>
      </x:c>
      <x:c r="AG266" s="32" t="str">
        <x:f>IF(LARGE(AD266:AF266,1)-LARGE(AD266:AF266,2)&lt;0.15,"Context-dependent tie",SUBSTITUTE(INDEX($AD$4:$AF$4,1,MATCH(MAX(AD266:AF266),AD266:AF266,0))," Overall",""))</x:f>
        <x:v>Azure</x:v>
      </x:c>
      <x:c r="AH266" s="32" t="str">
        <x:f>IF(AG266="AWS","Start with AWS when infrastructure breadth, native integration and operational maturity are the main differentiators.",IF(AG266="Azure","Start with Azure when Microsoft identity, security, data, productivity or hybrid integration reduces delivery effort.",IF(AG266="GCP","Start with Google Cloud when data, AI, Kubernetes, network or managed developer experience is the main differentiator.","Scores are close: use ecosystem, data gravity, region, skills, commercials and proof-of-value results to decide.")))</x:f>
        <x:v>Start with Azure when Microsoft identity, security, data, productivity or hybrid integration reduces delivery effort.</x:v>
      </x:c>
      <x:c r="AI266" s="32" t="str">
        <x:v>Low</x:v>
      </x:c>
      <x:c r="AJ266" s="32" t="str">
        <x:v>2026-07-12</x:v>
      </x:c>
    </x:row>
    <x:row r="267">
      <x:c r="A267" s="32" t="str">
        <x:v>Ground-station as a service</x:v>
      </x:c>
      <x:c r="B267" s="32" t="str">
        <x:v>10 Edge, IoT &amp; Industry</x:v>
      </x:c>
      <x:c r="C267" s="32" t="str">
        <x:v>Industry &amp; Sovereign Solutions</x:v>
      </x:c>
      <x:c r="D267" s="32" t="str">
        <x:v>Specialist</x:v>
      </x:c>
      <x:c r="E267" s="32" t="str">
        <x:v>What business outcome, scale, control, integration and operating model justify choosing ground-station as a service?</x:v>
      </x:c>
      <x:c r="F267" s="32" t="str">
        <x:v>AWS Ground Station</x:v>
      </x:c>
      <x:c r="G267" s="32" t="str">
        <x:v>Azure Orbital Ground Station</x:v>
      </x:c>
      <x:c r="H267" s="32" t="str">
        <x:v>Google Cloud Ground Station partner ecosystem</x:v>
      </x:c>
      <x:c r="I267" s="32" t="n">
        <x:v>4.5</x:v>
      </x:c>
      <x:c r="J267" s="32" t="n">
        <x:v>3</x:v>
      </x:c>
      <x:c r="K267" s="32" t="n">
        <x:v>4.3</x:v>
      </x:c>
      <x:c r="L267" s="32" t="n">
        <x:v>3.9</x:v>
      </x:c>
      <x:c r="M267" s="32" t="n">
        <x:v>3.5</x:v>
      </x:c>
      <x:c r="N267" s="32" t="n">
        <x:v>4.5</x:v>
      </x:c>
      <x:c r="O267" s="32" t="n">
        <x:v>3.7</x:v>
      </x:c>
      <x:c r="P267" s="32" t="n">
        <x:v>4</x:v>
      </x:c>
      <x:c r="Q267" s="32" t="n">
        <x:v>3</x:v>
      </x:c>
      <x:c r="R267" s="32" t="n">
        <x:v>4.5</x:v>
      </x:c>
      <x:c r="S267" s="32" t="n">
        <x:v>3.9</x:v>
      </x:c>
      <x:c r="T267" s="32" t="n">
        <x:v>3.5</x:v>
      </x:c>
      <x:c r="U267" s="32" t="n">
        <x:v>4.4</x:v>
      </x:c>
      <x:c r="V267" s="32" t="n">
        <x:v>3.8</x:v>
      </x:c>
      <x:c r="W267" s="32" t="n">
        <x:v>3.3</x:v>
      </x:c>
      <x:c r="X267" s="32" t="n">
        <x:v>2.6</x:v>
      </x:c>
      <x:c r="Y267" s="32" t="n">
        <x:v>3.7</x:v>
      </x:c>
      <x:c r="Z267" s="32" t="n">
        <x:v>3.6</x:v>
      </x:c>
      <x:c r="AA267" s="32" t="n">
        <x:v>3.3</x:v>
      </x:c>
      <x:c r="AB267" s="32" t="n">
        <x:v>3.9</x:v>
      </x:c>
      <x:c r="AC267" s="32" t="n">
        <x:v>3.6</x:v>
      </x:c>
      <x:c r="AD267" s="32" t="n">
        <x:f>ROUND((I267*'Criteria &amp; Scoring'!$B$5+J267*'Criteria &amp; Scoring'!$B$6+K267*'Criteria &amp; Scoring'!$B$7+L267*'Criteria &amp; Scoring'!$B$8+M267*'Criteria &amp; Scoring'!$B$9+N267*'Criteria &amp; Scoring'!$B$10+O267*'Criteria &amp; Scoring'!$B$11)/SUM('Criteria &amp; Scoring'!$B$5:$B$11),2)</x:f>
        <x:v>3.94</x:v>
      </x:c>
      <x:c r="AE267" s="32" t="n">
        <x:f>ROUND((P267*'Criteria &amp; Scoring'!$B$5+Q267*'Criteria &amp; Scoring'!$B$6+R267*'Criteria &amp; Scoring'!$B$7+S267*'Criteria &amp; Scoring'!$B$8+T267*'Criteria &amp; Scoring'!$B$9+U267*'Criteria &amp; Scoring'!$B$10+V267*'Criteria &amp; Scoring'!$B$11)/SUM('Criteria &amp; Scoring'!$B$5:$B$11),2)</x:f>
        <x:v>3.84</x:v>
      </x:c>
      <x:c r="AF267" s="32" t="n">
        <x:f>ROUND((W267*'Criteria &amp; Scoring'!$B$5+X267*'Criteria &amp; Scoring'!$B$6+Y267*'Criteria &amp; Scoring'!$B$7+Z267*'Criteria &amp; Scoring'!$B$8+AA267*'Criteria &amp; Scoring'!$B$9+AB267*'Criteria &amp; Scoring'!$B$10+AC267*'Criteria &amp; Scoring'!$B$11)/SUM('Criteria &amp; Scoring'!$B$5:$B$11),2)</x:f>
        <x:v>3.34</x:v>
      </x:c>
      <x:c r="AG267" s="32" t="str">
        <x:f>IF(LARGE(AD267:AF267,1)-LARGE(AD267:AF267,2)&lt;0.15,"Context-dependent tie",SUBSTITUTE(INDEX($AD$4:$AF$4,1,MATCH(MAX(AD267:AF267),AD267:AF267,0))," Overall",""))</x:f>
        <x:v>Context-dependent tie</x:v>
      </x:c>
      <x:c r="AH267" s="32" t="str">
        <x:f>IF(AG267="AWS","Start with AWS when infrastructure breadth, native integration and operational maturity are the main differentiators.",IF(AG267="Azure","Start with Azure when Microsoft identity, security, data, productivity or hybrid integration reduces delivery effort.",IF(AG267="GCP","Start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67" s="32" t="str">
        <x:v>Medium</x:v>
      </x:c>
      <x:c r="AJ267" s="32" t="str">
        <x:v>2026-07-12</x:v>
      </x:c>
    </x:row>
    <x:row r="268">
      <x:c r="A268" s="32" t="str">
        <x:v>Anti-money-laundering AI</x:v>
      </x:c>
      <x:c r="B268" s="32" t="str">
        <x:v>10 Edge, IoT &amp; Industry</x:v>
      </x:c>
      <x:c r="C268" s="32" t="str">
        <x:v>Industry &amp; Sovereign Solutions</x:v>
      </x:c>
      <x:c r="D268" s="32" t="str">
        <x:v>Specialist</x:v>
      </x:c>
      <x:c r="E268" s="32" t="str">
        <x:v>What business outcome, scale, control, integration and operating model justify choosing anti-money-laundering ai?</x:v>
      </x:c>
      <x:c r="F268" s="32" t="str">
        <x:v>Amazon Fraud Detector
SageMaker AI</x:v>
      </x:c>
      <x:c r="G268" s="32" t="str">
        <x:v>Microsoft Cloud for Financial Services
Azure Machine Learning</x:v>
      </x:c>
      <x:c r="H268" s="32" t="str">
        <x:v>Anti Money Laundering AI</x:v>
      </x:c>
      <x:c r="I268" s="32" t="n">
        <x:v>3.9</x:v>
      </x:c>
      <x:c r="J268" s="32" t="n">
        <x:v>2.9</x:v>
      </x:c>
      <x:c r="K268" s="32" t="n">
        <x:v>4</x:v>
      </x:c>
      <x:c r="L268" s="32" t="n">
        <x:v>3.8</x:v>
      </x:c>
      <x:c r="M268" s="32" t="n">
        <x:v>3.5</x:v>
      </x:c>
      <x:c r="N268" s="32" t="n">
        <x:v>4.2</x:v>
      </x:c>
      <x:c r="O268" s="32" t="n">
        <x:v>3.6</x:v>
      </x:c>
      <x:c r="P268" s="32" t="n">
        <x:v>3.4</x:v>
      </x:c>
      <x:c r="Q268" s="32" t="n">
        <x:v>2.9</x:v>
      </x:c>
      <x:c r="R268" s="32" t="n">
        <x:v>4.1</x:v>
      </x:c>
      <x:c r="S268" s="32" t="n">
        <x:v>3.8</x:v>
      </x:c>
      <x:c r="T268" s="32" t="n">
        <x:v>3.5</x:v>
      </x:c>
      <x:c r="U268" s="32" t="n">
        <x:v>4.1</x:v>
      </x:c>
      <x:c r="V268" s="32" t="n">
        <x:v>3.7</x:v>
      </x:c>
      <x:c r="W268" s="32" t="n">
        <x:v>3.5</x:v>
      </x:c>
      <x:c r="X268" s="32" t="n">
        <x:v>3</x:v>
      </x:c>
      <x:c r="Y268" s="32" t="n">
        <x:v>4.2</x:v>
      </x:c>
      <x:c r="Z268" s="32" t="n">
        <x:v>4</x:v>
      </x:c>
      <x:c r="AA268" s="32" t="n">
        <x:v>3.5</x:v>
      </x:c>
      <x:c r="AB268" s="32" t="n">
        <x:v>4.1</x:v>
      </x:c>
      <x:c r="AC268" s="32" t="n">
        <x:v>3.9</x:v>
      </x:c>
      <x:c r="AD268" s="32" t="n">
        <x:f>ROUND((I268*'Criteria &amp; Scoring'!$B$5+J268*'Criteria &amp; Scoring'!$B$6+K268*'Criteria &amp; Scoring'!$B$7+L268*'Criteria &amp; Scoring'!$B$8+M268*'Criteria &amp; Scoring'!$B$9+N268*'Criteria &amp; Scoring'!$B$10+O268*'Criteria &amp; Scoring'!$B$11)/SUM('Criteria &amp; Scoring'!$B$5:$B$11),2)</x:f>
        <x:v>3.68</x:v>
      </x:c>
      <x:c r="AE268" s="32" t="n">
        <x:f>ROUND((P268*'Criteria &amp; Scoring'!$B$5+Q268*'Criteria &amp; Scoring'!$B$6+R268*'Criteria &amp; Scoring'!$B$7+S268*'Criteria &amp; Scoring'!$B$8+T268*'Criteria &amp; Scoring'!$B$9+U268*'Criteria &amp; Scoring'!$B$10+V268*'Criteria &amp; Scoring'!$B$11)/SUM('Criteria &amp; Scoring'!$B$5:$B$11),2)</x:f>
        <x:v>3.56</x:v>
      </x:c>
      <x:c r="AF268" s="32" t="n">
        <x:f>ROUND((W268*'Criteria &amp; Scoring'!$B$5+X268*'Criteria &amp; Scoring'!$B$6+Y268*'Criteria &amp; Scoring'!$B$7+Z268*'Criteria &amp; Scoring'!$B$8+AA268*'Criteria &amp; Scoring'!$B$9+AB268*'Criteria &amp; Scoring'!$B$10+AC268*'Criteria &amp; Scoring'!$B$11)/SUM('Criteria &amp; Scoring'!$B$5:$B$11),2)</x:f>
        <x:v>3.66</x:v>
      </x:c>
      <x:c r="AG268" s="32" t="str">
        <x:f>IF(LARGE(AD268:AF268,1)-LARGE(AD268:AF268,2)&lt;0.15,"Context-dependent tie",SUBSTITUTE(INDEX($AD$4:$AF$4,1,MATCH(MAX(AD268:AF268),AD268:AF268,0))," Overall",""))</x:f>
        <x:v>Context-dependent tie</x:v>
      </x:c>
      <x:c r="AH268" s="32" t="str">
        <x:f>IF(AG268="AWS","Start with AWS when infrastructure breadth, native integration and operational maturity are the main differentiators.",IF(AG268="Azure","Start with Azure when Microsoft identity, security, data, productivity or hybrid integration reduces delivery effort.",IF(AG268="GCP","Start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68" s="32" t="str">
        <x:v>Low</x:v>
      </x:c>
      <x:c r="AJ268" s="32" t="str">
        <x:v>2026-07-12</x:v>
      </x:c>
    </x:row>
    <x:row r="269">
      <x:c r="A269" s="32" t="str">
        <x:v>Retail product search and discovery</x:v>
      </x:c>
      <x:c r="B269" s="32" t="str">
        <x:v>10 Edge, IoT &amp; Industry</x:v>
      </x:c>
      <x:c r="C269" s="32" t="str">
        <x:v>Industry &amp; Sovereign Solutions</x:v>
      </x:c>
      <x:c r="D269" s="32" t="str">
        <x:v>Specialist</x:v>
      </x:c>
      <x:c r="E269" s="32" t="str">
        <x:v>What business outcome, scale, control, integration and operating model justify choosing retail product search and discovery?</x:v>
      </x:c>
      <x:c r="F269" s="32" t="str">
        <x:v>Amazon Personalize
Amazon OpenSearch Service</x:v>
      </x:c>
      <x:c r="G269" s="32" t="str">
        <x:v>Azure AI Search
Dynamics 365 Commerce</x:v>
      </x:c>
      <x:c r="H269" s="32" t="str">
        <x:v>AI Commerce Search
Vision API Product Search</x:v>
      </x:c>
      <x:c r="I269" s="32" t="n">
        <x:v>4.3</x:v>
      </x:c>
      <x:c r="J269" s="32" t="n">
        <x:v>2.9</x:v>
      </x:c>
      <x:c r="K269" s="32" t="n">
        <x:v>4.2</x:v>
      </x:c>
      <x:c r="L269" s="32" t="n">
        <x:v>3.8</x:v>
      </x:c>
      <x:c r="M269" s="32" t="n">
        <x:v>3.5</x:v>
      </x:c>
      <x:c r="N269" s="32" t="n">
        <x:v>4.4</x:v>
      </x:c>
      <x:c r="O269" s="32" t="n">
        <x:v>3.6</x:v>
      </x:c>
      <x:c r="P269" s="32" t="n">
        <x:v>3.9</x:v>
      </x:c>
      <x:c r="Q269" s="32" t="n">
        <x:v>2.9</x:v>
      </x:c>
      <x:c r="R269" s="32" t="n">
        <x:v>4.4</x:v>
      </x:c>
      <x:c r="S269" s="32" t="n">
        <x:v>3.8</x:v>
      </x:c>
      <x:c r="T269" s="32" t="n">
        <x:v>3.5</x:v>
      </x:c>
      <x:c r="U269" s="32" t="n">
        <x:v>4.3</x:v>
      </x:c>
      <x:c r="V269" s="32" t="n">
        <x:v>3.7</x:v>
      </x:c>
      <x:c r="W269" s="32" t="n">
        <x:v>3.9</x:v>
      </x:c>
      <x:c r="X269" s="32" t="n">
        <x:v>2.9</x:v>
      </x:c>
      <x:c r="Y269" s="32" t="n">
        <x:v>4.3</x:v>
      </x:c>
      <x:c r="Z269" s="32" t="n">
        <x:v>3.9</x:v>
      </x:c>
      <x:c r="AA269" s="32" t="n">
        <x:v>3.5</x:v>
      </x:c>
      <x:c r="AB269" s="32" t="n">
        <x:v>4.2</x:v>
      </x:c>
      <x:c r="AC269" s="32" t="n">
        <x:v>3.8</x:v>
      </x:c>
      <x:c r="AD269" s="32" t="n">
        <x:f>ROUND((I269*'Criteria &amp; Scoring'!$B$5+J269*'Criteria &amp; Scoring'!$B$6+K269*'Criteria &amp; Scoring'!$B$7+L269*'Criteria &amp; Scoring'!$B$8+M269*'Criteria &amp; Scoring'!$B$9+N269*'Criteria &amp; Scoring'!$B$10+O269*'Criteria &amp; Scoring'!$B$11)/SUM('Criteria &amp; Scoring'!$B$5:$B$11),2)</x:f>
        <x:v>3.83</x:v>
      </x:c>
      <x:c r="AE269" s="32" t="n">
        <x:f>ROUND((P269*'Criteria &amp; Scoring'!$B$5+Q269*'Criteria &amp; Scoring'!$B$6+R269*'Criteria &amp; Scoring'!$B$7+S269*'Criteria &amp; Scoring'!$B$8+T269*'Criteria &amp; Scoring'!$B$9+U269*'Criteria &amp; Scoring'!$B$10+V269*'Criteria &amp; Scoring'!$B$11)/SUM('Criteria &amp; Scoring'!$B$5:$B$11),2)</x:f>
        <x:v>3.75</x:v>
      </x:c>
      <x:c r="AF269" s="32" t="n">
        <x:f>ROUND((W269*'Criteria &amp; Scoring'!$B$5+X269*'Criteria &amp; Scoring'!$B$6+Y269*'Criteria &amp; Scoring'!$B$7+Z269*'Criteria &amp; Scoring'!$B$8+AA269*'Criteria &amp; Scoring'!$B$9+AB269*'Criteria &amp; Scoring'!$B$10+AC269*'Criteria &amp; Scoring'!$B$11)/SUM('Criteria &amp; Scoring'!$B$5:$B$11),2)</x:f>
        <x:v>3.74</x:v>
      </x:c>
      <x:c r="AG269" s="32" t="str">
        <x:f>IF(LARGE(AD269:AF269,1)-LARGE(AD269:AF269,2)&lt;0.15,"Context-dependent tie",SUBSTITUTE(INDEX($AD$4:$AF$4,1,MATCH(MAX(AD269:AF269),AD269:AF269,0))," Overall",""))</x:f>
        <x:v>Context-dependent tie</x:v>
      </x:c>
      <x:c r="AH269" s="32" t="str">
        <x:f>IF(AG269="AWS","Start with AWS when infrastructure breadth, native integration and operational maturity are the main differentiators.",IF(AG269="Azure","Start with Azure when Microsoft identity, security, data, productivity or hybrid integration reduces delivery effort.",IF(AG269="GCP","Start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69" s="32" t="str">
        <x:v>Medium</x:v>
      </x:c>
      <x:c r="AJ269" s="32" t="str">
        <x:v>2026-07-12</x:v>
      </x:c>
    </x:row>
    <x:row r="270">
      <x:c r="A270" s="32" t="str">
        <x:v>Talent and job matching</x:v>
      </x:c>
      <x:c r="B270" s="32" t="str">
        <x:v>10 Edge, IoT &amp; Industry</x:v>
      </x:c>
      <x:c r="C270" s="32" t="str">
        <x:v>Industry &amp; Sovereign Solutions</x:v>
      </x:c>
      <x:c r="D270" s="32" t="str">
        <x:v>Specialist</x:v>
      </x:c>
      <x:c r="E270" s="32" t="str">
        <x:v>What business outcome, scale, control, integration and operating model justify choosing talent and job matching?</x:v>
      </x:c>
      <x:c r="F270" s="32" t="str">
        <x:v>Amazon Kendra
SageMaker AI</x:v>
      </x:c>
      <x:c r="G270" s="32" t="str">
        <x:v>Azure AI Search
Azure Machine Learning</x:v>
      </x:c>
      <x:c r="H270" s="32" t="str">
        <x:v>Cloud Talent Solution</x:v>
      </x:c>
      <x:c r="I270" s="32" t="n">
        <x:v>3.9</x:v>
      </x:c>
      <x:c r="J270" s="32" t="n">
        <x:v>2.9</x:v>
      </x:c>
      <x:c r="K270" s="32" t="n">
        <x:v>4</x:v>
      </x:c>
      <x:c r="L270" s="32" t="n">
        <x:v>3.8</x:v>
      </x:c>
      <x:c r="M270" s="32" t="n">
        <x:v>3.5</x:v>
      </x:c>
      <x:c r="N270" s="32" t="n">
        <x:v>4.2</x:v>
      </x:c>
      <x:c r="O270" s="32" t="n">
        <x:v>3.6</x:v>
      </x:c>
      <x:c r="P270" s="32" t="n">
        <x:v>3.4</x:v>
      </x:c>
      <x:c r="Q270" s="32" t="n">
        <x:v>2.9</x:v>
      </x:c>
      <x:c r="R270" s="32" t="n">
        <x:v>4.1</x:v>
      </x:c>
      <x:c r="S270" s="32" t="n">
        <x:v>3.8</x:v>
      </x:c>
      <x:c r="T270" s="32" t="n">
        <x:v>3.5</x:v>
      </x:c>
      <x:c r="U270" s="32" t="n">
        <x:v>4.1</x:v>
      </x:c>
      <x:c r="V270" s="32" t="n">
        <x:v>3.7</x:v>
      </x:c>
      <x:c r="W270" s="32" t="n">
        <x:v>3.5</x:v>
      </x:c>
      <x:c r="X270" s="32" t="n">
        <x:v>3</x:v>
      </x:c>
      <x:c r="Y270" s="32" t="n">
        <x:v>3.9</x:v>
      </x:c>
      <x:c r="Z270" s="32" t="n">
        <x:v>4</x:v>
      </x:c>
      <x:c r="AA270" s="32" t="n">
        <x:v>3.5</x:v>
      </x:c>
      <x:c r="AB270" s="32" t="n">
        <x:v>4.1</x:v>
      </x:c>
      <x:c r="AC270" s="32" t="n">
        <x:v>3.9</x:v>
      </x:c>
      <x:c r="AD270" s="32" t="n">
        <x:f>ROUND((I270*'Criteria &amp; Scoring'!$B$5+J270*'Criteria &amp; Scoring'!$B$6+K270*'Criteria &amp; Scoring'!$B$7+L270*'Criteria &amp; Scoring'!$B$8+M270*'Criteria &amp; Scoring'!$B$9+N270*'Criteria &amp; Scoring'!$B$10+O270*'Criteria &amp; Scoring'!$B$11)/SUM('Criteria &amp; Scoring'!$B$5:$B$11),2)</x:f>
        <x:v>3.68</x:v>
      </x:c>
      <x:c r="AE270" s="32" t="n">
        <x:f>ROUND((P270*'Criteria &amp; Scoring'!$B$5+Q270*'Criteria &amp; Scoring'!$B$6+R270*'Criteria &amp; Scoring'!$B$7+S270*'Criteria &amp; Scoring'!$B$8+T270*'Criteria &amp; Scoring'!$B$9+U270*'Criteria &amp; Scoring'!$B$10+V270*'Criteria &amp; Scoring'!$B$11)/SUM('Criteria &amp; Scoring'!$B$5:$B$11),2)</x:f>
        <x:v>3.56</x:v>
      </x:c>
      <x:c r="AF270" s="32" t="n">
        <x:f>ROUND((W270*'Criteria &amp; Scoring'!$B$5+X270*'Criteria &amp; Scoring'!$B$6+Y270*'Criteria &amp; Scoring'!$B$7+Z270*'Criteria &amp; Scoring'!$B$8+AA270*'Criteria &amp; Scoring'!$B$9+AB270*'Criteria &amp; Scoring'!$B$10+AC270*'Criteria &amp; Scoring'!$B$11)/SUM('Criteria &amp; Scoring'!$B$5:$B$11),2)</x:f>
        <x:v>3.62</x:v>
      </x:c>
      <x:c r="AG270" s="32" t="str">
        <x:f>IF(LARGE(AD270:AF270,1)-LARGE(AD270:AF270,2)&lt;0.15,"Context-dependent tie",SUBSTITUTE(INDEX($AD$4:$AF$4,1,MATCH(MAX(AD270:AF270),AD270:AF270,0))," Overall",""))</x:f>
        <x:v>Context-dependent tie</x:v>
      </x:c>
      <x:c r="AH270" s="32" t="str">
        <x:f>IF(AG270="AWS","Start with AWS when infrastructure breadth, native integration and operational maturity are the main differentiators.",IF(AG270="Azure","Start with Azure when Microsoft identity, security, data, productivity or hybrid integration reduces delivery effort.",IF(AG270="GCP","Start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70" s="32" t="str">
        <x:v>Low</x:v>
      </x:c>
      <x:c r="AJ270" s="32" t="str">
        <x:v>2026-07-12</x:v>
      </x:c>
    </x:row>
    <x:row r="271">
      <x:c r="A271" s="32" t="str">
        <x:v>Telecom network automation</x:v>
      </x:c>
      <x:c r="B271" s="32" t="str">
        <x:v>10 Edge, IoT &amp; Industry</x:v>
      </x:c>
      <x:c r="C271" s="32" t="str">
        <x:v>Industry &amp; Sovereign Solutions</x:v>
      </x:c>
      <x:c r="D271" s="32" t="str">
        <x:v>Specialist</x:v>
      </x:c>
      <x:c r="E271" s="32" t="str">
        <x:v>What business outcome, scale, control, integration and operating model justify choosing telecom network automation?</x:v>
      </x:c>
      <x:c r="F271" s="32" t="str">
        <x:v>AWS Telco Network Builder
AWS Wavelength</x:v>
      </x:c>
      <x:c r="G271" s="32" t="str">
        <x:v>Azure Operator Nexus
Azure Operator Service Manager</x:v>
      </x:c>
      <x:c r="H271" s="32" t="str">
        <x:v>Telecom Network Automation</x:v>
      </x:c>
      <x:c r="I271" s="32" t="n">
        <x:v>4.3</x:v>
      </x:c>
      <x:c r="J271" s="32" t="n">
        <x:v>2.9</x:v>
      </x:c>
      <x:c r="K271" s="32" t="n">
        <x:v>4.4</x:v>
      </x:c>
      <x:c r="L271" s="32" t="n">
        <x:v>3.8</x:v>
      </x:c>
      <x:c r="M271" s="32" t="n">
        <x:v>3.5</x:v>
      </x:c>
      <x:c r="N271" s="32" t="n">
        <x:v>4.5</x:v>
      </x:c>
      <x:c r="O271" s="32" t="n">
        <x:v>3.6</x:v>
      </x:c>
      <x:c r="P271" s="32" t="n">
        <x:v>3.9</x:v>
      </x:c>
      <x:c r="Q271" s="32" t="n">
        <x:v>2.9</x:v>
      </x:c>
      <x:c r="R271" s="32" t="n">
        <x:v>4.4</x:v>
      </x:c>
      <x:c r="S271" s="32" t="n">
        <x:v>3.8</x:v>
      </x:c>
      <x:c r="T271" s="32" t="n">
        <x:v>3.5</x:v>
      </x:c>
      <x:c r="U271" s="32" t="n">
        <x:v>4.3</x:v>
      </x:c>
      <x:c r="V271" s="32" t="n">
        <x:v>3.7</x:v>
      </x:c>
      <x:c r="W271" s="32" t="n">
        <x:v>4</x:v>
      </x:c>
      <x:c r="X271" s="32" t="n">
        <x:v>3</x:v>
      </x:c>
      <x:c r="Y271" s="32" t="n">
        <x:v>4.4</x:v>
      </x:c>
      <x:c r="Z271" s="32" t="n">
        <x:v>4</x:v>
      </x:c>
      <x:c r="AA271" s="32" t="n">
        <x:v>3.5</x:v>
      </x:c>
      <x:c r="AB271" s="32" t="n">
        <x:v>4.3</x:v>
      </x:c>
      <x:c r="AC271" s="32" t="n">
        <x:v>3.9</x:v>
      </x:c>
      <x:c r="AD271" s="32" t="n">
        <x:f>ROUND((I271*'Criteria &amp; Scoring'!$B$5+J271*'Criteria &amp; Scoring'!$B$6+K271*'Criteria &amp; Scoring'!$B$7+L271*'Criteria &amp; Scoring'!$B$8+M271*'Criteria &amp; Scoring'!$B$9+N271*'Criteria &amp; Scoring'!$B$10+O271*'Criteria &amp; Scoring'!$B$11)/SUM('Criteria &amp; Scoring'!$B$5:$B$11),2)</x:f>
        <x:v>3.87</x:v>
      </x:c>
      <x:c r="AE271" s="32" t="n">
        <x:f>ROUND((P271*'Criteria &amp; Scoring'!$B$5+Q271*'Criteria &amp; Scoring'!$B$6+R271*'Criteria &amp; Scoring'!$B$7+S271*'Criteria &amp; Scoring'!$B$8+T271*'Criteria &amp; Scoring'!$B$9+U271*'Criteria &amp; Scoring'!$B$10+V271*'Criteria &amp; Scoring'!$B$11)/SUM('Criteria &amp; Scoring'!$B$5:$B$11),2)</x:f>
        <x:v>3.75</x:v>
      </x:c>
      <x:c r="AF271" s="32" t="n">
        <x:f>ROUND((W271*'Criteria &amp; Scoring'!$B$5+X271*'Criteria &amp; Scoring'!$B$6+Y271*'Criteria &amp; Scoring'!$B$7+Z271*'Criteria &amp; Scoring'!$B$8+AA271*'Criteria &amp; Scoring'!$B$9+AB271*'Criteria &amp; Scoring'!$B$10+AC271*'Criteria &amp; Scoring'!$B$11)/SUM('Criteria &amp; Scoring'!$B$5:$B$11),2)</x:f>
        <x:v>3.84</x:v>
      </x:c>
      <x:c r="AG271" s="32" t="str">
        <x:f>IF(LARGE(AD271:AF271,1)-LARGE(AD271:AF271,2)&lt;0.15,"Context-dependent tie",SUBSTITUTE(INDEX($AD$4:$AF$4,1,MATCH(MAX(AD271:AF271),AD271:AF271,0))," Overall",""))</x:f>
        <x:v>Context-dependent tie</x:v>
      </x:c>
      <x:c r="AH271" s="32" t="str">
        <x:f>IF(AG271="AWS","Start with AWS when infrastructure breadth, native integration and operational maturity are the main differentiators.",IF(AG271="Azure","Start with Azure when Microsoft identity, security, data, productivity or hybrid integration reduces delivery effort.",IF(AG271="GCP","Start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71" s="32" t="str">
        <x:v>Medium</x:v>
      </x:c>
      <x:c r="AJ271" s="32" t="str">
        <x:v>2026-07-12</x:v>
      </x:c>
    </x:row>
    <x:row r="272">
      <x:c r="A272" s="32" t="str">
        <x:v>Sovereign and regulated cloud controls</x:v>
      </x:c>
      <x:c r="B272" s="32" t="str">
        <x:v>10 Edge, IoT &amp; Industry</x:v>
      </x:c>
      <x:c r="C272" s="32" t="str">
        <x:v>Industry &amp; Sovereign Solutions</x:v>
      </x:c>
      <x:c r="D272" s="32" t="str">
        <x:v>Specialist</x:v>
      </x:c>
      <x:c r="E272" s="32" t="str">
        <x:v>What business outcome, scale, control, integration and operating model justify choosing sovereign and regulated cloud controls?</x:v>
      </x:c>
      <x:c r="F272" s="32" t="str">
        <x:v>AWS European Sovereign Cloud / AWS Dedicated Local Zones</x:v>
      </x:c>
      <x:c r="G272" s="32" t="str">
        <x:v>Microsoft Cloud for Sovereignty</x:v>
      </x:c>
      <x:c r="H272" s="32" t="str">
        <x:v>Assured Workloads
Sovereign Controls by Partners</x:v>
      </x:c>
      <x:c r="I272" s="32" t="n">
        <x:v>4.3</x:v>
      </x:c>
      <x:c r="J272" s="32" t="n">
        <x:v>2.9</x:v>
      </x:c>
      <x:c r="K272" s="32" t="n">
        <x:v>4.2</x:v>
      </x:c>
      <x:c r="L272" s="32" t="n">
        <x:v>3.8</x:v>
      </x:c>
      <x:c r="M272" s="32" t="n">
        <x:v>3.5</x:v>
      </x:c>
      <x:c r="N272" s="32" t="n">
        <x:v>4.4</x:v>
      </x:c>
      <x:c r="O272" s="32" t="n">
        <x:v>3.6</x:v>
      </x:c>
      <x:c r="P272" s="32" t="n">
        <x:v>4</x:v>
      </x:c>
      <x:c r="Q272" s="32" t="n">
        <x:v>3</x:v>
      </x:c>
      <x:c r="R272" s="32" t="n">
        <x:v>4.5</x:v>
      </x:c>
      <x:c r="S272" s="32" t="n">
        <x:v>3.9</x:v>
      </x:c>
      <x:c r="T272" s="32" t="n">
        <x:v>3.5</x:v>
      </x:c>
      <x:c r="U272" s="32" t="n">
        <x:v>4.4</x:v>
      </x:c>
      <x:c r="V272" s="32" t="n">
        <x:v>3.8</x:v>
      </x:c>
      <x:c r="W272" s="32" t="n">
        <x:v>3.3</x:v>
      </x:c>
      <x:c r="X272" s="32" t="n">
        <x:v>2.6</x:v>
      </x:c>
      <x:c r="Y272" s="32" t="n">
        <x:v>3.7</x:v>
      </x:c>
      <x:c r="Z272" s="32" t="n">
        <x:v>3.6</x:v>
      </x:c>
      <x:c r="AA272" s="32" t="n">
        <x:v>3.3</x:v>
      </x:c>
      <x:c r="AB272" s="32" t="n">
        <x:v>3.9</x:v>
      </x:c>
      <x:c r="AC272" s="32" t="n">
        <x:v>3.6</x:v>
      </x:c>
      <x:c r="AD272" s="32" t="n">
        <x:f>ROUND((I272*'Criteria &amp; Scoring'!$B$5+J272*'Criteria &amp; Scoring'!$B$6+K272*'Criteria &amp; Scoring'!$B$7+L272*'Criteria &amp; Scoring'!$B$8+M272*'Criteria &amp; Scoring'!$B$9+N272*'Criteria &amp; Scoring'!$B$10+O272*'Criteria &amp; Scoring'!$B$11)/SUM('Criteria &amp; Scoring'!$B$5:$B$11),2)</x:f>
        <x:v>3.83</x:v>
      </x:c>
      <x:c r="AE272" s="32" t="n">
        <x:f>ROUND((P272*'Criteria &amp; Scoring'!$B$5+Q272*'Criteria &amp; Scoring'!$B$6+R272*'Criteria &amp; Scoring'!$B$7+S272*'Criteria &amp; Scoring'!$B$8+T272*'Criteria &amp; Scoring'!$B$9+U272*'Criteria &amp; Scoring'!$B$10+V272*'Criteria &amp; Scoring'!$B$11)/SUM('Criteria &amp; Scoring'!$B$5:$B$11),2)</x:f>
        <x:v>3.84</x:v>
      </x:c>
      <x:c r="AF272" s="32" t="n">
        <x:f>ROUND((W272*'Criteria &amp; Scoring'!$B$5+X272*'Criteria &amp; Scoring'!$B$6+Y272*'Criteria &amp; Scoring'!$B$7+Z272*'Criteria &amp; Scoring'!$B$8+AA272*'Criteria &amp; Scoring'!$B$9+AB272*'Criteria &amp; Scoring'!$B$10+AC272*'Criteria &amp; Scoring'!$B$11)/SUM('Criteria &amp; Scoring'!$B$5:$B$11),2)</x:f>
        <x:v>3.34</x:v>
      </x:c>
      <x:c r="AG272" s="32" t="str">
        <x:f>IF(LARGE(AD272:AF272,1)-LARGE(AD272:AF272,2)&lt;0.15,"Context-dependent tie",SUBSTITUTE(INDEX($AD$4:$AF$4,1,MATCH(MAX(AD272:AF272),AD272:AF272,0))," Overall",""))</x:f>
        <x:v>Context-dependent tie</x:v>
      </x:c>
      <x:c r="AH272" s="32" t="str">
        <x:f>IF(AG272="AWS","Start with AWS when infrastructure breadth, native integration and operational maturity are the main differentiators.",IF(AG272="Azure","Start with Azure when Microsoft identity, security, data, productivity or hybrid integration reduces delivery effort.",IF(AG272="GCP","Start with Google Cloud when data, AI, Kubernetes, network or managed developer experience is the main differentiator.","Scores are close: use ecosystem, data gravity, region, skills, commercials and proof-of-value results to decide.")))</x:f>
        <x:v>Scores are close: use ecosystem, data gravity, region, skills, commercials and proof-of-value results to decide.</x:v>
      </x:c>
      <x:c r="AI272" s="32" t="str">
        <x:v>Medium</x:v>
      </x:c>
      <x:c r="AJ272" s="32" t="str">
        <x:v>2026-07-12</x:v>
      </x:c>
    </x:row>
  </x:sheetData>
  <x:mergeCells>
    <x:mergeCell ref="A1:AJ1"/>
    <x:mergeCell ref="A2:AJ2"/>
  </x:mergeCells>
  <x:conditionalFormatting sqref="I5:AC272">
    <x:cfRule type="colorScale" priority="1">
      <x:colorScale>
        <x:cfvo type="min"/>
        <x:cfvo type="percentile" val="50"/>
        <x:cfvo type="max"/>
        <x:color rgb="FFFCE4D6"/>
        <x:color rgb="FFFFF2CC"/>
        <x:color rgb="FFE2F0D9"/>
      </x:colorScale>
    </x:cfRule>
  </x:conditionalFormatting>
  <x:conditionalFormatting sqref="AD5:AF272">
    <x:cfRule type="colorScale" priority="2">
      <x:colorScale>
        <x:cfvo type="min"/>
        <x:cfvo type="percentile" val="50"/>
        <x:cfvo type="max"/>
        <x:color rgb="FFFCE4D6"/>
        <x:color rgb="FFFFF2CC"/>
        <x:color rgb="FFE2F0D9"/>
      </x:colorScale>
    </x:cfRule>
  </x:conditionalFormatting>
  <x:conditionalFormatting sqref="AG5:AG272">
    <x:cfRule type="expression" dxfId="0" priority="3">
      <x:formula>AG5="Context-dependent tie"</x:formula>
    </x:cfRule>
  </x:conditionalFormatting>
  <x:conditionalFormatting sqref="AI5:AI272">
    <x:cfRule type="expression" dxfId="1" priority="4">
      <x:formula>AI5="High"</x:formula>
    </x:cfRule>
    <x:cfRule type="expression" dxfId="2" priority="5">
      <x:formula>AI5="Low"</x:formula>
    </x:cfRule>
  </x:conditionalFormatting>
  <x:pageMargins left="0.7" right="0.7" top="0.75" bottom="0.75" header="0.3" footer="0.3"/>
  <x:tableParts count="1">
    <x:tablePart xmlns:r="http://schemas.openxmlformats.org/officeDocument/2006/relationships" r:id="Rb39937f0fea244a1"/>
  </x:tableParts>
</x:worksheet>
</file>

<file path=xl/worksheets/sheet8.xml><?xml version="1.0" encoding="utf-8"?>
<x:worksheet xmlns:x="http://schemas.openxmlformats.org/spreadsheetml/2006/main">
  <x:sheetFormatPr defaultRowHeight="15"/>
  <x:cols>
    <x:col min="1" max="1" width="24" hidden="0" customWidth="1"/>
    <x:col min="2" max="2" width="25" hidden="0" customWidth="1"/>
    <x:col min="3" max="3" width="31" hidden="0" customWidth="1"/>
    <x:col min="4" max="4" width="48" hidden="0" customWidth="1"/>
    <x:col min="5" max="5" width="34" hidden="0" customWidth="1"/>
    <x:col min="6" max="6" width="36" hidden="0" customWidth="1"/>
    <x:col min="7" max="7" width="36" hidden="0" customWidth="1"/>
    <x:col min="8" max="8" width="13" hidden="0" customWidth="1"/>
    <x:col min="9" max="9" width="45" hidden="0" customWidth="1"/>
    <x:col min="10" max="10" width="42" hidden="0" customWidth="1"/>
    <x:col min="11" max="11" width="42" hidden="0" customWidth="1"/>
    <x:col min="12" max="12" width="42" hidden="0" customWidth="1"/>
    <x:col min="13" max="13" width="14" hidden="0" customWidth="1"/>
  </x:cols>
  <x:sheetData>
    <x:row r="1" ht="30" customHeight="1">
      <x:c r="A1" s="5" t="str">
        <x:v>Cross-Cloud Technical Catalogue</x:v>
      </x:c>
      <x:c r="B1" s="5"/>
      <x:c r="C1" s="5"/>
      <x:c r="D1" s="5"/>
      <x:c r="E1" s="5"/>
      <x:c r="F1" s="5"/>
      <x:c r="G1" s="5"/>
      <x:c r="H1" s="5"/>
      <x:c r="I1" s="5"/>
      <x:c r="J1" s="5"/>
      <x:c r="K1" s="5"/>
      <x:c r="L1" s="5"/>
      <x:c r="M1" s="5"/>
    </x:row>
    <x:row r="2" ht="34" customHeight="1">
      <x:c r="A2" s="14" t="str">
        <x:v>Original detailed capability-to-provider mapping retained as the technical reference.</x:v>
      </x:c>
      <x:c r="B2" s="14"/>
      <x:c r="C2" s="14"/>
      <x:c r="D2" s="14"/>
      <x:c r="E2" s="14"/>
      <x:c r="F2" s="14"/>
      <x:c r="G2" s="14"/>
      <x:c r="H2" s="14"/>
      <x:c r="I2" s="14"/>
      <x:c r="J2" s="14"/>
      <x:c r="K2" s="14"/>
      <x:c r="L2" s="14"/>
      <x:c r="M2" s="14"/>
    </x:row>
    <x:row r="4" ht="34" customHeight="1">
      <x:c r="A4" s="24" t="str">
        <x:v>Domain</x:v>
      </x:c>
      <x:c r="B4" s="24" t="str">
        <x:v>Category</x:v>
      </x:c>
      <x:c r="C4" s="24" t="str">
        <x:v>Generic capability</x:v>
      </x:c>
      <x:c r="D4" s="24" t="str">
        <x:v>Short description</x:v>
      </x:c>
      <x:c r="E4" s="24" t="str">
        <x:v>AWS alternative(s)</x:v>
      </x:c>
      <x:c r="F4" s="24" t="str">
        <x:v>Microsoft Azure alternative(s)</x:v>
      </x:c>
      <x:c r="G4" s="24" t="str">
        <x:v>Google Cloud alternative(s)</x:v>
      </x:c>
      <x:c r="H4" s="24" t="str">
        <x:v>Equivalence</x:v>
      </x:c>
      <x:c r="I4" s="24" t="str">
        <x:v>Mapping notes</x:v>
      </x:c>
      <x:c r="J4" s="24" t="str">
        <x:v>AWS official catalogue</x:v>
      </x:c>
      <x:c r="K4" s="24" t="str">
        <x:v>Azure official catalogue</x:v>
      </x:c>
      <x:c r="L4" s="24" t="str">
        <x:v>Google Cloud official catalogue</x:v>
      </x:c>
      <x:c r="M4" s="24" t="str">
        <x:v>Verified date</x:v>
      </x:c>
    </x:row>
    <x:row r="5">
      <x:c r="A5" s="32" t="str">
        <x:v>Governance &amp; Management</x:v>
      </x:c>
      <x:c r="B5" s="32" t="str">
        <x:v>Organisation governance</x:v>
      </x:c>
      <x:c r="C5" s="32" t="str">
        <x:v>Cloud organisation and account hierarchy</x:v>
      </x:c>
      <x:c r="D5" s="32" t="str">
        <x:v>Centrally organise subscriptions/accounts/projects, apply hierarchy and consolidate governance.</x:v>
      </x:c>
      <x:c r="E5" s="32" t="str">
        <x:v>AWS Organizations</x:v>
      </x:c>
      <x:c r="F5" s="32" t="str">
        <x:v>Azure Management Groups
Azure Subscriptions</x:v>
      </x:c>
      <x:c r="G5" s="32" t="str">
        <x:v>Resource Manager
Cloud Resource Manager</x:v>
      </x:c>
      <x:c r="H5" s="32" t="str">
        <x:v>Exact</x:v>
      </x:c>
      <x:c r="I5" s="32"/>
      <x:c r="J5" s="32" t="str">
        <x:v>https://docs.aws.amazon.com/whitepapers/latest/aws-overview/aws-services.html</x:v>
      </x:c>
      <x:c r="K5" s="32" t="str">
        <x:v>https://azure.microsoft.com/en-gb/products/</x:v>
      </x:c>
      <x:c r="L5" s="32" t="str">
        <x:v>https://docs.cloud.google.com/docs/product-list</x:v>
      </x:c>
      <x:c r="M5" s="32" t="str">
        <x:v>2026-07-12</x:v>
      </x:c>
    </x:row>
    <x:row r="6">
      <x:c r="A6" s="32" t="str">
        <x:v>Governance &amp; Management</x:v>
      </x:c>
      <x:c r="B6" s="32" t="str">
        <x:v>Landing zones</x:v>
      </x:c>
      <x:c r="C6" s="32" t="str">
        <x:v>Enterprise landing zone</x:v>
      </x:c>
      <x:c r="D6" s="32" t="str">
        <x:v>Establish a governed multi-account or multi-subscription cloud foundation.</x:v>
      </x:c>
      <x:c r="E6" s="32" t="str">
        <x:v>AWS Control Tower</x:v>
      </x:c>
      <x:c r="F6" s="32" t="str">
        <x:v>Azure Landing Zones</x:v>
      </x:c>
      <x:c r="G6" s="32" t="str">
        <x:v>Google Cloud Landing Zone</x:v>
      </x:c>
      <x:c r="H6" s="32" t="str">
        <x:v>Close</x:v>
      </x:c>
      <x:c r="I6" s="32" t="str">
        <x:v>Landing-zone implementations combine products, policies and reference architecture.</x:v>
      </x:c>
      <x:c r="J6" s="32" t="str">
        <x:v>https://docs.aws.amazon.com/whitepapers/latest/aws-overview/aws-services.html</x:v>
      </x:c>
      <x:c r="K6" s="32" t="str">
        <x:v>https://azure.microsoft.com/en-gb/products/</x:v>
      </x:c>
      <x:c r="L6" s="32" t="str">
        <x:v>https://docs.cloud.google.com/docs/product-list</x:v>
      </x:c>
      <x:c r="M6" s="32" t="str">
        <x:v>2026-07-12</x:v>
      </x:c>
    </x:row>
    <x:row r="7">
      <x:c r="A7" s="32" t="str">
        <x:v>Governance &amp; Management</x:v>
      </x:c>
      <x:c r="B7" s="32" t="str">
        <x:v>Policy</x:v>
      </x:c>
      <x:c r="C7" s="32" t="str">
        <x:v>Organisation policy enforcement</x:v>
      </x:c>
      <x:c r="D7" s="32" t="str">
        <x:v>Define and enforce preventive or detective policies across cloud resources.</x:v>
      </x:c>
      <x:c r="E7" s="32" t="str">
        <x:v>AWS Organizations Service Control Policies
AWS Config</x:v>
      </x:c>
      <x:c r="F7" s="32" t="str">
        <x:v>Azure Policy</x:v>
      </x:c>
      <x:c r="G7" s="32" t="str">
        <x:v>Organization Policy Service
Policy Controller</x:v>
      </x:c>
      <x:c r="H7" s="32" t="str">
        <x:v>Close</x:v>
      </x:c>
      <x:c r="I7" s="32"/>
      <x:c r="J7" s="32" t="str">
        <x:v>https://docs.aws.amazon.com/whitepapers/latest/aws-overview/aws-services.html</x:v>
      </x:c>
      <x:c r="K7" s="32" t="str">
        <x:v>https://azure.microsoft.com/en-gb/products/</x:v>
      </x:c>
      <x:c r="L7" s="32" t="str">
        <x:v>https://docs.cloud.google.com/docs/product-list</x:v>
      </x:c>
      <x:c r="M7" s="32" t="str">
        <x:v>2026-07-12</x:v>
      </x:c>
    </x:row>
    <x:row r="8">
      <x:c r="A8" s="32" t="str">
        <x:v>Governance &amp; Management</x:v>
      </x:c>
      <x:c r="B8" s="32" t="str">
        <x:v>Resource inventory</x:v>
      </x:c>
      <x:c r="C8" s="32" t="str">
        <x:v>Cloud asset inventory</x:v>
      </x:c>
      <x:c r="D8" s="32" t="str">
        <x:v>Discover, inventory and query cloud resources and configuration state.</x:v>
      </x:c>
      <x:c r="E8" s="32" t="str">
        <x:v>AWS Config</x:v>
      </x:c>
      <x:c r="F8" s="32" t="str">
        <x:v>Azure Resource Graph</x:v>
      </x:c>
      <x:c r="G8" s="32" t="str">
        <x:v>Cloud Asset Inventory</x:v>
      </x:c>
      <x:c r="H8" s="32" t="str">
        <x:v>Close</x:v>
      </x:c>
      <x:c r="I8" s="32"/>
      <x:c r="J8" s="32" t="str">
        <x:v>https://docs.aws.amazon.com/whitepapers/latest/aws-overview/aws-services.html</x:v>
      </x:c>
      <x:c r="K8" s="32" t="str">
        <x:v>https://azure.microsoft.com/en-gb/products/</x:v>
      </x:c>
      <x:c r="L8" s="32" t="str">
        <x:v>https://docs.cloud.google.com/docs/product-list</x:v>
      </x:c>
      <x:c r="M8" s="32" t="str">
        <x:v>2026-07-12</x:v>
      </x:c>
    </x:row>
    <x:row r="9">
      <x:c r="A9" s="32" t="str">
        <x:v>Governance &amp; Management</x:v>
      </x:c>
      <x:c r="B9" s="32" t="str">
        <x:v>Configuration management</x:v>
      </x:c>
      <x:c r="C9" s="32" t="str">
        <x:v>Configuration compliance</x:v>
      </x:c>
      <x:c r="D9" s="32" t="str">
        <x:v>Track configuration changes and assess resources against required baselines.</x:v>
      </x:c>
      <x:c r="E9" s="32" t="str">
        <x:v>AWS Config</x:v>
      </x:c>
      <x:c r="F9" s="32" t="str">
        <x:v>Azure Policy
Microsoft Defender for Cloud</x:v>
      </x:c>
      <x:c r="G9" s="32" t="str">
        <x:v>Security Command Center
Config Controller</x:v>
      </x:c>
      <x:c r="H9" s="32" t="str">
        <x:v>Close</x:v>
      </x:c>
      <x:c r="I9" s="32"/>
      <x:c r="J9" s="32" t="str">
        <x:v>https://docs.aws.amazon.com/whitepapers/latest/aws-overview/aws-services.html</x:v>
      </x:c>
      <x:c r="K9" s="32" t="str">
        <x:v>https://azure.microsoft.com/en-gb/products/</x:v>
      </x:c>
      <x:c r="L9" s="32" t="str">
        <x:v>https://docs.cloud.google.com/docs/product-list</x:v>
      </x:c>
      <x:c r="M9" s="32" t="str">
        <x:v>2026-07-12</x:v>
      </x:c>
    </x:row>
    <x:row r="10">
      <x:c r="A10" s="32" t="str">
        <x:v>Governance &amp; Management</x:v>
      </x:c>
      <x:c r="B10" s="32" t="str">
        <x:v>Service catalogue</x:v>
      </x:c>
      <x:c r="C10" s="32" t="str">
        <x:v>Approved service catalogue</x:v>
      </x:c>
      <x:c r="D10" s="32" t="str">
        <x:v>Publish governed, reusable infrastructure and application products for internal teams.</x:v>
      </x:c>
      <x:c r="E10" s="32" t="str">
        <x:v>AWS Service Catalog</x:v>
      </x:c>
      <x:c r="F10" s="32" t="str">
        <x:v>Azure Managed Applications
Azure Deployment Environments</x:v>
      </x:c>
      <x:c r="G10" s="32" t="str">
        <x:v>Service Catalog
Application Design Center</x:v>
      </x:c>
      <x:c r="H10" s="32" t="str">
        <x:v>Partial</x:v>
      </x:c>
      <x:c r="I10" s="32"/>
      <x:c r="J10" s="32" t="str">
        <x:v>https://docs.aws.amazon.com/whitepapers/latest/aws-overview/aws-services.html</x:v>
      </x:c>
      <x:c r="K10" s="32" t="str">
        <x:v>https://azure.microsoft.com/en-gb/products/</x:v>
      </x:c>
      <x:c r="L10" s="32" t="str">
        <x:v>https://docs.cloud.google.com/docs/product-list</x:v>
      </x:c>
      <x:c r="M10" s="32" t="str">
        <x:v>2026-07-12</x:v>
      </x:c>
    </x:row>
    <x:row r="11">
      <x:c r="A11" s="32" t="str">
        <x:v>Governance &amp; Management</x:v>
      </x:c>
      <x:c r="B11" s="32" t="str">
        <x:v>Infrastructure as code</x:v>
      </x:c>
      <x:c r="C11" s="32" t="str">
        <x:v>Native infrastructure as code</x:v>
      </x:c>
      <x:c r="D11" s="32" t="str">
        <x:v>Provision and manage cloud resources from declarative templates.</x:v>
      </x:c>
      <x:c r="E11" s="32" t="str">
        <x:v>AWS CloudFormation
AWS Infrastructure Composer</x:v>
      </x:c>
      <x:c r="F11" s="32" t="str">
        <x:v>Azure Resource Manager templates
Bicep</x:v>
      </x:c>
      <x:c r="G11" s="32" t="str">
        <x:v>Infrastructure Manager
Config Connector</x:v>
      </x:c>
      <x:c r="H11" s="32" t="str">
        <x:v>Close</x:v>
      </x:c>
      <x:c r="I11" s="32"/>
      <x:c r="J11" s="32" t="str">
        <x:v>https://docs.aws.amazon.com/whitepapers/latest/aws-overview/aws-services.html</x:v>
      </x:c>
      <x:c r="K11" s="32" t="str">
        <x:v>https://azure.microsoft.com/en-gb/products/</x:v>
      </x:c>
      <x:c r="L11" s="32" t="str">
        <x:v>https://docs.cloud.google.com/docs/product-list</x:v>
      </x:c>
      <x:c r="M11" s="32" t="str">
        <x:v>2026-07-12</x:v>
      </x:c>
    </x:row>
    <x:row r="12">
      <x:c r="A12" s="32" t="str">
        <x:v>Governance &amp; Management</x:v>
      </x:c>
      <x:c r="B12" s="32" t="str">
        <x:v>Operations automation</x:v>
      </x:c>
      <x:c r="C12" s="32" t="str">
        <x:v>Cloud operations automation</x:v>
      </x:c>
      <x:c r="D12" s="32" t="str">
        <x:v>Automate patching, runbooks, configuration and routine operational actions.</x:v>
      </x:c>
      <x:c r="E12" s="32" t="str">
        <x:v>AWS Systems Manager</x:v>
      </x:c>
      <x:c r="F12" s="32" t="str">
        <x:v>Azure Automation
Azure Update Manager</x:v>
      </x:c>
      <x:c r="G12" s="32" t="str">
        <x:v>VM Manager
Workflows</x:v>
      </x:c>
      <x:c r="H12" s="32" t="str">
        <x:v>Close</x:v>
      </x:c>
      <x:c r="I12" s="32"/>
      <x:c r="J12" s="32" t="str">
        <x:v>https://docs.aws.amazon.com/whitepapers/latest/aws-overview/aws-services.html</x:v>
      </x:c>
      <x:c r="K12" s="32" t="str">
        <x:v>https://azure.microsoft.com/en-gb/products/</x:v>
      </x:c>
      <x:c r="L12" s="32" t="str">
        <x:v>https://docs.cloud.google.com/docs/product-list</x:v>
      </x:c>
      <x:c r="M12" s="32" t="str">
        <x:v>2026-07-12</x:v>
      </x:c>
    </x:row>
    <x:row r="13">
      <x:c r="A13" s="32" t="str">
        <x:v>Governance &amp; Management</x:v>
      </x:c>
      <x:c r="B13" s="32" t="str">
        <x:v>Architecture assurance</x:v>
      </x:c>
      <x:c r="C13" s="32" t="str">
        <x:v>Well-architected assessment</x:v>
      </x:c>
      <x:c r="D13" s="32" t="str">
        <x:v>Assess workloads against cloud architecture, resilience, security and cost practices.</x:v>
      </x:c>
      <x:c r="E13" s="32" t="str">
        <x:v>AWS Well-Architected Tool
AWS Trusted Advisor</x:v>
      </x:c>
      <x:c r="F13" s="32" t="str">
        <x:v>Azure Advisor
Azure Well-Architected Review</x:v>
      </x:c>
      <x:c r="G13" s="32" t="str">
        <x:v>Recommender
Architecture Framework</x:v>
      </x:c>
      <x:c r="H13" s="32" t="str">
        <x:v>Close</x:v>
      </x:c>
      <x:c r="I13" s="32"/>
      <x:c r="J13" s="32" t="str">
        <x:v>https://docs.aws.amazon.com/whitepapers/latest/aws-overview/aws-services.html</x:v>
      </x:c>
      <x:c r="K13" s="32" t="str">
        <x:v>https://azure.microsoft.com/en-gb/products/</x:v>
      </x:c>
      <x:c r="L13" s="32" t="str">
        <x:v>https://docs.cloud.google.com/docs/product-list</x:v>
      </x:c>
      <x:c r="M13" s="32" t="str">
        <x:v>2026-07-12</x:v>
      </x:c>
    </x:row>
    <x:row r="14">
      <x:c r="A14" s="32" t="str">
        <x:v>Governance &amp; Management</x:v>
      </x:c>
      <x:c r="B14" s="32" t="str">
        <x:v>Health</x:v>
      </x:c>
      <x:c r="C14" s="32" t="str">
        <x:v>Personalised cloud service health</x:v>
      </x:c>
      <x:c r="D14" s="32" t="str">
        <x:v>Show provider incidents, planned maintenance and resource-specific impact.</x:v>
      </x:c>
      <x:c r="E14" s="32" t="str">
        <x:v>AWS Health</x:v>
      </x:c>
      <x:c r="F14" s="32" t="str">
        <x:v>Azure Service Health</x:v>
      </x:c>
      <x:c r="G14" s="32" t="str">
        <x:v>Personalized Service Health</x:v>
      </x:c>
      <x:c r="H14" s="32" t="str">
        <x:v>Exact</x:v>
      </x:c>
      <x:c r="I14" s="32"/>
      <x:c r="J14" s="32" t="str">
        <x:v>https://docs.aws.amazon.com/whitepapers/latest/aws-overview/aws-services.html</x:v>
      </x:c>
      <x:c r="K14" s="32" t="str">
        <x:v>https://azure.microsoft.com/en-gb/products/</x:v>
      </x:c>
      <x:c r="L14" s="32" t="str">
        <x:v>https://docs.cloud.google.com/docs/product-list</x:v>
      </x:c>
      <x:c r="M14" s="32" t="str">
        <x:v>2026-07-12</x:v>
      </x:c>
    </x:row>
    <x:row r="15">
      <x:c r="A15" s="32" t="str">
        <x:v>Governance &amp; Management</x:v>
      </x:c>
      <x:c r="B15" s="32" t="str">
        <x:v>Notifications</x:v>
      </x:c>
      <x:c r="C15" s="32" t="str">
        <x:v>Central cloud notifications</x:v>
      </x:c>
      <x:c r="D15" s="32" t="str">
        <x:v>Route cloud operational and governance notifications to users and channels.</x:v>
      </x:c>
      <x:c r="E15" s="32" t="str">
        <x:v>AWS User Notifications
Amazon Q Developer in chat applications</x:v>
      </x:c>
      <x:c r="F15" s="32" t="str">
        <x:v>Azure Service Health alerts
Azure Monitor action groups</x:v>
      </x:c>
      <x:c r="G15" s="32" t="str">
        <x:v>Essential Contacts
Advisory Notifications</x:v>
      </x:c>
      <x:c r="H15" s="32" t="str">
        <x:v>Close</x:v>
      </x:c>
      <x:c r="I15" s="32"/>
      <x:c r="J15" s="32" t="str">
        <x:v>https://docs.aws.amazon.com/whitepapers/latest/aws-overview/aws-services.html</x:v>
      </x:c>
      <x:c r="K15" s="32" t="str">
        <x:v>https://azure.microsoft.com/en-gb/products/</x:v>
      </x:c>
      <x:c r="L15" s="32" t="str">
        <x:v>https://docs.cloud.google.com/docs/product-list</x:v>
      </x:c>
      <x:c r="M15" s="32" t="str">
        <x:v>2026-07-12</x:v>
      </x:c>
    </x:row>
    <x:row r="16">
      <x:c r="A16" s="32" t="str">
        <x:v>Governance &amp; Management</x:v>
      </x:c>
      <x:c r="B16" s="32" t="str">
        <x:v>Licensing</x:v>
      </x:c>
      <x:c r="C16" s="32" t="str">
        <x:v>Software licence management</x:v>
      </x:c>
      <x:c r="D16" s="32" t="str">
        <x:v>Track and enforce licence usage across cloud and hybrid servers.</x:v>
      </x:c>
      <x:c r="E16" s="32" t="str">
        <x:v>AWS License Manager</x:v>
      </x:c>
      <x:c r="F16" s="32" t="str">
        <x:v>Azure Hybrid Benefit
Azure Arc-enabled licensing</x:v>
      </x:c>
      <x:c r="G16" s="32" t="str">
        <x:v>License Manager</x:v>
      </x:c>
      <x:c r="H16" s="32" t="str">
        <x:v>Partial</x:v>
      </x:c>
      <x:c r="I16" s="32"/>
      <x:c r="J16" s="32" t="str">
        <x:v>https://docs.aws.amazon.com/whitepapers/latest/aws-overview/aws-services.html</x:v>
      </x:c>
      <x:c r="K16" s="32" t="str">
        <x:v>https://azure.microsoft.com/en-gb/products/</x:v>
      </x:c>
      <x:c r="L16" s="32" t="str">
        <x:v>https://docs.cloud.google.com/docs/product-list</x:v>
      </x:c>
      <x:c r="M16" s="32" t="str">
        <x:v>2026-07-12</x:v>
      </x:c>
    </x:row>
    <x:row r="17">
      <x:c r="A17" s="32" t="str">
        <x:v>Governance &amp; Management</x:v>
      </x:c>
      <x:c r="B17" s="32" t="str">
        <x:v>Quotas</x:v>
      </x:c>
      <x:c r="C17" s="32" t="str">
        <x:v>Service quota management</x:v>
      </x:c>
      <x:c r="D17" s="32" t="str">
        <x:v>View, monitor and request changes to cloud service quotas.</x:v>
      </x:c>
      <x:c r="E17" s="32" t="str">
        <x:v>AWS Service Quotas</x:v>
      </x:c>
      <x:c r="F17" s="32" t="str">
        <x:v>Azure Quotas</x:v>
      </x:c>
      <x:c r="G17" s="32" t="str">
        <x:v>Cloud Quotas</x:v>
      </x:c>
      <x:c r="H17" s="32" t="str">
        <x:v>Exact</x:v>
      </x:c>
      <x:c r="I17" s="32"/>
      <x:c r="J17" s="32" t="str">
        <x:v>https://docs.aws.amazon.com/whitepapers/latest/aws-overview/aws-services.html</x:v>
      </x:c>
      <x:c r="K17" s="32" t="str">
        <x:v>https://azure.microsoft.com/en-gb/products/</x:v>
      </x:c>
      <x:c r="L17" s="32" t="str">
        <x:v>https://docs.cloud.google.com/docs/product-list</x:v>
      </x:c>
      <x:c r="M17" s="32" t="str">
        <x:v>2026-07-12</x:v>
      </x:c>
    </x:row>
    <x:row r="18">
      <x:c r="A18" s="32" t="str">
        <x:v>Governance &amp; Management</x:v>
      </x:c>
      <x:c r="B18" s="32" t="str">
        <x:v>Managed operations</x:v>
      </x:c>
      <x:c r="C18" s="32" t="str">
        <x:v>Managed cloud operations</x:v>
      </x:c>
      <x:c r="D18" s="32" t="str">
        <x:v>Provider-operated governance and operations for enterprise cloud estates.</x:v>
      </x:c>
      <x:c r="E18" s="32" t="str">
        <x:v>AWS Managed Services</x:v>
      </x:c>
      <x:c r="F18" s="32" t="str">
        <x:v>Azure Expert Managed Services ecosystem</x:v>
      </x:c>
      <x:c r="G18" s="32" t="str">
        <x:v>Google Cloud Consulting / managed services ecosystem</x:v>
      </x:c>
      <x:c r="H18" s="32" t="str">
        <x:v>Partial</x:v>
      </x:c>
      <x:c r="I18" s="32" t="str">
        <x:v>Azure and Google generally deliver this through service offerings and partners rather than a single equivalent product.</x:v>
      </x:c>
      <x:c r="J18" s="32" t="str">
        <x:v>https://docs.aws.amazon.com/whitepapers/latest/aws-overview/aws-services.html</x:v>
      </x:c>
      <x:c r="K18" s="32" t="str">
        <x:v>https://azure.microsoft.com/en-gb/products/</x:v>
      </x:c>
      <x:c r="L18" s="32" t="str">
        <x:v>https://docs.cloud.google.com/docs/product-list</x:v>
      </x:c>
      <x:c r="M18" s="32" t="str">
        <x:v>2026-07-12</x:v>
      </x:c>
    </x:row>
    <x:row r="19">
      <x:c r="A19" s="32" t="str">
        <x:v>FinOps &amp; Commercial</x:v>
      </x:c>
      <x:c r="B19" s="32" t="str">
        <x:v>Cost management</x:v>
      </x:c>
      <x:c r="C19" s="32" t="str">
        <x:v>Cost analysis and optimisation</x:v>
      </x:c>
      <x:c r="D19" s="32" t="str">
        <x:v>Analyse cloud spend, allocation, trends and optimisation opportunities.</x:v>
      </x:c>
      <x:c r="E19" s="32" t="str">
        <x:v>AWS Cost Explorer
AWS Compute Optimizer</x:v>
      </x:c>
      <x:c r="F19" s="32" t="str">
        <x:v>Microsoft Cost Management
Azure Advisor</x:v>
      </x:c>
      <x:c r="G19" s="32" t="str">
        <x:v>Cloud Billing
FinOps hub
Recommender</x:v>
      </x:c>
      <x:c r="H19" s="32" t="str">
        <x:v>Close</x:v>
      </x:c>
      <x:c r="I19" s="32"/>
      <x:c r="J19" s="32" t="str">
        <x:v>https://docs.aws.amazon.com/whitepapers/latest/aws-overview/aws-services.html</x:v>
      </x:c>
      <x:c r="K19" s="32" t="str">
        <x:v>https://azure.microsoft.com/en-gb/products/</x:v>
      </x:c>
      <x:c r="L19" s="32" t="str">
        <x:v>https://docs.cloud.google.com/docs/product-list</x:v>
      </x:c>
      <x:c r="M19" s="32" t="str">
        <x:v>2026-07-12</x:v>
      </x:c>
    </x:row>
    <x:row r="20">
      <x:c r="A20" s="32" t="str">
        <x:v>FinOps &amp; Commercial</x:v>
      </x:c>
      <x:c r="B20" s="32" t="str">
        <x:v>Budgets</x:v>
      </x:c>
      <x:c r="C20" s="32" t="str">
        <x:v>Cloud budgets and alerts</x:v>
      </x:c>
      <x:c r="D20" s="32" t="str">
        <x:v>Set budgets, thresholds and alerts for cloud expenditure.</x:v>
      </x:c>
      <x:c r="E20" s="32" t="str">
        <x:v>AWS Budgets</x:v>
      </x:c>
      <x:c r="F20" s="32" t="str">
        <x:v>Microsoft Cost Management budgets</x:v>
      </x:c>
      <x:c r="G20" s="32" t="str">
        <x:v>Cloud Billing budgets and alerts</x:v>
      </x:c>
      <x:c r="H20" s="32" t="str">
        <x:v>Exact</x:v>
      </x:c>
      <x:c r="I20" s="32"/>
      <x:c r="J20" s="32" t="str">
        <x:v>https://docs.aws.amazon.com/whitepapers/latest/aws-overview/aws-services.html</x:v>
      </x:c>
      <x:c r="K20" s="32" t="str">
        <x:v>https://azure.microsoft.com/en-gb/products/</x:v>
      </x:c>
      <x:c r="L20" s="32" t="str">
        <x:v>https://docs.cloud.google.com/docs/product-list</x:v>
      </x:c>
      <x:c r="M20" s="32" t="str">
        <x:v>2026-07-12</x:v>
      </x:c>
    </x:row>
    <x:row r="21">
      <x:c r="A21" s="32" t="str">
        <x:v>FinOps &amp; Commercial</x:v>
      </x:c>
      <x:c r="B21" s="32" t="str">
        <x:v>Billing allocation</x:v>
      </x:c>
      <x:c r="C21" s="32" t="str">
        <x:v>Custom billing and chargeback</x:v>
      </x:c>
      <x:c r="D21" s="32" t="str">
        <x:v>Allocate, group and charge back cloud costs to internal entities.</x:v>
      </x:c>
      <x:c r="E21" s="32" t="str">
        <x:v>AWS Billing Conductor
AWS Cost and Usage Report</x:v>
      </x:c>
      <x:c r="F21" s="32" t="str">
        <x:v>Microsoft Cost Management exports
Cost allocation rules</x:v>
      </x:c>
      <x:c r="G21" s="32" t="str">
        <x:v>Cloud Billing export
Billing account structure</x:v>
      </x:c>
      <x:c r="H21" s="32" t="str">
        <x:v>Close</x:v>
      </x:c>
      <x:c r="I21" s="32"/>
      <x:c r="J21" s="32" t="str">
        <x:v>https://docs.aws.amazon.com/whitepapers/latest/aws-overview/aws-services.html</x:v>
      </x:c>
      <x:c r="K21" s="32" t="str">
        <x:v>https://azure.microsoft.com/en-gb/products/</x:v>
      </x:c>
      <x:c r="L21" s="32" t="str">
        <x:v>https://docs.cloud.google.com/docs/product-list</x:v>
      </x:c>
      <x:c r="M21" s="32" t="str">
        <x:v>2026-07-12</x:v>
      </x:c>
    </x:row>
    <x:row r="22">
      <x:c r="A22" s="32" t="str">
        <x:v>FinOps &amp; Commercial</x:v>
      </x:c>
      <x:c r="B22" s="32" t="str">
        <x:v>Commitment discounts</x:v>
      </x:c>
      <x:c r="C22" s="32" t="str">
        <x:v>Committed-use savings</x:v>
      </x:c>
      <x:c r="D22" s="32" t="str">
        <x:v>Reduce eligible compute costs through term-based usage commitments.</x:v>
      </x:c>
      <x:c r="E22" s="32" t="str">
        <x:v>AWS Savings Plans
Reserved Instances</x:v>
      </x:c>
      <x:c r="F22" s="32" t="str">
        <x:v>Azure Reservations
Azure savings plan for compute</x:v>
      </x:c>
      <x:c r="G22" s="32" t="str">
        <x:v>Committed Use Discounts</x:v>
      </x:c>
      <x:c r="H22" s="32" t="str">
        <x:v>Exact</x:v>
      </x:c>
      <x:c r="I22" s="32"/>
      <x:c r="J22" s="32" t="str">
        <x:v>https://docs.aws.amazon.com/whitepapers/latest/aws-overview/aws-services.html</x:v>
      </x:c>
      <x:c r="K22" s="32" t="str">
        <x:v>https://azure.microsoft.com/en-gb/products/</x:v>
      </x:c>
      <x:c r="L22" s="32" t="str">
        <x:v>https://docs.cloud.google.com/docs/product-list</x:v>
      </x:c>
      <x:c r="M22" s="32" t="str">
        <x:v>2026-07-12</x:v>
      </x:c>
    </x:row>
    <x:row r="23">
      <x:c r="A23" s="32" t="str">
        <x:v>FinOps &amp; Commercial</x:v>
      </x:c>
      <x:c r="B23" s="32" t="str">
        <x:v>Sustainability</x:v>
      </x:c>
      <x:c r="C23" s="32" t="str">
        <x:v>Cloud carbon reporting</x:v>
      </x:c>
      <x:c r="D23" s="32" t="str">
        <x:v>Estimate carbon emissions associated with cloud usage.</x:v>
      </x:c>
      <x:c r="E23" s="32" t="str">
        <x:v>AWS Customer Carbon Footprint Tool</x:v>
      </x:c>
      <x:c r="F23" s="32" t="str">
        <x:v>Microsoft Emissions Impact Dashboard</x:v>
      </x:c>
      <x:c r="G23" s="32" t="str">
        <x:v>Carbon Footprint</x:v>
      </x:c>
      <x:c r="H23" s="32" t="str">
        <x:v>Close</x:v>
      </x:c>
      <x:c r="I23" s="32"/>
      <x:c r="J23" s="32" t="str">
        <x:v>https://docs.aws.amazon.com/whitepapers/latest/aws-overview/aws-services.html</x:v>
      </x:c>
      <x:c r="K23" s="32" t="str">
        <x:v>https://azure.microsoft.com/en-gb/products/</x:v>
      </x:c>
      <x:c r="L23" s="32" t="str">
        <x:v>https://docs.cloud.google.com/docs/product-list</x:v>
      </x:c>
      <x:c r="M23" s="32" t="str">
        <x:v>2026-07-12</x:v>
      </x:c>
    </x:row>
    <x:row r="24">
      <x:c r="A24" s="32" t="str">
        <x:v>AI &amp; Machine Learning</x:v>
      </x:c>
      <x:c r="B24" s="32" t="str">
        <x:v>AI platform</x:v>
      </x:c>
      <x:c r="C24" s="32" t="str">
        <x:v>Unified AI/ML platform</x:v>
      </x:c>
      <x:c r="D24" s="32" t="str">
        <x:v>Develop, train, govern, deploy and operate machine-learning and generative-AI solutions.</x:v>
      </x:c>
      <x:c r="E24" s="32" t="str">
        <x:v>Amazon SageMaker AI</x:v>
      </x:c>
      <x:c r="F24" s="32" t="str">
        <x:v>Azure Machine Learning
Microsoft Foundry</x:v>
      </x:c>
      <x:c r="G24" s="32" t="str">
        <x:v>Vertex AI
Gemini Enterprise Agent Platform</x:v>
      </x:c>
      <x:c r="H24" s="32" t="str">
        <x:v>Close</x:v>
      </x:c>
      <x:c r="I24" s="32"/>
      <x:c r="J24" s="32" t="str">
        <x:v>https://docs.aws.amazon.com/whitepapers/latest/aws-overview/aws-services.html</x:v>
      </x:c>
      <x:c r="K24" s="32" t="str">
        <x:v>https://azure.microsoft.com/en-gb/products/</x:v>
      </x:c>
      <x:c r="L24" s="32" t="str">
        <x:v>https://docs.cloud.google.com/docs/product-list</x:v>
      </x:c>
      <x:c r="M24" s="32" t="str">
        <x:v>2026-07-12</x:v>
      </x:c>
    </x:row>
    <x:row r="25">
      <x:c r="A25" s="32" t="str">
        <x:v>AI &amp; Machine Learning</x:v>
      </x:c>
      <x:c r="B25" s="32" t="str">
        <x:v>AI governance</x:v>
      </x:c>
      <x:c r="C25" s="32" t="str">
        <x:v>AI governance and control plane</x:v>
      </x:c>
      <x:c r="D25" s="32" t="str">
        <x:v>Inventory AI assets, apply policies, assess risk and oversee AI across its lifecycle.</x:v>
      </x:c>
      <x:c r="E25" s="32" t="str">
        <x:v>Amazon SageMaker Model Cards
Amazon SageMaker Model Dashboard
AWS Audit Manager</x:v>
      </x:c>
      <x:c r="F25" s="32" t="str">
        <x:v>Microsoft Foundry Control Plane
Microsoft Purview
Azure Machine Learning responsible AI</x:v>
      </x:c>
      <x:c r="G25" s="32" t="str">
        <x:v>Vertex AI Model Registry
Model Monitoring
Dataplex Universal Catalog</x:v>
      </x:c>
      <x:c r="H25" s="32" t="str">
        <x:v>Partial</x:v>
      </x:c>
      <x:c r="I25" s="32" t="str">
        <x:v>AI governance is a control set rather than one perfectly equivalent product.</x:v>
      </x:c>
      <x:c r="J25" s="32" t="str">
        <x:v>https://docs.aws.amazon.com/whitepapers/latest/aws-overview/aws-services.html</x:v>
      </x:c>
      <x:c r="K25" s="32" t="str">
        <x:v>https://azure.microsoft.com/en-gb/products/</x:v>
      </x:c>
      <x:c r="L25" s="32" t="str">
        <x:v>https://docs.cloud.google.com/docs/product-list</x:v>
      </x:c>
      <x:c r="M25" s="32" t="str">
        <x:v>2026-07-12</x:v>
      </x:c>
    </x:row>
    <x:row r="26">
      <x:c r="A26" s="32" t="str">
        <x:v>AI &amp; Machine Learning</x:v>
      </x:c>
      <x:c r="B26" s="32" t="str">
        <x:v>Responsible AI</x:v>
      </x:c>
      <x:c r="C26" s="32" t="str">
        <x:v>Responsible-AI assessment</x:v>
      </x:c>
      <x:c r="D26" s="32" t="str">
        <x:v>Evaluate fairness, explainability, errors and model behaviour before and after deployment.</x:v>
      </x:c>
      <x:c r="E26" s="32" t="str">
        <x:v>SageMaker Clarify
SageMaker Model Cards</x:v>
      </x:c>
      <x:c r="F26" s="32" t="str">
        <x:v>Azure Machine Learning Responsible AI dashboard
Foundry evaluations</x:v>
      </x:c>
      <x:c r="G26" s="32" t="str">
        <x:v>Vertex Explainable AI
Vertex AI Evaluation</x:v>
      </x:c>
      <x:c r="H26" s="32" t="str">
        <x:v>Close</x:v>
      </x:c>
      <x:c r="I26" s="32"/>
      <x:c r="J26" s="32" t="str">
        <x:v>https://docs.aws.amazon.com/whitepapers/latest/aws-overview/aws-services.html</x:v>
      </x:c>
      <x:c r="K26" s="32" t="str">
        <x:v>https://azure.microsoft.com/en-gb/products/</x:v>
      </x:c>
      <x:c r="L26" s="32" t="str">
        <x:v>https://docs.cloud.google.com/docs/product-list</x:v>
      </x:c>
      <x:c r="M26" s="32" t="str">
        <x:v>2026-07-12</x:v>
      </x:c>
    </x:row>
    <x:row r="27">
      <x:c r="A27" s="32" t="str">
        <x:v>AI &amp; Machine Learning</x:v>
      </x:c>
      <x:c r="B27" s="32" t="str">
        <x:v>AI security</x:v>
      </x:c>
      <x:c r="C27" s="32" t="str">
        <x:v>AI security posture management</x:v>
      </x:c>
      <x:c r="D27" s="32" t="str">
        <x:v>Discover AI workloads, identify risks and monitor threats affecting AI systems.</x:v>
      </x:c>
      <x:c r="E27" s="32" t="str">
        <x:v>Amazon GuardDuty
AWS Security Hub
Amazon Inspector</x:v>
      </x:c>
      <x:c r="F27" s="32" t="str">
        <x:v>Microsoft Defender for Cloud AI security posture management
Microsoft Security Copilot</x:v>
      </x:c>
      <x:c r="G27" s="32" t="str">
        <x:v>Security Command Center AI Protection
Model Armor</x:v>
      </x:c>
      <x:c r="H27" s="32" t="str">
        <x:v>Partial</x:v>
      </x:c>
      <x:c r="I27" s="32"/>
      <x:c r="J27" s="32" t="str">
        <x:v>https://docs.aws.amazon.com/whitepapers/latest/aws-overview/aws-services.html</x:v>
      </x:c>
      <x:c r="K27" s="32" t="str">
        <x:v>https://azure.microsoft.com/en-gb/products/</x:v>
      </x:c>
      <x:c r="L27" s="32" t="str">
        <x:v>https://docs.cloud.google.com/docs/product-list</x:v>
      </x:c>
      <x:c r="M27" s="32" t="str">
        <x:v>2026-07-12</x:v>
      </x:c>
    </x:row>
    <x:row r="28">
      <x:c r="A28" s="32" t="str">
        <x:v>AI &amp; Machine Learning</x:v>
      </x:c>
      <x:c r="B28" s="32" t="str">
        <x:v>AI safety</x:v>
      </x:c>
      <x:c r="C28" s="32" t="str">
        <x:v>Generative-AI guardrails</x:v>
      </x:c>
      <x:c r="D28" s="32" t="str">
        <x:v>Apply safety policies, topic controls, grounding checks and content filters to model interactions.</x:v>
      </x:c>
      <x:c r="E28" s="32" t="str">
        <x:v>Guardrails for Amazon Bedrock</x:v>
      </x:c>
      <x:c r="F28" s="32" t="str">
        <x:v>Azure AI Content Safety
Foundry guardrails</x:v>
      </x:c>
      <x:c r="G28" s="32" t="str">
        <x:v>Model Armor
Vertex AI safety filters</x:v>
      </x:c>
      <x:c r="H28" s="32" t="str">
        <x:v>Close</x:v>
      </x:c>
      <x:c r="I28" s="32"/>
      <x:c r="J28" s="32" t="str">
        <x:v>https://docs.aws.amazon.com/whitepapers/latest/aws-overview/aws-services.html</x:v>
      </x:c>
      <x:c r="K28" s="32" t="str">
        <x:v>https://azure.microsoft.com/en-gb/products/</x:v>
      </x:c>
      <x:c r="L28" s="32" t="str">
        <x:v>https://docs.cloud.google.com/docs/product-list</x:v>
      </x:c>
      <x:c r="M28" s="32" t="str">
        <x:v>2026-07-12</x:v>
      </x:c>
    </x:row>
    <x:row r="29">
      <x:c r="A29" s="32" t="str">
        <x:v>AI &amp; Machine Learning</x:v>
      </x:c>
      <x:c r="B29" s="32" t="str">
        <x:v>AI safety</x:v>
      </x:c>
      <x:c r="C29" s="32" t="str">
        <x:v>Prompt-injection protection</x:v>
      </x:c>
      <x:c r="D29" s="32" t="str">
        <x:v>Detect and mitigate malicious instructions, jailbreaks and unsafe prompt patterns.</x:v>
      </x:c>
      <x:c r="E29" s="32" t="str">
        <x:v>Guardrails for Amazon Bedrock</x:v>
      </x:c>
      <x:c r="F29" s="32" t="str">
        <x:v>Prompt Shields in Azure AI Content Safety</x:v>
      </x:c>
      <x:c r="G29" s="32" t="str">
        <x:v>Model Armor</x:v>
      </x:c>
      <x:c r="H29" s="32" t="str">
        <x:v>Close</x:v>
      </x:c>
      <x:c r="I29" s="32"/>
      <x:c r="J29" s="32" t="str">
        <x:v>https://docs.aws.amazon.com/whitepapers/latest/aws-overview/aws-services.html</x:v>
      </x:c>
      <x:c r="K29" s="32" t="str">
        <x:v>https://azure.microsoft.com/en-gb/products/</x:v>
      </x:c>
      <x:c r="L29" s="32" t="str">
        <x:v>https://docs.cloud.google.com/docs/product-list</x:v>
      </x:c>
      <x:c r="M29" s="32" t="str">
        <x:v>2026-07-12</x:v>
      </x:c>
    </x:row>
    <x:row r="30">
      <x:c r="A30" s="32" t="str">
        <x:v>AI &amp; Machine Learning</x:v>
      </x:c>
      <x:c r="B30" s="32" t="str">
        <x:v>AI evaluation</x:v>
      </x:c>
      <x:c r="C30" s="32" t="str">
        <x:v>Foundation-model evaluation</x:v>
      </x:c>
      <x:c r="D30" s="32" t="str">
        <x:v>Measure quality, safety, groundedness and task performance of generative-AI systems.</x:v>
      </x:c>
      <x:c r="E30" s="32" t="str">
        <x:v>Amazon Bedrock Evaluations
SageMaker Clarify</x:v>
      </x:c>
      <x:c r="F30" s="32" t="str">
        <x:v>Microsoft Foundry evaluations
Azure Machine Learning</x:v>
      </x:c>
      <x:c r="G30" s="32" t="str">
        <x:v>Vertex AI Evaluation</x:v>
      </x:c>
      <x:c r="H30" s="32" t="str">
        <x:v>Close</x:v>
      </x:c>
      <x:c r="I30" s="32"/>
      <x:c r="J30" s="32" t="str">
        <x:v>https://docs.aws.amazon.com/whitepapers/latest/aws-overview/aws-services.html</x:v>
      </x:c>
      <x:c r="K30" s="32" t="str">
        <x:v>https://azure.microsoft.com/en-gb/products/</x:v>
      </x:c>
      <x:c r="L30" s="32" t="str">
        <x:v>https://docs.cloud.google.com/docs/product-list</x:v>
      </x:c>
      <x:c r="M30" s="32" t="str">
        <x:v>2026-07-12</x:v>
      </x:c>
    </x:row>
    <x:row r="31">
      <x:c r="A31" s="32" t="str">
        <x:v>AI &amp; Machine Learning</x:v>
      </x:c>
      <x:c r="B31" s="32" t="str">
        <x:v>AI observability</x:v>
      </x:c>
      <x:c r="C31" s="32" t="str">
        <x:v>AI application observability</x:v>
      </x:c>
      <x:c r="D31" s="32" t="str">
        <x:v>Trace prompts, agents, tools, latency, quality and token usage in AI applications.</x:v>
      </x:c>
      <x:c r="E31" s="32" t="str">
        <x:v>Amazon Bedrock AgentCore Observability
Amazon CloudWatch</x:v>
      </x:c>
      <x:c r="F31" s="32" t="str">
        <x:v>Observability in Foundry Control Plane
Azure Monitor</x:v>
      </x:c>
      <x:c r="G31" s="32" t="str">
        <x:v>Vertex AI Agent Engine observability
Cloud Trace
Cloud Monitoring</x:v>
      </x:c>
      <x:c r="H31" s="32" t="str">
        <x:v>Close</x:v>
      </x:c>
      <x:c r="I31" s="32"/>
      <x:c r="J31" s="32" t="str">
        <x:v>https://docs.aws.amazon.com/whitepapers/latest/aws-overview/aws-services.html</x:v>
      </x:c>
      <x:c r="K31" s="32" t="str">
        <x:v>https://azure.microsoft.com/en-gb/products/</x:v>
      </x:c>
      <x:c r="L31" s="32" t="str">
        <x:v>https://docs.cloud.google.com/docs/product-list</x:v>
      </x:c>
      <x:c r="M31" s="32" t="str">
        <x:v>2026-07-12</x:v>
      </x:c>
    </x:row>
    <x:row r="32">
      <x:c r="A32" s="32" t="str">
        <x:v>AI &amp; Machine Learning</x:v>
      </x:c>
      <x:c r="B32" s="32" t="str">
        <x:v>Foundation models</x:v>
      </x:c>
      <x:c r="C32" s="32" t="str">
        <x:v>Managed foundation-model platform</x:v>
      </x:c>
      <x:c r="D32" s="32" t="str">
        <x:v>Access, customise and govern foundation models through managed APIs and tooling.</x:v>
      </x:c>
      <x:c r="E32" s="32" t="str">
        <x:v>Amazon Bedrock</x:v>
      </x:c>
      <x:c r="F32" s="32" t="str">
        <x:v>Microsoft Foundry
Azure OpenAI in Foundry Models</x:v>
      </x:c>
      <x:c r="G32" s="32" t="str">
        <x:v>Vertex AI</x:v>
      </x:c>
      <x:c r="H32" s="32" t="str">
        <x:v>Close</x:v>
      </x:c>
      <x:c r="I32" s="32"/>
      <x:c r="J32" s="32" t="str">
        <x:v>https://docs.aws.amazon.com/whitepapers/latest/aws-overview/aws-services.html</x:v>
      </x:c>
      <x:c r="K32" s="32" t="str">
        <x:v>https://azure.microsoft.com/en-gb/products/</x:v>
      </x:c>
      <x:c r="L32" s="32" t="str">
        <x:v>https://docs.cloud.google.com/docs/product-list</x:v>
      </x:c>
      <x:c r="M32" s="32" t="str">
        <x:v>2026-07-12</x:v>
      </x:c>
    </x:row>
    <x:row r="33">
      <x:c r="A33" s="32" t="str">
        <x:v>AI &amp; Machine Learning</x:v>
      </x:c>
      <x:c r="B33" s="32" t="str">
        <x:v>Foundation models</x:v>
      </x:c>
      <x:c r="C33" s="32" t="str">
        <x:v>Provider foundation models</x:v>
      </x:c>
      <x:c r="D33" s="32" t="str">
        <x:v>Cloud-provider-developed multimodal foundation-model family.</x:v>
      </x:c>
      <x:c r="E33" s="32" t="str">
        <x:v>Amazon Nova</x:v>
      </x:c>
      <x:c r="F33" s="32" t="str">
        <x:v>Phi models</x:v>
      </x:c>
      <x:c r="G33" s="32" t="str">
        <x:v>Gemini models</x:v>
      </x:c>
      <x:c r="H33" s="32" t="str">
        <x:v>Close</x:v>
      </x:c>
      <x:c r="I33" s="32"/>
      <x:c r="J33" s="32" t="str">
        <x:v>https://docs.aws.amazon.com/whitepapers/latest/aws-overview/aws-services.html</x:v>
      </x:c>
      <x:c r="K33" s="32" t="str">
        <x:v>https://azure.microsoft.com/en-gb/products/</x:v>
      </x:c>
      <x:c r="L33" s="32" t="str">
        <x:v>https://docs.cloud.google.com/docs/product-list</x:v>
      </x:c>
      <x:c r="M33" s="32" t="str">
        <x:v>2026-07-12</x:v>
      </x:c>
    </x:row>
    <x:row r="34">
      <x:c r="A34" s="32" t="str">
        <x:v>AI &amp; Machine Learning</x:v>
      </x:c>
      <x:c r="B34" s="32" t="str">
        <x:v>Model catalogue</x:v>
      </x:c>
      <x:c r="C34" s="32" t="str">
        <x:v>Foundation-model catalogue</x:v>
      </x:c>
      <x:c r="D34" s="32" t="str">
        <x:v>Discover and deploy first-party and partner models from a managed catalogue.</x:v>
      </x:c>
      <x:c r="E34" s="32" t="str">
        <x:v>Amazon Bedrock model catalog
Amazon SageMaker JumpStart</x:v>
      </x:c>
      <x:c r="F34" s="32" t="str">
        <x:v>Foundry Models</x:v>
      </x:c>
      <x:c r="G34" s="32" t="str">
        <x:v>Vertex AI Model Garden</x:v>
      </x:c>
      <x:c r="H34" s="32" t="str">
        <x:v>Close</x:v>
      </x:c>
      <x:c r="I34" s="32"/>
      <x:c r="J34" s="32" t="str">
        <x:v>https://docs.aws.amazon.com/whitepapers/latest/aws-overview/aws-services.html</x:v>
      </x:c>
      <x:c r="K34" s="32" t="str">
        <x:v>https://azure.microsoft.com/en-gb/products/</x:v>
      </x:c>
      <x:c r="L34" s="32" t="str">
        <x:v>https://docs.cloud.google.com/docs/product-list</x:v>
      </x:c>
      <x:c r="M34" s="32" t="str">
        <x:v>2026-07-12</x:v>
      </x:c>
    </x:row>
    <x:row r="35">
      <x:c r="A35" s="32" t="str">
        <x:v>AI &amp; Machine Learning</x:v>
      </x:c>
      <x:c r="B35" s="32" t="str">
        <x:v>Agents</x:v>
      </x:c>
      <x:c r="C35" s="32" t="str">
        <x:v>Managed AI agent platform</x:v>
      </x:c>
      <x:c r="D35" s="32" t="str">
        <x:v>Build, deploy and operate agents that reason, retrieve information and invoke tools.</x:v>
      </x:c>
      <x:c r="E35" s="32" t="str">
        <x:v>Agents for Amazon Bedrock
Amazon Bedrock AgentCore</x:v>
      </x:c>
      <x:c r="F35" s="32" t="str">
        <x:v>Foundry Agent Service</x:v>
      </x:c>
      <x:c r="G35" s="32" t="str">
        <x:v>Vertex AI Agent Engine
Gemini Enterprise Agent Platform</x:v>
      </x:c>
      <x:c r="H35" s="32" t="str">
        <x:v>Close</x:v>
      </x:c>
      <x:c r="I35" s="32"/>
      <x:c r="J35" s="32" t="str">
        <x:v>https://docs.aws.amazon.com/whitepapers/latest/aws-overview/aws-services.html</x:v>
      </x:c>
      <x:c r="K35" s="32" t="str">
        <x:v>https://azure.microsoft.com/en-gb/products/</x:v>
      </x:c>
      <x:c r="L35" s="32" t="str">
        <x:v>https://docs.cloud.google.com/docs/product-list</x:v>
      </x:c>
      <x:c r="M35" s="32" t="str">
        <x:v>2026-07-12</x:v>
      </x:c>
    </x:row>
    <x:row r="36">
      <x:c r="A36" s="32" t="str">
        <x:v>AI &amp; Machine Learning</x:v>
      </x:c>
      <x:c r="B36" s="32" t="str">
        <x:v>Agents</x:v>
      </x:c>
      <x:c r="C36" s="32" t="str">
        <x:v>Multi-agent orchestration</x:v>
      </x:c>
      <x:c r="D36" s="32" t="str">
        <x:v>Coordinate specialised AI agents, workflows and tools to complete complex tasks.</x:v>
      </x:c>
      <x:c r="E36" s="32" t="str">
        <x:v>Amazon Bedrock multi-agent collaboration</x:v>
      </x:c>
      <x:c r="F36" s="32" t="str">
        <x:v>Foundry Agent Service</x:v>
      </x:c>
      <x:c r="G36" s="32" t="str">
        <x:v>Agent Development Kit
Vertex AI Agent Engine</x:v>
      </x:c>
      <x:c r="H36" s="32" t="str">
        <x:v>Close</x:v>
      </x:c>
      <x:c r="I36" s="32"/>
      <x:c r="J36" s="32" t="str">
        <x:v>https://docs.aws.amazon.com/whitepapers/latest/aws-overview/aws-services.html</x:v>
      </x:c>
      <x:c r="K36" s="32" t="str">
        <x:v>https://azure.microsoft.com/en-gb/products/</x:v>
      </x:c>
      <x:c r="L36" s="32" t="str">
        <x:v>https://docs.cloud.google.com/docs/product-list</x:v>
      </x:c>
      <x:c r="M36" s="32" t="str">
        <x:v>2026-07-12</x:v>
      </x:c>
    </x:row>
    <x:row r="37">
      <x:c r="A37" s="32" t="str">
        <x:v>AI &amp; Machine Learning</x:v>
      </x:c>
      <x:c r="B37" s="32" t="str">
        <x:v>RAG</x:v>
      </x:c>
      <x:c r="C37" s="32" t="str">
        <x:v>Managed knowledge bases for RAG</x:v>
      </x:c>
      <x:c r="D37" s="32" t="str">
        <x:v>Connect enterprise content to foundation models for grounded retrieval-augmented generation.</x:v>
      </x:c>
      <x:c r="E37" s="32" t="str">
        <x:v>Knowledge Bases for Amazon Bedrock</x:v>
      </x:c>
      <x:c r="F37" s="32" t="str">
        <x:v>Azure AI Search
Foundry IQ</x:v>
      </x:c>
      <x:c r="G37" s="32" t="str">
        <x:v>Vertex AI Search
Vertex AI RAG Engine</x:v>
      </x:c>
      <x:c r="H37" s="32" t="str">
        <x:v>Close</x:v>
      </x:c>
      <x:c r="I37" s="32"/>
      <x:c r="J37" s="32" t="str">
        <x:v>https://docs.aws.amazon.com/whitepapers/latest/aws-overview/aws-services.html</x:v>
      </x:c>
      <x:c r="K37" s="32" t="str">
        <x:v>https://azure.microsoft.com/en-gb/products/</x:v>
      </x:c>
      <x:c r="L37" s="32" t="str">
        <x:v>https://docs.cloud.google.com/docs/product-list</x:v>
      </x:c>
      <x:c r="M37" s="32" t="str">
        <x:v>2026-07-12</x:v>
      </x:c>
    </x:row>
    <x:row r="38">
      <x:c r="A38" s="32" t="str">
        <x:v>AI &amp; Machine Learning</x:v>
      </x:c>
      <x:c r="B38" s="32" t="str">
        <x:v>Enterprise search</x:v>
      </x:c>
      <x:c r="C38" s="32" t="str">
        <x:v>AI-powered enterprise search</x:v>
      </x:c>
      <x:c r="D38" s="32" t="str">
        <x:v>Index and retrieve enterprise information using semantic and generative search.</x:v>
      </x:c>
      <x:c r="E38" s="32" t="str">
        <x:v>Amazon Kendra
Amazon OpenSearch Service</x:v>
      </x:c>
      <x:c r="F38" s="32" t="str">
        <x:v>Azure AI Search</x:v>
      </x:c>
      <x:c r="G38" s="32" t="str">
        <x:v>Vertex AI Search</x:v>
      </x:c>
      <x:c r="H38" s="32" t="str">
        <x:v>Close</x:v>
      </x:c>
      <x:c r="I38" s="32"/>
      <x:c r="J38" s="32" t="str">
        <x:v>https://docs.aws.amazon.com/whitepapers/latest/aws-overview/aws-services.html</x:v>
      </x:c>
      <x:c r="K38" s="32" t="str">
        <x:v>https://azure.microsoft.com/en-gb/products/</x:v>
      </x:c>
      <x:c r="L38" s="32" t="str">
        <x:v>https://docs.cloud.google.com/docs/product-list</x:v>
      </x:c>
      <x:c r="M38" s="32" t="str">
        <x:v>2026-07-12</x:v>
      </x:c>
    </x:row>
    <x:row r="39">
      <x:c r="A39" s="32" t="str">
        <x:v>AI &amp; Machine Learning</x:v>
      </x:c>
      <x:c r="B39" s="32" t="str">
        <x:v>Vector search</x:v>
      </x:c>
      <x:c r="C39" s="32" t="str">
        <x:v>Managed vector search</x:v>
      </x:c>
      <x:c r="D39" s="32" t="str">
        <x:v>Store embeddings and run similarity search for RAG and recommendation workloads.</x:v>
      </x:c>
      <x:c r="E39" s="32" t="str">
        <x:v>Amazon OpenSearch Service vector engine
Amazon Aurora PostgreSQL pgvector
Amazon DocumentDB vector search</x:v>
      </x:c>
      <x:c r="F39" s="32" t="str">
        <x:v>Azure AI Search vector search
Azure Cosmos DB vector search
Azure Database for PostgreSQL pgvector</x:v>
      </x:c>
      <x:c r="G39" s="32" t="str">
        <x:v>Vertex AI Vector Search
AlloyDB AI
Cloud SQL pgvector</x:v>
      </x:c>
      <x:c r="H39" s="32" t="str">
        <x:v>Close</x:v>
      </x:c>
      <x:c r="I39" s="32"/>
      <x:c r="J39" s="32" t="str">
        <x:v>https://docs.aws.amazon.com/whitepapers/latest/aws-overview/aws-services.html</x:v>
      </x:c>
      <x:c r="K39" s="32" t="str">
        <x:v>https://azure.microsoft.com/en-gb/products/</x:v>
      </x:c>
      <x:c r="L39" s="32" t="str">
        <x:v>https://docs.cloud.google.com/docs/product-list</x:v>
      </x:c>
      <x:c r="M39" s="32" t="str">
        <x:v>2026-07-12</x:v>
      </x:c>
    </x:row>
    <x:row r="40">
      <x:c r="A40" s="32" t="str">
        <x:v>AI &amp; Machine Learning</x:v>
      </x:c>
      <x:c r="B40" s="32" t="str">
        <x:v>Model customisation</x:v>
      </x:c>
      <x:c r="C40" s="32" t="str">
        <x:v>Foundation-model customisation</x:v>
      </x:c>
      <x:c r="D40" s="32" t="str">
        <x:v>Adapt a foundation model using fine-tuning, continued pre-training or customisation techniques.</x:v>
      </x:c>
      <x:c r="E40" s="32" t="str">
        <x:v>Amazon Bedrock model customization
Amazon SageMaker AI</x:v>
      </x:c>
      <x:c r="F40" s="32" t="str">
        <x:v>Azure OpenAI fine-tuning
Azure Machine Learning</x:v>
      </x:c>
      <x:c r="G40" s="32" t="str">
        <x:v>Vertex AI tuning</x:v>
      </x:c>
      <x:c r="H40" s="32" t="str">
        <x:v>Close</x:v>
      </x:c>
      <x:c r="I40" s="32"/>
      <x:c r="J40" s="32" t="str">
        <x:v>https://docs.aws.amazon.com/whitepapers/latest/aws-overview/aws-services.html</x:v>
      </x:c>
      <x:c r="K40" s="32" t="str">
        <x:v>https://azure.microsoft.com/en-gb/products/</x:v>
      </x:c>
      <x:c r="L40" s="32" t="str">
        <x:v>https://docs.cloud.google.com/docs/product-list</x:v>
      </x:c>
      <x:c r="M40" s="32" t="str">
        <x:v>2026-07-12</x:v>
      </x:c>
    </x:row>
    <x:row r="41">
      <x:c r="A41" s="32" t="str">
        <x:v>AI &amp; Machine Learning</x:v>
      </x:c>
      <x:c r="B41" s="32" t="str">
        <x:v>Prompt engineering</x:v>
      </x:c>
      <x:c r="C41" s="32" t="str">
        <x:v>Prompt development and orchestration</x:v>
      </x:c>
      <x:c r="D41" s="32" t="str">
        <x:v>Design, test, version and connect prompts into AI workflows.</x:v>
      </x:c>
      <x:c r="E41" s="32" t="str">
        <x:v>Amazon Bedrock Prompt management
Amazon Bedrock Flows</x:v>
      </x:c>
      <x:c r="F41" s="32" t="str">
        <x:v>Prompt flow in Microsoft Foundry</x:v>
      </x:c>
      <x:c r="G41" s="32" t="str">
        <x:v>Vertex AI Studio
Vertex AI prompt management</x:v>
      </x:c>
      <x:c r="H41" s="32" t="str">
        <x:v>Close</x:v>
      </x:c>
      <x:c r="I41" s="32"/>
      <x:c r="J41" s="32" t="str">
        <x:v>https://docs.aws.amazon.com/whitepapers/latest/aws-overview/aws-services.html</x:v>
      </x:c>
      <x:c r="K41" s="32" t="str">
        <x:v>https://azure.microsoft.com/en-gb/products/</x:v>
      </x:c>
      <x:c r="L41" s="32" t="str">
        <x:v>https://docs.cloud.google.com/docs/product-list</x:v>
      </x:c>
      <x:c r="M41" s="32" t="str">
        <x:v>2026-07-12</x:v>
      </x:c>
    </x:row>
    <x:row r="42">
      <x:c r="A42" s="32" t="str">
        <x:v>AI &amp; Machine Learning</x:v>
      </x:c>
      <x:c r="B42" s="32" t="str">
        <x:v>ML workbench</x:v>
      </x:c>
      <x:c r="C42" s="32" t="str">
        <x:v>Managed data-science notebooks</x:v>
      </x:c>
      <x:c r="D42" s="32" t="str">
        <x:v>Provide managed notebook environments for data exploration and model development.</x:v>
      </x:c>
      <x:c r="E42" s="32" t="str">
        <x:v>Amazon SageMaker Studio</x:v>
      </x:c>
      <x:c r="F42" s="32" t="str">
        <x:v>Azure Machine Learning notebooks
Data Science Virtual Machines</x:v>
      </x:c>
      <x:c r="G42" s="32" t="str">
        <x:v>Vertex AI Workbench
Colab Enterprise</x:v>
      </x:c>
      <x:c r="H42" s="32" t="str">
        <x:v>Close</x:v>
      </x:c>
      <x:c r="I42" s="32"/>
      <x:c r="J42" s="32" t="str">
        <x:v>https://docs.aws.amazon.com/whitepapers/latest/aws-overview/aws-services.html</x:v>
      </x:c>
      <x:c r="K42" s="32" t="str">
        <x:v>https://azure.microsoft.com/en-gb/products/</x:v>
      </x:c>
      <x:c r="L42" s="32" t="str">
        <x:v>https://docs.cloud.google.com/docs/product-list</x:v>
      </x:c>
      <x:c r="M42" s="32" t="str">
        <x:v>2026-07-12</x:v>
      </x:c>
    </x:row>
    <x:row r="43">
      <x:c r="A43" s="32" t="str">
        <x:v>AI &amp; Machine Learning</x:v>
      </x:c>
      <x:c r="B43" s="32" t="str">
        <x:v>Training</x:v>
      </x:c>
      <x:c r="C43" s="32" t="str">
        <x:v>Managed model training</x:v>
      </x:c>
      <x:c r="D43" s="32" t="str">
        <x:v>Run managed, scalable training jobs using CPUs, GPUs or specialised accelerators.</x:v>
      </x:c>
      <x:c r="E43" s="32" t="str">
        <x:v>Amazon SageMaker Training</x:v>
      </x:c>
      <x:c r="F43" s="32" t="str">
        <x:v>Azure Machine Learning training</x:v>
      </x:c>
      <x:c r="G43" s="32" t="str">
        <x:v>Vertex AI Training
Agent Platform Managed Training</x:v>
      </x:c>
      <x:c r="H43" s="32" t="str">
        <x:v>Close</x:v>
      </x:c>
      <x:c r="I43" s="32"/>
      <x:c r="J43" s="32" t="str">
        <x:v>https://docs.aws.amazon.com/whitepapers/latest/aws-overview/aws-services.html</x:v>
      </x:c>
      <x:c r="K43" s="32" t="str">
        <x:v>https://azure.microsoft.com/en-gb/products/</x:v>
      </x:c>
      <x:c r="L43" s="32" t="str">
        <x:v>https://docs.cloud.google.com/docs/product-list</x:v>
      </x:c>
      <x:c r="M43" s="32" t="str">
        <x:v>2026-07-12</x:v>
      </x:c>
    </x:row>
    <x:row r="44">
      <x:c r="A44" s="32" t="str">
        <x:v>AI &amp; Machine Learning</x:v>
      </x:c>
      <x:c r="B44" s="32" t="str">
        <x:v>AutoML</x:v>
      </x:c>
      <x:c r="C44" s="32" t="str">
        <x:v>Automated machine learning</x:v>
      </x:c>
      <x:c r="D44" s="32" t="str">
        <x:v>Automatically build and optimise models with reduced manual feature and algorithm work.</x:v>
      </x:c>
      <x:c r="E44" s="32" t="str">
        <x:v>SageMaker Autopilot</x:v>
      </x:c>
      <x:c r="F44" s="32" t="str">
        <x:v>Azure Automated ML</x:v>
      </x:c>
      <x:c r="G44" s="32" t="str">
        <x:v>Vertex AI AutoML</x:v>
      </x:c>
      <x:c r="H44" s="32" t="str">
        <x:v>Exact</x:v>
      </x:c>
      <x:c r="I44" s="32"/>
      <x:c r="J44" s="32" t="str">
        <x:v>https://docs.aws.amazon.com/whitepapers/latest/aws-overview/aws-services.html</x:v>
      </x:c>
      <x:c r="K44" s="32" t="str">
        <x:v>https://azure.microsoft.com/en-gb/products/</x:v>
      </x:c>
      <x:c r="L44" s="32" t="str">
        <x:v>https://docs.cloud.google.com/docs/product-list</x:v>
      </x:c>
      <x:c r="M44" s="32" t="str">
        <x:v>2026-07-12</x:v>
      </x:c>
    </x:row>
    <x:row r="45">
      <x:c r="A45" s="32" t="str">
        <x:v>AI &amp; Machine Learning</x:v>
      </x:c>
      <x:c r="B45" s="32" t="str">
        <x:v>MLOps</x:v>
      </x:c>
      <x:c r="C45" s="32" t="str">
        <x:v>ML pipelines</x:v>
      </x:c>
      <x:c r="D45" s="32" t="str">
        <x:v>Orchestrate repeatable data preparation, training, validation and deployment pipelines.</x:v>
      </x:c>
      <x:c r="E45" s="32" t="str">
        <x:v>SageMaker Pipelines</x:v>
      </x:c>
      <x:c r="F45" s="32" t="str">
        <x:v>Azure Machine Learning pipelines</x:v>
      </x:c>
      <x:c r="G45" s="32" t="str">
        <x:v>Vertex AI Pipelines
Agent Platform Pipelines</x:v>
      </x:c>
      <x:c r="H45" s="32" t="str">
        <x:v>Exact</x:v>
      </x:c>
      <x:c r="I45" s="32"/>
      <x:c r="J45" s="32" t="str">
        <x:v>https://docs.aws.amazon.com/whitepapers/latest/aws-overview/aws-services.html</x:v>
      </x:c>
      <x:c r="K45" s="32" t="str">
        <x:v>https://azure.microsoft.com/en-gb/products/</x:v>
      </x:c>
      <x:c r="L45" s="32" t="str">
        <x:v>https://docs.cloud.google.com/docs/product-list</x:v>
      </x:c>
      <x:c r="M45" s="32" t="str">
        <x:v>2026-07-12</x:v>
      </x:c>
    </x:row>
    <x:row r="46">
      <x:c r="A46" s="32" t="str">
        <x:v>AI &amp; Machine Learning</x:v>
      </x:c>
      <x:c r="B46" s="32" t="str">
        <x:v>MLOps</x:v>
      </x:c>
      <x:c r="C46" s="32" t="str">
        <x:v>Model registry</x:v>
      </x:c>
      <x:c r="D46" s="32" t="str">
        <x:v>Register, version, approve and promote trained models through lifecycle stages.</x:v>
      </x:c>
      <x:c r="E46" s="32" t="str">
        <x:v>SageMaker Model Registry</x:v>
      </x:c>
      <x:c r="F46" s="32" t="str">
        <x:v>Azure Machine Learning model registry</x:v>
      </x:c>
      <x:c r="G46" s="32" t="str">
        <x:v>Vertex AI Model Registry</x:v>
      </x:c>
      <x:c r="H46" s="32" t="str">
        <x:v>Exact</x:v>
      </x:c>
      <x:c r="I46" s="32"/>
      <x:c r="J46" s="32" t="str">
        <x:v>https://docs.aws.amazon.com/whitepapers/latest/aws-overview/aws-services.html</x:v>
      </x:c>
      <x:c r="K46" s="32" t="str">
        <x:v>https://azure.microsoft.com/en-gb/products/</x:v>
      </x:c>
      <x:c r="L46" s="32" t="str">
        <x:v>https://docs.cloud.google.com/docs/product-list</x:v>
      </x:c>
      <x:c r="M46" s="32" t="str">
        <x:v>2026-07-12</x:v>
      </x:c>
    </x:row>
    <x:row r="47">
      <x:c r="A47" s="32" t="str">
        <x:v>AI &amp; Machine Learning</x:v>
      </x:c>
      <x:c r="B47" s="32" t="str">
        <x:v>MLOps</x:v>
      </x:c>
      <x:c r="C47" s="32" t="str">
        <x:v>Feature store</x:v>
      </x:c>
      <x:c r="D47" s="32" t="str">
        <x:v>Create, govern and serve reusable machine-learning features online and offline.</x:v>
      </x:c>
      <x:c r="E47" s="32" t="str">
        <x:v>SageMaker Feature Store</x:v>
      </x:c>
      <x:c r="F47" s="32" t="str">
        <x:v>Azure Machine Learning managed feature store</x:v>
      </x:c>
      <x:c r="G47" s="32" t="str">
        <x:v>Vertex AI Feature Store</x:v>
      </x:c>
      <x:c r="H47" s="32" t="str">
        <x:v>Exact</x:v>
      </x:c>
      <x:c r="I47" s="32"/>
      <x:c r="J47" s="32" t="str">
        <x:v>https://docs.aws.amazon.com/whitepapers/latest/aws-overview/aws-services.html</x:v>
      </x:c>
      <x:c r="K47" s="32" t="str">
        <x:v>https://azure.microsoft.com/en-gb/products/</x:v>
      </x:c>
      <x:c r="L47" s="32" t="str">
        <x:v>https://docs.cloud.google.com/docs/product-list</x:v>
      </x:c>
      <x:c r="M47" s="32" t="str">
        <x:v>2026-07-12</x:v>
      </x:c>
    </x:row>
    <x:row r="48">
      <x:c r="A48" s="32" t="str">
        <x:v>AI &amp; Machine Learning</x:v>
      </x:c>
      <x:c r="B48" s="32" t="str">
        <x:v>MLOps</x:v>
      </x:c>
      <x:c r="C48" s="32" t="str">
        <x:v>Model monitoring</x:v>
      </x:c>
      <x:c r="D48" s="32" t="str">
        <x:v>Monitor deployed models for drift, skew, quality and operational issues.</x:v>
      </x:c>
      <x:c r="E48" s="32" t="str">
        <x:v>SageMaker Model Monitor</x:v>
      </x:c>
      <x:c r="F48" s="32" t="str">
        <x:v>Azure Machine Learning model monitoring</x:v>
      </x:c>
      <x:c r="G48" s="32" t="str">
        <x:v>Vertex AI Model Monitoring</x:v>
      </x:c>
      <x:c r="H48" s="32" t="str">
        <x:v>Exact</x:v>
      </x:c>
      <x:c r="I48" s="32"/>
      <x:c r="J48" s="32" t="str">
        <x:v>https://docs.aws.amazon.com/whitepapers/latest/aws-overview/aws-services.html</x:v>
      </x:c>
      <x:c r="K48" s="32" t="str">
        <x:v>https://azure.microsoft.com/en-gb/products/</x:v>
      </x:c>
      <x:c r="L48" s="32" t="str">
        <x:v>https://docs.cloud.google.com/docs/product-list</x:v>
      </x:c>
      <x:c r="M48" s="32" t="str">
        <x:v>2026-07-12</x:v>
      </x:c>
    </x:row>
    <x:row r="49">
      <x:c r="A49" s="32" t="str">
        <x:v>AI &amp; Machine Learning</x:v>
      </x:c>
      <x:c r="B49" s="32" t="str">
        <x:v>Inference</x:v>
      </x:c>
      <x:c r="C49" s="32" t="str">
        <x:v>Managed real-time model endpoints</x:v>
      </x:c>
      <x:c r="D49" s="32" t="str">
        <x:v>Serve machine-learning models through autoscaling online inference endpoints.</x:v>
      </x:c>
      <x:c r="E49" s="32" t="str">
        <x:v>SageMaker real-time inference</x:v>
      </x:c>
      <x:c r="F49" s="32" t="str">
        <x:v>Azure Machine Learning managed online endpoints</x:v>
      </x:c>
      <x:c r="G49" s="32" t="str">
        <x:v>Vertex AI Online Prediction
Agent Platform Inference</x:v>
      </x:c>
      <x:c r="H49" s="32" t="str">
        <x:v>Exact</x:v>
      </x:c>
      <x:c r="I49" s="32"/>
      <x:c r="J49" s="32" t="str">
        <x:v>https://docs.aws.amazon.com/whitepapers/latest/aws-overview/aws-services.html</x:v>
      </x:c>
      <x:c r="K49" s="32" t="str">
        <x:v>https://azure.microsoft.com/en-gb/products/</x:v>
      </x:c>
      <x:c r="L49" s="32" t="str">
        <x:v>https://docs.cloud.google.com/docs/product-list</x:v>
      </x:c>
      <x:c r="M49" s="32" t="str">
        <x:v>2026-07-12</x:v>
      </x:c>
    </x:row>
    <x:row r="50">
      <x:c r="A50" s="32" t="str">
        <x:v>AI &amp; Machine Learning</x:v>
      </x:c>
      <x:c r="B50" s="32" t="str">
        <x:v>Inference</x:v>
      </x:c>
      <x:c r="C50" s="32" t="str">
        <x:v>Batch model inference</x:v>
      </x:c>
      <x:c r="D50" s="32" t="str">
        <x:v>Run asynchronous predictions over large datasets.</x:v>
      </x:c>
      <x:c r="E50" s="32" t="str">
        <x:v>SageMaker Batch Transform</x:v>
      </x:c>
      <x:c r="F50" s="32" t="str">
        <x:v>Azure Machine Learning batch endpoints</x:v>
      </x:c>
      <x:c r="G50" s="32" t="str">
        <x:v>Vertex AI Batch Prediction</x:v>
      </x:c>
      <x:c r="H50" s="32" t="str">
        <x:v>Exact</x:v>
      </x:c>
      <x:c r="I50" s="32"/>
      <x:c r="J50" s="32" t="str">
        <x:v>https://docs.aws.amazon.com/whitepapers/latest/aws-overview/aws-services.html</x:v>
      </x:c>
      <x:c r="K50" s="32" t="str">
        <x:v>https://azure.microsoft.com/en-gb/products/</x:v>
      </x:c>
      <x:c r="L50" s="32" t="str">
        <x:v>https://docs.cloud.google.com/docs/product-list</x:v>
      </x:c>
      <x:c r="M50" s="32" t="str">
        <x:v>2026-07-12</x:v>
      </x:c>
    </x:row>
    <x:row r="51">
      <x:c r="A51" s="32" t="str">
        <x:v>AI &amp; Machine Learning</x:v>
      </x:c>
      <x:c r="B51" s="32" t="str">
        <x:v>AI infrastructure</x:v>
      </x:c>
      <x:c r="C51" s="32" t="str">
        <x:v>AI accelerators</x:v>
      </x:c>
      <x:c r="D51" s="32" t="str">
        <x:v>Provide specialised GPU or accelerator infrastructure for training and inference.</x:v>
      </x:c>
      <x:c r="E51" s="32" t="str">
        <x:v>Amazon EC2 GPU instances
AWS Trainium
AWS Inferentia</x:v>
      </x:c>
      <x:c r="F51" s="32" t="str">
        <x:v>Azure GPU virtual machines
Azure Maia</x:v>
      </x:c>
      <x:c r="G51" s="32" t="str">
        <x:v>Cloud GPUs
Cloud TPU
AI Hypercomputer</x:v>
      </x:c>
      <x:c r="H51" s="32" t="str">
        <x:v>Close</x:v>
      </x:c>
      <x:c r="I51" s="32"/>
      <x:c r="J51" s="32" t="str">
        <x:v>https://docs.aws.amazon.com/whitepapers/latest/aws-overview/aws-services.html</x:v>
      </x:c>
      <x:c r="K51" s="32" t="str">
        <x:v>https://azure.microsoft.com/en-gb/products/</x:v>
      </x:c>
      <x:c r="L51" s="32" t="str">
        <x:v>https://docs.cloud.google.com/docs/product-list</x:v>
      </x:c>
      <x:c r="M51" s="32" t="str">
        <x:v>2026-07-12</x:v>
      </x:c>
    </x:row>
    <x:row r="52">
      <x:c r="A52" s="32" t="str">
        <x:v>AI &amp; Machine Learning</x:v>
      </x:c>
      <x:c r="B52" s="32" t="str">
        <x:v>Distributed ML</x:v>
      </x:c>
      <x:c r="C52" s="32" t="str">
        <x:v>Distributed ML execution</x:v>
      </x:c>
      <x:c r="D52" s="32" t="str">
        <x:v>Scale Python, ML and AI workloads across distributed compute clusters.</x:v>
      </x:c>
      <x:c r="E52" s="32" t="str">
        <x:v>SageMaker HyperPod
AWS ParallelCluster</x:v>
      </x:c>
      <x:c r="F52" s="32" t="str">
        <x:v>Azure Machine Learning compute clusters
Azure Databricks</x:v>
      </x:c>
      <x:c r="G52" s="32" t="str">
        <x:v>Ray on Gemini Enterprise Agent Platform
Cluster Director</x:v>
      </x:c>
      <x:c r="H52" s="32" t="str">
        <x:v>Close</x:v>
      </x:c>
      <x:c r="I52" s="32"/>
      <x:c r="J52" s="32" t="str">
        <x:v>https://docs.aws.amazon.com/whitepapers/latest/aws-overview/aws-services.html</x:v>
      </x:c>
      <x:c r="K52" s="32" t="str">
        <x:v>https://azure.microsoft.com/en-gb/products/</x:v>
      </x:c>
      <x:c r="L52" s="32" t="str">
        <x:v>https://docs.cloud.google.com/docs/product-list</x:v>
      </x:c>
      <x:c r="M52" s="32" t="str">
        <x:v>2026-07-12</x:v>
      </x:c>
    </x:row>
    <x:row r="53">
      <x:c r="A53" s="32" t="str">
        <x:v>AI &amp; Machine Learning</x:v>
      </x:c>
      <x:c r="B53" s="32" t="str">
        <x:v>NLP</x:v>
      </x:c>
      <x:c r="C53" s="32" t="str">
        <x:v>Natural-language analysis</x:v>
      </x:c>
      <x:c r="D53" s="32" t="str">
        <x:v>Extract entities, sentiment, classifications and insights from text.</x:v>
      </x:c>
      <x:c r="E53" s="32" t="str">
        <x:v>Amazon Comprehend</x:v>
      </x:c>
      <x:c r="F53" s="32" t="str">
        <x:v>Azure Language in Foundry Tools</x:v>
      </x:c>
      <x:c r="G53" s="32" t="str">
        <x:v>Cloud Natural Language</x:v>
      </x:c>
      <x:c r="H53" s="32" t="str">
        <x:v>Exact</x:v>
      </x:c>
      <x:c r="I53" s="32"/>
      <x:c r="J53" s="32" t="str">
        <x:v>https://docs.aws.amazon.com/whitepapers/latest/aws-overview/aws-services.html</x:v>
      </x:c>
      <x:c r="K53" s="32" t="str">
        <x:v>https://azure.microsoft.com/en-gb/products/</x:v>
      </x:c>
      <x:c r="L53" s="32" t="str">
        <x:v>https://docs.cloud.google.com/docs/product-list</x:v>
      </x:c>
      <x:c r="M53" s="32" t="str">
        <x:v>2026-07-12</x:v>
      </x:c>
    </x:row>
    <x:row r="54">
      <x:c r="A54" s="32" t="str">
        <x:v>AI &amp; Machine Learning</x:v>
      </x:c>
      <x:c r="B54" s="32" t="str">
        <x:v>Translation</x:v>
      </x:c>
      <x:c r="C54" s="32" t="str">
        <x:v>Machine translation</x:v>
      </x:c>
      <x:c r="D54" s="32" t="str">
        <x:v>Translate text and documents between languages using managed AI.</x:v>
      </x:c>
      <x:c r="E54" s="32" t="str">
        <x:v>Amazon Translate</x:v>
      </x:c>
      <x:c r="F54" s="32" t="str">
        <x:v>Azure Translator</x:v>
      </x:c>
      <x:c r="G54" s="32" t="str">
        <x:v>Cloud Translation</x:v>
      </x:c>
      <x:c r="H54" s="32" t="str">
        <x:v>Exact</x:v>
      </x:c>
      <x:c r="I54" s="32"/>
      <x:c r="J54" s="32" t="str">
        <x:v>https://docs.aws.amazon.com/whitepapers/latest/aws-overview/aws-services.html</x:v>
      </x:c>
      <x:c r="K54" s="32" t="str">
        <x:v>https://azure.microsoft.com/en-gb/products/</x:v>
      </x:c>
      <x:c r="L54" s="32" t="str">
        <x:v>https://docs.cloud.google.com/docs/product-list</x:v>
      </x:c>
      <x:c r="M54" s="32" t="str">
        <x:v>2026-07-12</x:v>
      </x:c>
    </x:row>
    <x:row r="55">
      <x:c r="A55" s="32" t="str">
        <x:v>AI &amp; Machine Learning</x:v>
      </x:c>
      <x:c r="B55" s="32" t="str">
        <x:v>Speech</x:v>
      </x:c>
      <x:c r="C55" s="32" t="str">
        <x:v>Speech-to-text</x:v>
      </x:c>
      <x:c r="D55" s="32" t="str">
        <x:v>Convert live or recorded speech into text.</x:v>
      </x:c>
      <x:c r="E55" s="32" t="str">
        <x:v>Amazon Transcribe</x:v>
      </x:c>
      <x:c r="F55" s="32" t="str">
        <x:v>Azure Speech</x:v>
      </x:c>
      <x:c r="G55" s="32" t="str">
        <x:v>Speech-to-Text</x:v>
      </x:c>
      <x:c r="H55" s="32" t="str">
        <x:v>Exact</x:v>
      </x:c>
      <x:c r="I55" s="32"/>
      <x:c r="J55" s="32" t="str">
        <x:v>https://docs.aws.amazon.com/whitepapers/latest/aws-overview/aws-services.html</x:v>
      </x:c>
      <x:c r="K55" s="32" t="str">
        <x:v>https://azure.microsoft.com/en-gb/products/</x:v>
      </x:c>
      <x:c r="L55" s="32" t="str">
        <x:v>https://docs.cloud.google.com/docs/product-list</x:v>
      </x:c>
      <x:c r="M55" s="32" t="str">
        <x:v>2026-07-12</x:v>
      </x:c>
    </x:row>
    <x:row r="56">
      <x:c r="A56" s="32" t="str">
        <x:v>AI &amp; Machine Learning</x:v>
      </x:c>
      <x:c r="B56" s="32" t="str">
        <x:v>Speech</x:v>
      </x:c>
      <x:c r="C56" s="32" t="str">
        <x:v>Text-to-speech</x:v>
      </x:c>
      <x:c r="D56" s="32" t="str">
        <x:v>Generate natural-sounding speech from text.</x:v>
      </x:c>
      <x:c r="E56" s="32" t="str">
        <x:v>Amazon Polly</x:v>
      </x:c>
      <x:c r="F56" s="32" t="str">
        <x:v>Azure Speech</x:v>
      </x:c>
      <x:c r="G56" s="32" t="str">
        <x:v>Text-to-Speech</x:v>
      </x:c>
      <x:c r="H56" s="32" t="str">
        <x:v>Exact</x:v>
      </x:c>
      <x:c r="I56" s="32"/>
      <x:c r="J56" s="32" t="str">
        <x:v>https://docs.aws.amazon.com/whitepapers/latest/aws-overview/aws-services.html</x:v>
      </x:c>
      <x:c r="K56" s="32" t="str">
        <x:v>https://azure.microsoft.com/en-gb/products/</x:v>
      </x:c>
      <x:c r="L56" s="32" t="str">
        <x:v>https://docs.cloud.google.com/docs/product-list</x:v>
      </x:c>
      <x:c r="M56" s="32" t="str">
        <x:v>2026-07-12</x:v>
      </x:c>
    </x:row>
    <x:row r="57">
      <x:c r="A57" s="32" t="str">
        <x:v>AI &amp; Machine Learning</x:v>
      </x:c>
      <x:c r="B57" s="32" t="str">
        <x:v>Vision</x:v>
      </x:c>
      <x:c r="C57" s="32" t="str">
        <x:v>Image analysis</x:v>
      </x:c>
      <x:c r="D57" s="32" t="str">
        <x:v>Detect, classify and extract information from images.</x:v>
      </x:c>
      <x:c r="E57" s="32" t="str">
        <x:v>Amazon Rekognition</x:v>
      </x:c>
      <x:c r="F57" s="32" t="str">
        <x:v>Azure Vision</x:v>
      </x:c>
      <x:c r="G57" s="32" t="str">
        <x:v>Cloud Vision API</x:v>
      </x:c>
      <x:c r="H57" s="32" t="str">
        <x:v>Exact</x:v>
      </x:c>
      <x:c r="I57" s="32"/>
      <x:c r="J57" s="32" t="str">
        <x:v>https://docs.aws.amazon.com/whitepapers/latest/aws-overview/aws-services.html</x:v>
      </x:c>
      <x:c r="K57" s="32" t="str">
        <x:v>https://azure.microsoft.com/en-gb/products/</x:v>
      </x:c>
      <x:c r="L57" s="32" t="str">
        <x:v>https://docs.cloud.google.com/docs/product-list</x:v>
      </x:c>
      <x:c r="M57" s="32" t="str">
        <x:v>2026-07-12</x:v>
      </x:c>
    </x:row>
    <x:row r="58">
      <x:c r="A58" s="32" t="str">
        <x:v>AI &amp; Machine Learning</x:v>
      </x:c>
      <x:c r="B58" s="32" t="str">
        <x:v>Video AI</x:v>
      </x:c>
      <x:c r="C58" s="32" t="str">
        <x:v>Video intelligence</x:v>
      </x:c>
      <x:c r="D58" s="32" t="str">
        <x:v>Analyse, index and extract metadata from video content.</x:v>
      </x:c>
      <x:c r="E58" s="32" t="str">
        <x:v>Amazon Rekognition Video</x:v>
      </x:c>
      <x:c r="F58" s="32" t="str">
        <x:v>Azure AI Video Indexer
Azure Content Understanding</x:v>
      </x:c>
      <x:c r="G58" s="32" t="str">
        <x:v>Video Intelligence API
Agent Platform Vision</x:v>
      </x:c>
      <x:c r="H58" s="32" t="str">
        <x:v>Close</x:v>
      </x:c>
      <x:c r="I58" s="32"/>
      <x:c r="J58" s="32" t="str">
        <x:v>https://docs.aws.amazon.com/whitepapers/latest/aws-overview/aws-services.html</x:v>
      </x:c>
      <x:c r="K58" s="32" t="str">
        <x:v>https://azure.microsoft.com/en-gb/products/</x:v>
      </x:c>
      <x:c r="L58" s="32" t="str">
        <x:v>https://docs.cloud.google.com/docs/product-list</x:v>
      </x:c>
      <x:c r="M58" s="32" t="str">
        <x:v>2026-07-12</x:v>
      </x:c>
    </x:row>
    <x:row r="59">
      <x:c r="A59" s="32" t="str">
        <x:v>AI &amp; Machine Learning</x:v>
      </x:c>
      <x:c r="B59" s="32" t="str">
        <x:v>Document AI</x:v>
      </x:c>
      <x:c r="C59" s="32" t="str">
        <x:v>Document extraction and OCR</x:v>
      </x:c>
      <x:c r="D59" s="32" t="str">
        <x:v>Extract text, tables, forms and structured fields from documents.</x:v>
      </x:c>
      <x:c r="E59" s="32" t="str">
        <x:v>Amazon Textract</x:v>
      </x:c>
      <x:c r="F59" s="32" t="str">
        <x:v>Azure Document Intelligence
Azure Content Understanding</x:v>
      </x:c>
      <x:c r="G59" s="32" t="str">
        <x:v>Document AI</x:v>
      </x:c>
      <x:c r="H59" s="32" t="str">
        <x:v>Exact</x:v>
      </x:c>
      <x:c r="I59" s="32"/>
      <x:c r="J59" s="32" t="str">
        <x:v>https://docs.aws.amazon.com/whitepapers/latest/aws-overview/aws-services.html</x:v>
      </x:c>
      <x:c r="K59" s="32" t="str">
        <x:v>https://azure.microsoft.com/en-gb/products/</x:v>
      </x:c>
      <x:c r="L59" s="32" t="str">
        <x:v>https://docs.cloud.google.com/docs/product-list</x:v>
      </x:c>
      <x:c r="M59" s="32" t="str">
        <x:v>2026-07-12</x:v>
      </x:c>
    </x:row>
    <x:row r="60">
      <x:c r="A60" s="32" t="str">
        <x:v>AI &amp; Machine Learning</x:v>
      </x:c>
      <x:c r="B60" s="32" t="str">
        <x:v>Conversational AI</x:v>
      </x:c>
      <x:c r="C60" s="32" t="str">
        <x:v>Conversational bot platform</x:v>
      </x:c>
      <x:c r="D60" s="32" t="str">
        <x:v>Build intent-based conversational assistants for voice and text channels.</x:v>
      </x:c>
      <x:c r="E60" s="32" t="str">
        <x:v>Amazon Lex</x:v>
      </x:c>
      <x:c r="F60" s="32" t="str">
        <x:v>Azure AI Bot Service
Azure Language</x:v>
      </x:c>
      <x:c r="G60" s="32" t="str">
        <x:v>Conversational Agents (Dialogflow CX)
Dialogflow ES</x:v>
      </x:c>
      <x:c r="H60" s="32" t="str">
        <x:v>Close</x:v>
      </x:c>
      <x:c r="I60" s="32"/>
      <x:c r="J60" s="32" t="str">
        <x:v>https://docs.aws.amazon.com/whitepapers/latest/aws-overview/aws-services.html</x:v>
      </x:c>
      <x:c r="K60" s="32" t="str">
        <x:v>https://azure.microsoft.com/en-gb/products/</x:v>
      </x:c>
      <x:c r="L60" s="32" t="str">
        <x:v>https://docs.cloud.google.com/docs/product-list</x:v>
      </x:c>
      <x:c r="M60" s="32" t="str">
        <x:v>2026-07-12</x:v>
      </x:c>
    </x:row>
    <x:row r="61">
      <x:c r="A61" s="32" t="str">
        <x:v>AI &amp; Machine Learning</x:v>
      </x:c>
      <x:c r="B61" s="32" t="str">
        <x:v>Contact-centre AI</x:v>
      </x:c>
      <x:c r="C61" s="32" t="str">
        <x:v>Agent assistance and conversation analytics</x:v>
      </x:c>
      <x:c r="D61" s="32" t="str">
        <x:v>Assist human contact-centre agents and analyse customer interactions.</x:v>
      </x:c>
      <x:c r="E61" s="32" t="str">
        <x:v>Amazon Connect
Amazon Q in Connect
Contact Lens</x:v>
      </x:c>
      <x:c r="F61" s="32" t="str">
        <x:v>Dynamics 365 Contact Center
Azure Communication Services
Microsoft Foundry</x:v>
      </x:c>
      <x:c r="G61" s="32" t="str">
        <x:v>Agent Assist
Customer Experience Insights
Google Cloud CCaaS</x:v>
      </x:c>
      <x:c r="H61" s="32" t="str">
        <x:v>Partial</x:v>
      </x:c>
      <x:c r="I61" s="32"/>
      <x:c r="J61" s="32" t="str">
        <x:v>https://docs.aws.amazon.com/whitepapers/latest/aws-overview/aws-services.html</x:v>
      </x:c>
      <x:c r="K61" s="32" t="str">
        <x:v>https://azure.microsoft.com/en-gb/products/</x:v>
      </x:c>
      <x:c r="L61" s="32" t="str">
        <x:v>https://docs.cloud.google.com/docs/product-list</x:v>
      </x:c>
      <x:c r="M61" s="32" t="str">
        <x:v>2026-07-12</x:v>
      </x:c>
    </x:row>
    <x:row r="62">
      <x:c r="A62" s="32" t="str">
        <x:v>AI &amp; Machine Learning</x:v>
      </x:c>
      <x:c r="B62" s="32" t="str">
        <x:v>Personalisation</x:v>
      </x:c>
      <x:c r="C62" s="32" t="str">
        <x:v>Managed recommendations</x:v>
      </x:c>
      <x:c r="D62" s="32" t="str">
        <x:v>Deliver personalised rankings and recommendations from behavioural data.</x:v>
      </x:c>
      <x:c r="E62" s="32" t="str">
        <x:v>Amazon Personalize</x:v>
      </x:c>
      <x:c r="F62" s="32" t="str">
        <x:v>Azure Machine Learning</x:v>
      </x:c>
      <x:c r="G62" s="32" t="str">
        <x:v>Recommendations AI / AI Commerce Search</x:v>
      </x:c>
      <x:c r="H62" s="32" t="str">
        <x:v>Partial</x:v>
      </x:c>
      <x:c r="I62" s="32"/>
      <x:c r="J62" s="32" t="str">
        <x:v>https://docs.aws.amazon.com/whitepapers/latest/aws-overview/aws-services.html</x:v>
      </x:c>
      <x:c r="K62" s="32" t="str">
        <x:v>https://azure.microsoft.com/en-gb/products/</x:v>
      </x:c>
      <x:c r="L62" s="32" t="str">
        <x:v>https://docs.cloud.google.com/docs/product-list</x:v>
      </x:c>
      <x:c r="M62" s="32" t="str">
        <x:v>2026-07-12</x:v>
      </x:c>
    </x:row>
    <x:row r="63">
      <x:c r="A63" s="32" t="str">
        <x:v>AI &amp; Machine Learning</x:v>
      </x:c>
      <x:c r="B63" s="32" t="str">
        <x:v>Forecasting</x:v>
      </x:c>
      <x:c r="C63" s="32" t="str">
        <x:v>Demand and time-series forecasting</x:v>
      </x:c>
      <x:c r="D63" s="32" t="str">
        <x:v>Create forecasts from historical time-series and related data.</x:v>
      </x:c>
      <x:c r="E63" s="32" t="str">
        <x:v>Amazon SageMaker AI
Amazon Forecast legacy</x:v>
      </x:c>
      <x:c r="F63" s="32" t="str">
        <x:v>Azure Machine Learning
Azure Databricks</x:v>
      </x:c>
      <x:c r="G63" s="32" t="str">
        <x:v>Vertex AI
BigQuery ML</x:v>
      </x:c>
      <x:c r="H63" s="32" t="str">
        <x:v>Partial</x:v>
      </x:c>
      <x:c r="I63" s="32"/>
      <x:c r="J63" s="32" t="str">
        <x:v>https://docs.aws.amazon.com/whitepapers/latest/aws-overview/aws-services.html</x:v>
      </x:c>
      <x:c r="K63" s="32" t="str">
        <x:v>https://azure.microsoft.com/en-gb/products/</x:v>
      </x:c>
      <x:c r="L63" s="32" t="str">
        <x:v>https://docs.cloud.google.com/docs/product-list</x:v>
      </x:c>
      <x:c r="M63" s="32" t="str">
        <x:v>2026-07-12</x:v>
      </x:c>
    </x:row>
    <x:row r="64">
      <x:c r="A64" s="32" t="str">
        <x:v>AI &amp; Machine Learning</x:v>
      </x:c>
      <x:c r="B64" s="32" t="str">
        <x:v>Fraud &amp; risk</x:v>
      </x:c>
      <x:c r="C64" s="32" t="str">
        <x:v>Fraud detection</x:v>
      </x:c>
      <x:c r="D64" s="32" t="str">
        <x:v>Build or consume models that identify suspicious transactions and behaviour.</x:v>
      </x:c>
      <x:c r="E64" s="32" t="str">
        <x:v>Amazon Fraud Detector
SageMaker AI</x:v>
      </x:c>
      <x:c r="F64" s="32" t="str">
        <x:v>Azure Machine Learning
Microsoft Fabric</x:v>
      </x:c>
      <x:c r="G64" s="32" t="str">
        <x:v>Anti Money Laundering AI
Vertex AI</x:v>
      </x:c>
      <x:c r="H64" s="32" t="str">
        <x:v>Partial</x:v>
      </x:c>
      <x:c r="I64" s="32"/>
      <x:c r="J64" s="32" t="str">
        <x:v>https://docs.aws.amazon.com/whitepapers/latest/aws-overview/aws-services.html</x:v>
      </x:c>
      <x:c r="K64" s="32" t="str">
        <x:v>https://azure.microsoft.com/en-gb/products/</x:v>
      </x:c>
      <x:c r="L64" s="32" t="str">
        <x:v>https://docs.cloud.google.com/docs/product-list</x:v>
      </x:c>
      <x:c r="M64" s="32" t="str">
        <x:v>2026-07-12</x:v>
      </x:c>
    </x:row>
    <x:row r="65">
      <x:c r="A65" s="32" t="str">
        <x:v>AI &amp; Machine Learning</x:v>
      </x:c>
      <x:c r="B65" s="32" t="str">
        <x:v>Anomaly detection</x:v>
      </x:c>
      <x:c r="C65" s="32" t="str">
        <x:v>Anomaly and metric detection</x:v>
      </x:c>
      <x:c r="D65" s="32" t="str">
        <x:v>Identify unusual patterns in metrics, events or industrial equipment.</x:v>
      </x:c>
      <x:c r="E65" s="32" t="str">
        <x:v>Amazon Lookout for Equipment
Amazon DevOps Guru</x:v>
      </x:c>
      <x:c r="F65" s="32" t="str">
        <x:v>Azure Machine Learning
Azure Monitor</x:v>
      </x:c>
      <x:c r="G65" s="32" t="str">
        <x:v>Vertex AI
Cloud Monitoring</x:v>
      </x:c>
      <x:c r="H65" s="32" t="str">
        <x:v>Partial</x:v>
      </x:c>
      <x:c r="I65" s="32"/>
      <x:c r="J65" s="32" t="str">
        <x:v>https://docs.aws.amazon.com/whitepapers/latest/aws-overview/aws-services.html</x:v>
      </x:c>
      <x:c r="K65" s="32" t="str">
        <x:v>https://azure.microsoft.com/en-gb/products/</x:v>
      </x:c>
      <x:c r="L65" s="32" t="str">
        <x:v>https://docs.cloud.google.com/docs/product-list</x:v>
      </x:c>
      <x:c r="M65" s="32" t="str">
        <x:v>2026-07-12</x:v>
      </x:c>
    </x:row>
    <x:row r="66">
      <x:c r="A66" s="32" t="str">
        <x:v>AI &amp; Machine Learning</x:v>
      </x:c>
      <x:c r="B66" s="32" t="str">
        <x:v>Healthcare AI</x:v>
      </x:c>
      <x:c r="C66" s="32" t="str">
        <x:v>Healthcare data and AI</x:v>
      </x:c>
      <x:c r="D66" s="32" t="str">
        <x:v>Ingest, normalise, search and apply AI to healthcare information.</x:v>
      </x:c>
      <x:c r="E66" s="32" t="str">
        <x:v>AWS HealthLake
AWS HealthScribe
Amazon Comprehend Medical</x:v>
      </x:c>
      <x:c r="F66" s="32" t="str">
        <x:v>Azure Health Data Services
Microsoft Cloud for Healthcare</x:v>
      </x:c>
      <x:c r="G66" s="32" t="str">
        <x:v>Cloud Healthcare API
Healthcare Data Engine</x:v>
      </x:c>
      <x:c r="H66" s="32" t="str">
        <x:v>Close</x:v>
      </x:c>
      <x:c r="I66" s="32"/>
      <x:c r="J66" s="32" t="str">
        <x:v>https://docs.aws.amazon.com/whitepapers/latest/aws-overview/aws-services.html</x:v>
      </x:c>
      <x:c r="K66" s="32" t="str">
        <x:v>https://azure.microsoft.com/en-gb/products/</x:v>
      </x:c>
      <x:c r="L66" s="32" t="str">
        <x:v>https://docs.cloud.google.com/docs/product-list</x:v>
      </x:c>
      <x:c r="M66" s="32" t="str">
        <x:v>2026-07-12</x:v>
      </x:c>
    </x:row>
    <x:row r="67">
      <x:c r="A67" s="32" t="str">
        <x:v>AI &amp; Machine Learning</x:v>
      </x:c>
      <x:c r="B67" s="32" t="str">
        <x:v>Developer AI</x:v>
      </x:c>
      <x:c r="C67" s="32" t="str">
        <x:v>AI coding assistant</x:v>
      </x:c>
      <x:c r="D67" s="32" t="str">
        <x:v>Generate, explain, review and transform code within developer workflows.</x:v>
      </x:c>
      <x:c r="E67" s="32" t="str">
        <x:v>Amazon Q Developer
Kiro</x:v>
      </x:c>
      <x:c r="F67" s="32" t="str">
        <x:v>GitHub Copilot</x:v>
      </x:c>
      <x:c r="G67" s="32" t="str">
        <x:v>Gemini Code Assist</x:v>
      </x:c>
      <x:c r="H67" s="32" t="str">
        <x:v>Close</x:v>
      </x:c>
      <x:c r="I67" s="32"/>
      <x:c r="J67" s="32" t="str">
        <x:v>https://docs.aws.amazon.com/whitepapers/latest/aws-overview/aws-services.html</x:v>
      </x:c>
      <x:c r="K67" s="32" t="str">
        <x:v>https://azure.microsoft.com/en-gb/products/</x:v>
      </x:c>
      <x:c r="L67" s="32" t="str">
        <x:v>https://docs.cloud.google.com/docs/product-list</x:v>
      </x:c>
      <x:c r="M67" s="32" t="str">
        <x:v>2026-07-12</x:v>
      </x:c>
    </x:row>
    <x:row r="68">
      <x:c r="A68" s="32" t="str">
        <x:v>AI &amp; Machine Learning</x:v>
      </x:c>
      <x:c r="B68" s="32" t="str">
        <x:v>Enterprise AI assistant</x:v>
      </x:c>
      <x:c r="C68" s="32" t="str">
        <x:v>Enterprise AI assistant</x:v>
      </x:c>
      <x:c r="D68" s="32" t="str">
        <x:v>Provide grounded conversational assistance across enterprise systems and cloud operations.</x:v>
      </x:c>
      <x:c r="E68" s="32" t="str">
        <x:v>Amazon Q Business</x:v>
      </x:c>
      <x:c r="F68" s="32" t="str">
        <x:v>Microsoft 365 Copilot
Azure Copilot</x:v>
      </x:c>
      <x:c r="G68" s="32" t="str">
        <x:v>Gemini Enterprise
Gemini Cloud Assist</x:v>
      </x:c>
      <x:c r="H68" s="32" t="str">
        <x:v>Partial</x:v>
      </x:c>
      <x:c r="I68" s="32"/>
      <x:c r="J68" s="32" t="str">
        <x:v>https://docs.aws.amazon.com/whitepapers/latest/aws-overview/aws-services.html</x:v>
      </x:c>
      <x:c r="K68" s="32" t="str">
        <x:v>https://azure.microsoft.com/en-gb/products/</x:v>
      </x:c>
      <x:c r="L68" s="32" t="str">
        <x:v>https://docs.cloud.google.com/docs/product-list</x:v>
      </x:c>
      <x:c r="M68" s="32" t="str">
        <x:v>2026-07-12</x:v>
      </x:c>
    </x:row>
    <x:row r="69">
      <x:c r="A69" s="32" t="str">
        <x:v>AI &amp; Machine Learning</x:v>
      </x:c>
      <x:c r="B69" s="32" t="str">
        <x:v>Synthetic media</x:v>
      </x:c>
      <x:c r="C69" s="32" t="str">
        <x:v>Image generation</x:v>
      </x:c>
      <x:c r="D69" s="32" t="str">
        <x:v>Generate or edit images from natural-language instructions.</x:v>
      </x:c>
      <x:c r="E69" s="32" t="str">
        <x:v>Amazon Nova Canvas
Amazon Titan Image Generator</x:v>
      </x:c>
      <x:c r="F69" s="32" t="str">
        <x:v>Azure OpenAI image models
Foundry Models</x:v>
      </x:c>
      <x:c r="G69" s="32" t="str">
        <x:v>Imagen on Vertex AI</x:v>
      </x:c>
      <x:c r="H69" s="32" t="str">
        <x:v>Close</x:v>
      </x:c>
      <x:c r="I69" s="32"/>
      <x:c r="J69" s="32" t="str">
        <x:v>https://docs.aws.amazon.com/whitepapers/latest/aws-overview/aws-services.html</x:v>
      </x:c>
      <x:c r="K69" s="32" t="str">
        <x:v>https://azure.microsoft.com/en-gb/products/</x:v>
      </x:c>
      <x:c r="L69" s="32" t="str">
        <x:v>https://docs.cloud.google.com/docs/product-list</x:v>
      </x:c>
      <x:c r="M69" s="32" t="str">
        <x:v>2026-07-12</x:v>
      </x:c>
    </x:row>
    <x:row r="70">
      <x:c r="A70" s="32" t="str">
        <x:v>Compute &amp; Application Hosting</x:v>
      </x:c>
      <x:c r="B70" s="32" t="str">
        <x:v>Virtual machines</x:v>
      </x:c>
      <x:c r="C70" s="32" t="str">
        <x:v>General-purpose virtual machines</x:v>
      </x:c>
      <x:c r="D70" s="32" t="str">
        <x:v>Provision resizable virtual machines with selectable operating systems and hardware.</x:v>
      </x:c>
      <x:c r="E70" s="32" t="str">
        <x:v>Amazon EC2</x:v>
      </x:c>
      <x:c r="F70" s="32" t="str">
        <x:v>Azure Virtual Machines
Linux Virtual Machines</x:v>
      </x:c>
      <x:c r="G70" s="32" t="str">
        <x:v>Compute Engine</x:v>
      </x:c>
      <x:c r="H70" s="32" t="str">
        <x:v>Exact</x:v>
      </x:c>
      <x:c r="I70" s="32"/>
      <x:c r="J70" s="32" t="str">
        <x:v>https://docs.aws.amazon.com/whitepapers/latest/aws-overview/aws-services.html</x:v>
      </x:c>
      <x:c r="K70" s="32" t="str">
        <x:v>https://azure.microsoft.com/en-gb/products/</x:v>
      </x:c>
      <x:c r="L70" s="32" t="str">
        <x:v>https://docs.cloud.google.com/docs/product-list</x:v>
      </x:c>
      <x:c r="M70" s="32" t="str">
        <x:v>2026-07-12</x:v>
      </x:c>
    </x:row>
    <x:row r="71">
      <x:c r="A71" s="32" t="str">
        <x:v>Compute &amp; Application Hosting</x:v>
      </x:c>
      <x:c r="B71" s="32" t="str">
        <x:v>Autoscaling</x:v>
      </x:c>
      <x:c r="C71" s="32" t="str">
        <x:v>Virtual-machine autoscaling</x:v>
      </x:c>
      <x:c r="D71" s="32" t="str">
        <x:v>Automatically add or remove virtual-machine capacity based on demand or schedules.</x:v>
      </x:c>
      <x:c r="E71" s="32" t="str">
        <x:v>Amazon EC2 Auto Scaling</x:v>
      </x:c>
      <x:c r="F71" s="32" t="str">
        <x:v>Virtual Machine Scale Sets</x:v>
      </x:c>
      <x:c r="G71" s="32" t="str">
        <x:v>Managed instance groups</x:v>
      </x:c>
      <x:c r="H71" s="32" t="str">
        <x:v>Exact</x:v>
      </x:c>
      <x:c r="I71" s="32"/>
      <x:c r="J71" s="32" t="str">
        <x:v>https://docs.aws.amazon.com/whitepapers/latest/aws-overview/aws-services.html</x:v>
      </x:c>
      <x:c r="K71" s="32" t="str">
        <x:v>https://azure.microsoft.com/en-gb/products/</x:v>
      </x:c>
      <x:c r="L71" s="32" t="str">
        <x:v>https://docs.cloud.google.com/docs/product-list</x:v>
      </x:c>
      <x:c r="M71" s="32" t="str">
        <x:v>2026-07-12</x:v>
      </x:c>
    </x:row>
    <x:row r="72">
      <x:c r="A72" s="32" t="str">
        <x:v>Compute &amp; Application Hosting</x:v>
      </x:c>
      <x:c r="B72" s="32" t="str">
        <x:v>Discount compute</x:v>
      </x:c>
      <x:c r="C72" s="32" t="str">
        <x:v>Interruptible compute</x:v>
      </x:c>
      <x:c r="D72" s="32" t="str">
        <x:v>Run fault-tolerant workloads on discounted spare compute capacity.</x:v>
      </x:c>
      <x:c r="E72" s="32" t="str">
        <x:v>Amazon EC2 Spot Instances</x:v>
      </x:c>
      <x:c r="F72" s="32" t="str">
        <x:v>Azure Spot Virtual Machines</x:v>
      </x:c>
      <x:c r="G72" s="32" t="str">
        <x:v>Spot VMs</x:v>
      </x:c>
      <x:c r="H72" s="32" t="str">
        <x:v>Exact</x:v>
      </x:c>
      <x:c r="I72" s="32"/>
      <x:c r="J72" s="32" t="str">
        <x:v>https://docs.aws.amazon.com/whitepapers/latest/aws-overview/aws-services.html</x:v>
      </x:c>
      <x:c r="K72" s="32" t="str">
        <x:v>https://azure.microsoft.com/en-gb/products/</x:v>
      </x:c>
      <x:c r="L72" s="32" t="str">
        <x:v>https://docs.cloud.google.com/docs/product-list</x:v>
      </x:c>
      <x:c r="M72" s="32" t="str">
        <x:v>2026-07-12</x:v>
      </x:c>
    </x:row>
    <x:row r="73">
      <x:c r="A73" s="32" t="str">
        <x:v>Compute &amp; Application Hosting</x:v>
      </x:c>
      <x:c r="B73" s="32" t="str">
        <x:v>Dedicated compute</x:v>
      </x:c>
      <x:c r="C73" s="32" t="str">
        <x:v>Dedicated hosts</x:v>
      </x:c>
      <x:c r="D73" s="32" t="str">
        <x:v>Run virtual machines on isolated physical servers dedicated to one customer.</x:v>
      </x:c>
      <x:c r="E73" s="32" t="str">
        <x:v>Amazon EC2 Dedicated Hosts</x:v>
      </x:c>
      <x:c r="F73" s="32" t="str">
        <x:v>Azure Dedicated Host</x:v>
      </x:c>
      <x:c r="G73" s="32" t="str">
        <x:v>Sole-tenant nodes</x:v>
      </x:c>
      <x:c r="H73" s="32" t="str">
        <x:v>Exact</x:v>
      </x:c>
      <x:c r="I73" s="32"/>
      <x:c r="J73" s="32" t="str">
        <x:v>https://docs.aws.amazon.com/whitepapers/latest/aws-overview/aws-services.html</x:v>
      </x:c>
      <x:c r="K73" s="32" t="str">
        <x:v>https://azure.microsoft.com/en-gb/products/</x:v>
      </x:c>
      <x:c r="L73" s="32" t="str">
        <x:v>https://docs.cloud.google.com/docs/product-list</x:v>
      </x:c>
      <x:c r="M73" s="32" t="str">
        <x:v>2026-07-12</x:v>
      </x:c>
    </x:row>
    <x:row r="74">
      <x:c r="A74" s="32" t="str">
        <x:v>Compute &amp; Application Hosting</x:v>
      </x:c>
      <x:c r="B74" s="32" t="str">
        <x:v>Image management</x:v>
      </x:c>
      <x:c r="C74" s="32" t="str">
        <x:v>Machine image builder</x:v>
      </x:c>
      <x:c r="D74" s="32" t="str">
        <x:v>Automate creation, validation and distribution of hardened machine images.</x:v>
      </x:c>
      <x:c r="E74" s="32" t="str">
        <x:v>EC2 Image Builder</x:v>
      </x:c>
      <x:c r="F74" s="32" t="str">
        <x:v>Azure VM Image Builder
Azure Compute Gallery</x:v>
      </x:c>
      <x:c r="G74" s="32" t="str">
        <x:v>Image Builder</x:v>
      </x:c>
      <x:c r="H74" s="32" t="str">
        <x:v>Close</x:v>
      </x:c>
      <x:c r="I74" s="32"/>
      <x:c r="J74" s="32" t="str">
        <x:v>https://docs.aws.amazon.com/whitepapers/latest/aws-overview/aws-services.html</x:v>
      </x:c>
      <x:c r="K74" s="32" t="str">
        <x:v>https://azure.microsoft.com/en-gb/products/</x:v>
      </x:c>
      <x:c r="L74" s="32" t="str">
        <x:v>https://docs.cloud.google.com/docs/product-list</x:v>
      </x:c>
      <x:c r="M74" s="32" t="str">
        <x:v>2026-07-12</x:v>
      </x:c>
    </x:row>
    <x:row r="75">
      <x:c r="A75" s="32" t="str">
        <x:v>Compute &amp; Application Hosting</x:v>
      </x:c>
      <x:c r="B75" s="32" t="str">
        <x:v>Simple cloud hosting</x:v>
      </x:c>
      <x:c r="C75" s="32" t="str">
        <x:v>Simplified virtual server hosting</x:v>
      </x:c>
      <x:c r="D75" s="32" t="str">
        <x:v>Provide bundled, simplified compute, storage and networking for smaller workloads.</x:v>
      </x:c>
      <x:c r="E75" s="32" t="str">
        <x:v>Amazon Lightsail</x:v>
      </x:c>
      <x:c r="F75" s="32" t="str">
        <x:v>Azure App Service / Virtual Machines</x:v>
      </x:c>
      <x:c r="G75" s="32" t="str">
        <x:v>Compute Engine / Cloud Run</x:v>
      </x:c>
      <x:c r="H75" s="32" t="str">
        <x:v>Partial</x:v>
      </x:c>
      <x:c r="I75" s="32"/>
      <x:c r="J75" s="32" t="str">
        <x:v>https://docs.aws.amazon.com/whitepapers/latest/aws-overview/aws-services.html</x:v>
      </x:c>
      <x:c r="K75" s="32" t="str">
        <x:v>https://azure.microsoft.com/en-gb/products/</x:v>
      </x:c>
      <x:c r="L75" s="32" t="str">
        <x:v>https://docs.cloud.google.com/docs/product-list</x:v>
      </x:c>
      <x:c r="M75" s="32" t="str">
        <x:v>2026-07-12</x:v>
      </x:c>
    </x:row>
    <x:row r="76">
      <x:c r="A76" s="32" t="str">
        <x:v>Compute &amp; Application Hosting</x:v>
      </x:c>
      <x:c r="B76" s="32" t="str">
        <x:v>Batch</x:v>
      </x:c>
      <x:c r="C76" s="32" t="str">
        <x:v>Managed batch computing</x:v>
      </x:c>
      <x:c r="D76" s="32" t="str">
        <x:v>Schedule and run large numbers of parallel or queued compute jobs.</x:v>
      </x:c>
      <x:c r="E76" s="32" t="str">
        <x:v>AWS Batch</x:v>
      </x:c>
      <x:c r="F76" s="32" t="str">
        <x:v>Azure Batch</x:v>
      </x:c>
      <x:c r="G76" s="32" t="str">
        <x:v>Batch</x:v>
      </x:c>
      <x:c r="H76" s="32" t="str">
        <x:v>Exact</x:v>
      </x:c>
      <x:c r="I76" s="32"/>
      <x:c r="J76" s="32" t="str">
        <x:v>https://docs.aws.amazon.com/whitepapers/latest/aws-overview/aws-services.html</x:v>
      </x:c>
      <x:c r="K76" s="32" t="str">
        <x:v>https://azure.microsoft.com/en-gb/products/</x:v>
      </x:c>
      <x:c r="L76" s="32" t="str">
        <x:v>https://docs.cloud.google.com/docs/product-list</x:v>
      </x:c>
      <x:c r="M76" s="32" t="str">
        <x:v>2026-07-12</x:v>
      </x:c>
    </x:row>
    <x:row r="77">
      <x:c r="A77" s="32" t="str">
        <x:v>Compute &amp; Application Hosting</x:v>
      </x:c>
      <x:c r="B77" s="32" t="str">
        <x:v>HPC</x:v>
      </x:c>
      <x:c r="C77" s="32" t="str">
        <x:v>High-performance computing platform</x:v>
      </x:c>
      <x:c r="D77" s="32" t="str">
        <x:v>Provision tightly coupled compute, high-speed networking and schedulers for HPC workloads.</x:v>
      </x:c>
      <x:c r="E77" s="32" t="str">
        <x:v>AWS ParallelCluster
Amazon EC2 HPC</x:v>
      </x:c>
      <x:c r="F77" s="32" t="str">
        <x:v>Azure CycleCloud
Azure HPC</x:v>
      </x:c>
      <x:c r="G77" s="32" t="str">
        <x:v>Cluster Toolkit
Cloud HPC Toolkit</x:v>
      </x:c>
      <x:c r="H77" s="32" t="str">
        <x:v>Close</x:v>
      </x:c>
      <x:c r="I77" s="32"/>
      <x:c r="J77" s="32" t="str">
        <x:v>https://docs.aws.amazon.com/whitepapers/latest/aws-overview/aws-services.html</x:v>
      </x:c>
      <x:c r="K77" s="32" t="str">
        <x:v>https://azure.microsoft.com/en-gb/products/</x:v>
      </x:c>
      <x:c r="L77" s="32" t="str">
        <x:v>https://docs.cloud.google.com/docs/product-list</x:v>
      </x:c>
      <x:c r="M77" s="32" t="str">
        <x:v>2026-07-12</x:v>
      </x:c>
    </x:row>
    <x:row r="78">
      <x:c r="A78" s="32" t="str">
        <x:v>Compute &amp; Application Hosting</x:v>
      </x:c>
      <x:c r="B78" s="32" t="str">
        <x:v>Serverless functions</x:v>
      </x:c>
      <x:c r="C78" s="32" t="str">
        <x:v>Functions as a service</x:v>
      </x:c>
      <x:c r="D78" s="32" t="str">
        <x:v>Run event-driven code without managing servers.</x:v>
      </x:c>
      <x:c r="E78" s="32" t="str">
        <x:v>AWS Lambda</x:v>
      </x:c>
      <x:c r="F78" s="32" t="str">
        <x:v>Azure Functions</x:v>
      </x:c>
      <x:c r="G78" s="32" t="str">
        <x:v>Cloud Run functions</x:v>
      </x:c>
      <x:c r="H78" s="32" t="str">
        <x:v>Exact</x:v>
      </x:c>
      <x:c r="I78" s="32"/>
      <x:c r="J78" s="32" t="str">
        <x:v>https://docs.aws.amazon.com/whitepapers/latest/aws-overview/aws-services.html</x:v>
      </x:c>
      <x:c r="K78" s="32" t="str">
        <x:v>https://azure.microsoft.com/en-gb/products/</x:v>
      </x:c>
      <x:c r="L78" s="32" t="str">
        <x:v>https://docs.cloud.google.com/docs/product-list</x:v>
      </x:c>
      <x:c r="M78" s="32" t="str">
        <x:v>2026-07-12</x:v>
      </x:c>
    </x:row>
    <x:row r="79">
      <x:c r="A79" s="32" t="str">
        <x:v>Compute &amp; Application Hosting</x:v>
      </x:c>
      <x:c r="B79" s="32" t="str">
        <x:v>Application PaaS</x:v>
      </x:c>
      <x:c r="C79" s="32" t="str">
        <x:v>Managed web application platform</x:v>
      </x:c>
      <x:c r="D79" s="32" t="str">
        <x:v>Deploy web applications and APIs on a managed runtime platform.</x:v>
      </x:c>
      <x:c r="E79" s="32" t="str">
        <x:v>AWS Elastic Beanstalk
AWS App Runner</x:v>
      </x:c>
      <x:c r="F79" s="32" t="str">
        <x:v>Azure App Service</x:v>
      </x:c>
      <x:c r="G79" s="32" t="str">
        <x:v>App Engine
Cloud Run</x:v>
      </x:c>
      <x:c r="H79" s="32" t="str">
        <x:v>Close</x:v>
      </x:c>
      <x:c r="I79" s="32"/>
      <x:c r="J79" s="32" t="str">
        <x:v>https://docs.aws.amazon.com/whitepapers/latest/aws-overview/aws-services.html</x:v>
      </x:c>
      <x:c r="K79" s="32" t="str">
        <x:v>https://azure.microsoft.com/en-gb/products/</x:v>
      </x:c>
      <x:c r="L79" s="32" t="str">
        <x:v>https://docs.cloud.google.com/docs/product-list</x:v>
      </x:c>
      <x:c r="M79" s="32" t="str">
        <x:v>2026-07-12</x:v>
      </x:c>
    </x:row>
    <x:row r="80">
      <x:c r="A80" s="32" t="str">
        <x:v>Compute &amp; Application Hosting</x:v>
      </x:c>
      <x:c r="B80" s="32" t="str">
        <x:v>Static web</x:v>
      </x:c>
      <x:c r="C80" s="32" t="str">
        <x:v>Static web application hosting</x:v>
      </x:c>
      <x:c r="D80" s="32" t="str">
        <x:v>Host globally delivered static sites with integrated deployment workflows.</x:v>
      </x:c>
      <x:c r="E80" s="32" t="str">
        <x:v>AWS Amplify Hosting
Amazon S3
Amazon CloudFront</x:v>
      </x:c>
      <x:c r="F80" s="32" t="str">
        <x:v>Azure Static Web Apps</x:v>
      </x:c>
      <x:c r="G80" s="32" t="str">
        <x:v>Firebase Hosting
Cloud Storage
Cloud CDN</x:v>
      </x:c>
      <x:c r="H80" s="32" t="str">
        <x:v>Close</x:v>
      </x:c>
      <x:c r="I80" s="32"/>
      <x:c r="J80" s="32" t="str">
        <x:v>https://docs.aws.amazon.com/whitepapers/latest/aws-overview/aws-services.html</x:v>
      </x:c>
      <x:c r="K80" s="32" t="str">
        <x:v>https://azure.microsoft.com/en-gb/products/</x:v>
      </x:c>
      <x:c r="L80" s="32" t="str">
        <x:v>https://docs.cloud.google.com/docs/product-list</x:v>
      </x:c>
      <x:c r="M80" s="32" t="str">
        <x:v>2026-07-12</x:v>
      </x:c>
    </x:row>
    <x:row r="81">
      <x:c r="A81" s="32" t="str">
        <x:v>Compute &amp; Application Hosting</x:v>
      </x:c>
      <x:c r="B81" s="32" t="str">
        <x:v>Container instances</x:v>
      </x:c>
      <x:c r="C81" s="32" t="str">
        <x:v>Serverless container instances</x:v>
      </x:c>
      <x:c r="D81" s="32" t="str">
        <x:v>Run containers without directly managing virtual machines or Kubernetes clusters.</x:v>
      </x:c>
      <x:c r="E81" s="32" t="str">
        <x:v>AWS Fargate
Amazon ECS</x:v>
      </x:c>
      <x:c r="F81" s="32" t="str">
        <x:v>Azure Container Instances</x:v>
      </x:c>
      <x:c r="G81" s="32" t="str">
        <x:v>Cloud Run</x:v>
      </x:c>
      <x:c r="H81" s="32" t="str">
        <x:v>Close</x:v>
      </x:c>
      <x:c r="I81" s="32"/>
      <x:c r="J81" s="32" t="str">
        <x:v>https://docs.aws.amazon.com/whitepapers/latest/aws-overview/aws-services.html</x:v>
      </x:c>
      <x:c r="K81" s="32" t="str">
        <x:v>https://azure.microsoft.com/en-gb/products/</x:v>
      </x:c>
      <x:c r="L81" s="32" t="str">
        <x:v>https://docs.cloud.google.com/docs/product-list</x:v>
      </x:c>
      <x:c r="M81" s="32" t="str">
        <x:v>2026-07-12</x:v>
      </x:c>
    </x:row>
    <x:row r="82">
      <x:c r="A82" s="32" t="str">
        <x:v>Compute &amp; Application Hosting</x:v>
      </x:c>
      <x:c r="B82" s="32" t="str">
        <x:v>Container PaaS</x:v>
      </x:c>
      <x:c r="C82" s="32" t="str">
        <x:v>Serverless container application platform</x:v>
      </x:c>
      <x:c r="D82" s="32" t="str">
        <x:v>Deploy autoscaling containerised applications with managed ingress and revisions.</x:v>
      </x:c>
      <x:c r="E82" s="32" t="str">
        <x:v>AWS App Runner
AWS Fargate</x:v>
      </x:c>
      <x:c r="F82" s="32" t="str">
        <x:v>Azure Container Apps</x:v>
      </x:c>
      <x:c r="G82" s="32" t="str">
        <x:v>Cloud Run</x:v>
      </x:c>
      <x:c r="H82" s="32" t="str">
        <x:v>Close</x:v>
      </x:c>
      <x:c r="I82" s="32"/>
      <x:c r="J82" s="32" t="str">
        <x:v>https://docs.aws.amazon.com/whitepapers/latest/aws-overview/aws-services.html</x:v>
      </x:c>
      <x:c r="K82" s="32" t="str">
        <x:v>https://azure.microsoft.com/en-gb/products/</x:v>
      </x:c>
      <x:c r="L82" s="32" t="str">
        <x:v>https://docs.cloud.google.com/docs/product-list</x:v>
      </x:c>
      <x:c r="M82" s="32" t="str">
        <x:v>2026-07-12</x:v>
      </x:c>
    </x:row>
    <x:row r="83">
      <x:c r="A83" s="32" t="str">
        <x:v>Compute &amp; Application Hosting</x:v>
      </x:c>
      <x:c r="B83" s="32" t="str">
        <x:v>Kubernetes</x:v>
      </x:c>
      <x:c r="C83" s="32" t="str">
        <x:v>Managed Kubernetes</x:v>
      </x:c>
      <x:c r="D83" s="32" t="str">
        <x:v>Operate Kubernetes clusters with a managed control plane.</x:v>
      </x:c>
      <x:c r="E83" s="32" t="str">
        <x:v>Amazon Elastic Kubernetes Service</x:v>
      </x:c>
      <x:c r="F83" s="32" t="str">
        <x:v>Azure Kubernetes Service</x:v>
      </x:c>
      <x:c r="G83" s="32" t="str">
        <x:v>Google Kubernetes Engine</x:v>
      </x:c>
      <x:c r="H83" s="32" t="str">
        <x:v>Exact</x:v>
      </x:c>
      <x:c r="I83" s="32"/>
      <x:c r="J83" s="32" t="str">
        <x:v>https://docs.aws.amazon.com/whitepapers/latest/aws-overview/aws-services.html</x:v>
      </x:c>
      <x:c r="K83" s="32" t="str">
        <x:v>https://azure.microsoft.com/en-gb/products/</x:v>
      </x:c>
      <x:c r="L83" s="32" t="str">
        <x:v>https://docs.cloud.google.com/docs/product-list</x:v>
      </x:c>
      <x:c r="M83" s="32" t="str">
        <x:v>2026-07-12</x:v>
      </x:c>
    </x:row>
    <x:row r="84">
      <x:c r="A84" s="32" t="str">
        <x:v>Compute &amp; Application Hosting</x:v>
      </x:c>
      <x:c r="B84" s="32" t="str">
        <x:v>Container registry</x:v>
      </x:c>
      <x:c r="C84" s="32" t="str">
        <x:v>Container image registry</x:v>
      </x:c>
      <x:c r="D84" s="32" t="str">
        <x:v>Store, scan and distribute container images and related artifacts.</x:v>
      </x:c>
      <x:c r="E84" s="32" t="str">
        <x:v>Amazon Elastic Container Registry</x:v>
      </x:c>
      <x:c r="F84" s="32" t="str">
        <x:v>Azure Container Registry</x:v>
      </x:c>
      <x:c r="G84" s="32" t="str">
        <x:v>Artifact Registry</x:v>
      </x:c>
      <x:c r="H84" s="32" t="str">
        <x:v>Exact</x:v>
      </x:c>
      <x:c r="I84" s="32"/>
      <x:c r="J84" s="32" t="str">
        <x:v>https://docs.aws.amazon.com/whitepapers/latest/aws-overview/aws-services.html</x:v>
      </x:c>
      <x:c r="K84" s="32" t="str">
        <x:v>https://azure.microsoft.com/en-gb/products/</x:v>
      </x:c>
      <x:c r="L84" s="32" t="str">
        <x:v>https://docs.cloud.google.com/docs/product-list</x:v>
      </x:c>
      <x:c r="M84" s="32" t="str">
        <x:v>2026-07-12</x:v>
      </x:c>
    </x:row>
    <x:row r="85">
      <x:c r="A85" s="32" t="str">
        <x:v>Compute &amp; Application Hosting</x:v>
      </x:c>
      <x:c r="B85" s="32" t="str">
        <x:v>Container migration</x:v>
      </x:c>
      <x:c r="C85" s="32" t="str">
        <x:v>Application containerisation</x:v>
      </x:c>
      <x:c r="D85" s="32" t="str">
        <x:v>Assess and convert existing applications or virtual machines into containers.</x:v>
      </x:c>
      <x:c r="E85" s="32" t="str">
        <x:v>AWS App2Container</x:v>
      </x:c>
      <x:c r="F85" s="32" t="str">
        <x:v>Azure Migrate: App Containerization</x:v>
      </x:c>
      <x:c r="G85" s="32" t="str">
        <x:v>Migrate to Containers</x:v>
      </x:c>
      <x:c r="H85" s="32" t="str">
        <x:v>Close</x:v>
      </x:c>
      <x:c r="I85" s="32"/>
      <x:c r="J85" s="32" t="str">
        <x:v>https://docs.aws.amazon.com/whitepapers/latest/aws-overview/aws-services.html</x:v>
      </x:c>
      <x:c r="K85" s="32" t="str">
        <x:v>https://azure.microsoft.com/en-gb/products/</x:v>
      </x:c>
      <x:c r="L85" s="32" t="str">
        <x:v>https://docs.cloud.google.com/docs/product-list</x:v>
      </x:c>
      <x:c r="M85" s="32" t="str">
        <x:v>2026-07-12</x:v>
      </x:c>
    </x:row>
    <x:row r="86">
      <x:c r="A86" s="32" t="str">
        <x:v>Compute &amp; Application Hosting</x:v>
      </x:c>
      <x:c r="B86" s="32" t="str">
        <x:v>Enterprise Linux</x:v>
      </x:c>
      <x:c r="C86" s="32" t="str">
        <x:v>Cloud-optimised Linux distribution</x:v>
      </x:c>
      <x:c r="D86" s="32" t="str">
        <x:v>Provide a provider-maintained Linux operating system optimised for cloud workloads.</x:v>
      </x:c>
      <x:c r="E86" s="32" t="str">
        <x:v>Amazon Linux 2023</x:v>
      </x:c>
      <x:c r="F86" s="32" t="str">
        <x:v>Azure Linux</x:v>
      </x:c>
      <x:c r="G86" s="32" t="str">
        <x:v>Container-Optimized OS</x:v>
      </x:c>
      <x:c r="H86" s="32" t="str">
        <x:v>Close</x:v>
      </x:c>
      <x:c r="I86" s="32"/>
      <x:c r="J86" s="32" t="str">
        <x:v>https://docs.aws.amazon.com/whitepapers/latest/aws-overview/aws-services.html</x:v>
      </x:c>
      <x:c r="K86" s="32" t="str">
        <x:v>https://azure.microsoft.com/en-gb/products/</x:v>
      </x:c>
      <x:c r="L86" s="32" t="str">
        <x:v>https://docs.cloud.google.com/docs/product-list</x:v>
      </x:c>
      <x:c r="M86" s="32" t="str">
        <x:v>2026-07-12</x:v>
      </x:c>
    </x:row>
    <x:row r="87">
      <x:c r="A87" s="32" t="str">
        <x:v>Compute &amp; Application Hosting</x:v>
      </x:c>
      <x:c r="B87" s="32" t="str">
        <x:v>VMware</x:v>
      </x:c>
      <x:c r="C87" s="32" t="str">
        <x:v>Managed VMware cloud</x:v>
      </x:c>
      <x:c r="D87" s="32" t="str">
        <x:v>Run VMware environments on cloud infrastructure with familiar VMware tooling.</x:v>
      </x:c>
      <x:c r="E87" s="32" t="str">
        <x:v>VMware Cloud on AWS</x:v>
      </x:c>
      <x:c r="F87" s="32" t="str">
        <x:v>Azure VMware Solution</x:v>
      </x:c>
      <x:c r="G87" s="32" t="str">
        <x:v>Google Cloud VMware Engine</x:v>
      </x:c>
      <x:c r="H87" s="32" t="str">
        <x:v>Exact</x:v>
      </x:c>
      <x:c r="I87" s="32"/>
      <x:c r="J87" s="32" t="str">
        <x:v>https://docs.aws.amazon.com/whitepapers/latest/aws-overview/aws-services.html</x:v>
      </x:c>
      <x:c r="K87" s="32" t="str">
        <x:v>https://azure.microsoft.com/en-gb/products/</x:v>
      </x:c>
      <x:c r="L87" s="32" t="str">
        <x:v>https://docs.cloud.google.com/docs/product-list</x:v>
      </x:c>
      <x:c r="M87" s="32" t="str">
        <x:v>2026-07-12</x:v>
      </x:c>
    </x:row>
    <x:row r="88">
      <x:c r="A88" s="32" t="str">
        <x:v>Compute &amp; Application Hosting</x:v>
      </x:c>
      <x:c r="B88" s="32" t="str">
        <x:v>SAP</x:v>
      </x:c>
      <x:c r="C88" s="32" t="str">
        <x:v>SAP workload platform</x:v>
      </x:c>
      <x:c r="D88" s="32" t="str">
        <x:v>Run certified SAP applications and databases on cloud infrastructure.</x:v>
      </x:c>
      <x:c r="E88" s="32" t="str">
        <x:v>SAP on AWS</x:v>
      </x:c>
      <x:c r="F88" s="32" t="str">
        <x:v>SAP on Azure</x:v>
      </x:c>
      <x:c r="G88" s="32" t="str">
        <x:v>SAP on Google Cloud</x:v>
      </x:c>
      <x:c r="H88" s="32" t="str">
        <x:v>Exact</x:v>
      </x:c>
      <x:c r="I88" s="32"/>
      <x:c r="J88" s="32" t="str">
        <x:v>https://docs.aws.amazon.com/whitepapers/latest/aws-overview/aws-services.html</x:v>
      </x:c>
      <x:c r="K88" s="32" t="str">
        <x:v>https://azure.microsoft.com/en-gb/products/</x:v>
      </x:c>
      <x:c r="L88" s="32" t="str">
        <x:v>https://docs.cloud.google.com/docs/product-list</x:v>
      </x:c>
      <x:c r="M88" s="32" t="str">
        <x:v>2026-07-12</x:v>
      </x:c>
    </x:row>
    <x:row r="89">
      <x:c r="A89" s="32" t="str">
        <x:v>Compute &amp; Application Hosting</x:v>
      </x:c>
      <x:c r="B89" s="32" t="str">
        <x:v>Quantum</x:v>
      </x:c>
      <x:c r="C89" s="32" t="str">
        <x:v>Managed quantum computing</x:v>
      </x:c>
      <x:c r="D89" s="32" t="str">
        <x:v>Develop, simulate and execute quantum algorithms using cloud-accessible hardware.</x:v>
      </x:c>
      <x:c r="E89" s="32" t="str">
        <x:v>Amazon Braket</x:v>
      </x:c>
      <x:c r="F89" s="32" t="str">
        <x:v>Azure Quantum</x:v>
      </x:c>
      <x:c r="G89" s="32" t="str">
        <x:v>Quantum AI services and partner access</x:v>
      </x:c>
      <x:c r="H89" s="32" t="str">
        <x:v>Partial</x:v>
      </x:c>
      <x:c r="I89" s="32"/>
      <x:c r="J89" s="32" t="str">
        <x:v>https://docs.aws.amazon.com/whitepapers/latest/aws-overview/aws-services.html</x:v>
      </x:c>
      <x:c r="K89" s="32" t="str">
        <x:v>https://azure.microsoft.com/en-gb/products/</x:v>
      </x:c>
      <x:c r="L89" s="32" t="str">
        <x:v>https://docs.cloud.google.com/docs/product-list</x:v>
      </x:c>
      <x:c r="M89" s="32" t="str">
        <x:v>2026-07-12</x:v>
      </x:c>
    </x:row>
    <x:row r="90">
      <x:c r="A90" s="32" t="str">
        <x:v>Compute &amp; Application Hosting</x:v>
      </x:c>
      <x:c r="B90" s="32" t="str">
        <x:v>Edge compute</x:v>
      </x:c>
      <x:c r="C90" s="32" t="str">
        <x:v>Provider edge compute</x:v>
      </x:c>
      <x:c r="D90" s="32" t="str">
        <x:v>Run cloud compute and services near users, devices or telecom networks.</x:v>
      </x:c>
      <x:c r="E90" s="32" t="str">
        <x:v>AWS Wavelength
AWS Outposts</x:v>
      </x:c>
      <x:c r="F90" s="32" t="str">
        <x:v>Azure Edge Zones
Azure Stack Edge</x:v>
      </x:c>
      <x:c r="G90" s="32" t="str">
        <x:v>Google Distributed Cloud</x:v>
      </x:c>
      <x:c r="H90" s="32" t="str">
        <x:v>Close</x:v>
      </x:c>
      <x:c r="I90" s="32"/>
      <x:c r="J90" s="32" t="str">
        <x:v>https://docs.aws.amazon.com/whitepapers/latest/aws-overview/aws-services.html</x:v>
      </x:c>
      <x:c r="K90" s="32" t="str">
        <x:v>https://azure.microsoft.com/en-gb/products/</x:v>
      </x:c>
      <x:c r="L90" s="32" t="str">
        <x:v>https://docs.cloud.google.com/docs/product-list</x:v>
      </x:c>
      <x:c r="M90" s="32" t="str">
        <x:v>2026-07-12</x:v>
      </x:c>
    </x:row>
    <x:row r="91">
      <x:c r="A91" s="32" t="str">
        <x:v>Hybrid &amp; Multicloud</x:v>
      </x:c>
      <x:c r="B91" s="32" t="str">
        <x:v>Hybrid cloud platform</x:v>
      </x:c>
      <x:c r="C91" s="32" t="str">
        <x:v>On-premises cloud infrastructure</x:v>
      </x:c>
      <x:c r="D91" s="32" t="str">
        <x:v>Run provider-consistent cloud services in customer data centres or edge locations.</x:v>
      </x:c>
      <x:c r="E91" s="32" t="str">
        <x:v>AWS Outposts</x:v>
      </x:c>
      <x:c r="F91" s="32" t="str">
        <x:v>Azure Local
Azure Stack Hub</x:v>
      </x:c>
      <x:c r="G91" s="32" t="str">
        <x:v>Google Distributed Cloud connected
Google Distributed Cloud air-gapped</x:v>
      </x:c>
      <x:c r="H91" s="32" t="str">
        <x:v>Close</x:v>
      </x:c>
      <x:c r="I91" s="32"/>
      <x:c r="J91" s="32" t="str">
        <x:v>https://docs.aws.amazon.com/whitepapers/latest/aws-overview/aws-services.html</x:v>
      </x:c>
      <x:c r="K91" s="32" t="str">
        <x:v>https://azure.microsoft.com/en-gb/products/</x:v>
      </x:c>
      <x:c r="L91" s="32" t="str">
        <x:v>https://docs.cloud.google.com/docs/product-list</x:v>
      </x:c>
      <x:c r="M91" s="32" t="str">
        <x:v>2026-07-12</x:v>
      </x:c>
    </x:row>
    <x:row r="92">
      <x:c r="A92" s="32" t="str">
        <x:v>Hybrid &amp; Multicloud</x:v>
      </x:c>
      <x:c r="B92" s="32" t="str">
        <x:v>Hybrid management</x:v>
      </x:c>
      <x:c r="C92" s="32" t="str">
        <x:v>Hybrid and multicloud control plane</x:v>
      </x:c>
      <x:c r="D92" s="32" t="str">
        <x:v>Inventory, govern and operate servers, Kubernetes and data services across environments.</x:v>
      </x:c>
      <x:c r="E92" s="32" t="str">
        <x:v>AWS Systems Manager
Amazon EKS Anywhere</x:v>
      </x:c>
      <x:c r="F92" s="32" t="str">
        <x:v>Azure Arc</x:v>
      </x:c>
      <x:c r="G92" s="32" t="str">
        <x:v>GKE Enterprise
Config Sync
Policy Controller</x:v>
      </x:c>
      <x:c r="H92" s="32" t="str">
        <x:v>Close</x:v>
      </x:c>
      <x:c r="I92" s="32"/>
      <x:c r="J92" s="32" t="str">
        <x:v>https://docs.aws.amazon.com/whitepapers/latest/aws-overview/aws-services.html</x:v>
      </x:c>
      <x:c r="K92" s="32" t="str">
        <x:v>https://azure.microsoft.com/en-gb/products/</x:v>
      </x:c>
      <x:c r="L92" s="32" t="str">
        <x:v>https://docs.cloud.google.com/docs/product-list</x:v>
      </x:c>
      <x:c r="M92" s="32" t="str">
        <x:v>2026-07-12</x:v>
      </x:c>
    </x:row>
    <x:row r="93">
      <x:c r="A93" s="32" t="str">
        <x:v>Hybrid &amp; Multicloud</x:v>
      </x:c>
      <x:c r="B93" s="32" t="str">
        <x:v>Multicloud Kubernetes</x:v>
      </x:c>
      <x:c r="C93" s="32" t="str">
        <x:v>Multicloud Kubernetes management</x:v>
      </x:c>
      <x:c r="D93" s="32" t="str">
        <x:v>Manage Kubernetes fleets spanning cloud and on-premises environments.</x:v>
      </x:c>
      <x:c r="E93" s="32" t="str">
        <x:v>Amazon EKS Anywhere
Amazon ECS Anywhere</x:v>
      </x:c>
      <x:c r="F93" s="32" t="str">
        <x:v>Azure Kubernetes Fleet Manager
Azure Arc-enabled Kubernetes</x:v>
      </x:c>
      <x:c r="G93" s="32" t="str">
        <x:v>GKE Multi-Cloud
GKE Enterprise</x:v>
      </x:c>
      <x:c r="H93" s="32" t="str">
        <x:v>Close</x:v>
      </x:c>
      <x:c r="I93" s="32"/>
      <x:c r="J93" s="32" t="str">
        <x:v>https://docs.aws.amazon.com/whitepapers/latest/aws-overview/aws-services.html</x:v>
      </x:c>
      <x:c r="K93" s="32" t="str">
        <x:v>https://azure.microsoft.com/en-gb/products/</x:v>
      </x:c>
      <x:c r="L93" s="32" t="str">
        <x:v>https://docs.cloud.google.com/docs/product-list</x:v>
      </x:c>
      <x:c r="M93" s="32" t="str">
        <x:v>2026-07-12</x:v>
      </x:c>
    </x:row>
    <x:row r="94">
      <x:c r="A94" s="32" t="str">
        <x:v>Hybrid &amp; Multicloud</x:v>
      </x:c>
      <x:c r="B94" s="32" t="str">
        <x:v>Air-gapped cloud</x:v>
      </x:c>
      <x:c r="C94" s="32" t="str">
        <x:v>Air-gapped cloud platform</x:v>
      </x:c>
      <x:c r="D94" s="32" t="str">
        <x:v>Run cloud capabilities in disconnected or highly restricted environments.</x:v>
      </x:c>
      <x:c r="E94" s="32" t="str">
        <x:v>AWS Snowball Edge / AWS Outposts variants</x:v>
      </x:c>
      <x:c r="F94" s="32" t="str">
        <x:v>Azure Stack Hub</x:v>
      </x:c>
      <x:c r="G94" s="32" t="str">
        <x:v>Google Distributed Cloud air-gapped</x:v>
      </x:c>
      <x:c r="H94" s="32" t="str">
        <x:v>Partial</x:v>
      </x:c>
      <x:c r="I94" s="32"/>
      <x:c r="J94" s="32" t="str">
        <x:v>https://docs.aws.amazon.com/whitepapers/latest/aws-overview/aws-services.html</x:v>
      </x:c>
      <x:c r="K94" s="32" t="str">
        <x:v>https://azure.microsoft.com/en-gb/products/</x:v>
      </x:c>
      <x:c r="L94" s="32" t="str">
        <x:v>https://docs.cloud.google.com/docs/product-list</x:v>
      </x:c>
      <x:c r="M94" s="32" t="str">
        <x:v>2026-07-12</x:v>
      </x:c>
    </x:row>
    <x:row r="95">
      <x:c r="A95" s="32" t="str">
        <x:v>Hybrid &amp; Multicloud</x:v>
      </x:c>
      <x:c r="B95" s="32" t="str">
        <x:v>Edge appliance</x:v>
      </x:c>
      <x:c r="C95" s="32" t="str">
        <x:v>Cloud edge appliance</x:v>
      </x:c>
      <x:c r="D95" s="32" t="str">
        <x:v>Deploy provider-managed compute and data-transfer hardware at remote sites.</x:v>
      </x:c>
      <x:c r="E95" s="32" t="str">
        <x:v>AWS Snow Family</x:v>
      </x:c>
      <x:c r="F95" s="32" t="str">
        <x:v>Azure Stack Edge
Azure Data Box</x:v>
      </x:c>
      <x:c r="G95" s="32" t="str">
        <x:v>Google Distributed Cloud appliance
Transfer Appliance</x:v>
      </x:c>
      <x:c r="H95" s="32" t="str">
        <x:v>Close</x:v>
      </x:c>
      <x:c r="I95" s="32"/>
      <x:c r="J95" s="32" t="str">
        <x:v>https://docs.aws.amazon.com/whitepapers/latest/aws-overview/aws-services.html</x:v>
      </x:c>
      <x:c r="K95" s="32" t="str">
        <x:v>https://azure.microsoft.com/en-gb/products/</x:v>
      </x:c>
      <x:c r="L95" s="32" t="str">
        <x:v>https://docs.cloud.google.com/docs/product-list</x:v>
      </x:c>
      <x:c r="M95" s="32" t="str">
        <x:v>2026-07-12</x:v>
      </x:c>
    </x:row>
    <x:row r="96">
      <x:c r="A96" s="32" t="str">
        <x:v>Networking</x:v>
      </x:c>
      <x:c r="B96" s="32" t="str">
        <x:v>Virtual network</x:v>
      </x:c>
      <x:c r="C96" s="32" t="str">
        <x:v>Virtual private network</x:v>
      </x:c>
      <x:c r="D96" s="32" t="str">
        <x:v>Create logically isolated cloud networks, subnets, routing and private addressing.</x:v>
      </x:c>
      <x:c r="E96" s="32" t="str">
        <x:v>Amazon VPC</x:v>
      </x:c>
      <x:c r="F96" s="32" t="str">
        <x:v>Azure Virtual Network</x:v>
      </x:c>
      <x:c r="G96" s="32" t="str">
        <x:v>Virtual Private Cloud</x:v>
      </x:c>
      <x:c r="H96" s="32" t="str">
        <x:v>Exact</x:v>
      </x:c>
      <x:c r="I96" s="32"/>
      <x:c r="J96" s="32" t="str">
        <x:v>https://docs.aws.amazon.com/whitepapers/latest/aws-overview/aws-services.html</x:v>
      </x:c>
      <x:c r="K96" s="32" t="str">
        <x:v>https://azure.microsoft.com/en-gb/products/</x:v>
      </x:c>
      <x:c r="L96" s="32" t="str">
        <x:v>https://docs.cloud.google.com/docs/product-list</x:v>
      </x:c>
      <x:c r="M96" s="32" t="str">
        <x:v>2026-07-12</x:v>
      </x:c>
    </x:row>
    <x:row r="97">
      <x:c r="A97" s="32" t="str">
        <x:v>Networking</x:v>
      </x:c>
      <x:c r="B97" s="32" t="str">
        <x:v>Network segmentation</x:v>
      </x:c>
      <x:c r="C97" s="32" t="str">
        <x:v>Network security groups</x:v>
      </x:c>
      <x:c r="D97" s="32" t="str">
        <x:v>Apply stateful network access rules to interfaces, workloads or subnets.</x:v>
      </x:c>
      <x:c r="E97" s="32" t="str">
        <x:v>Security Groups
Network ACLs</x:v>
      </x:c>
      <x:c r="F97" s="32" t="str">
        <x:v>Network Security Groups
Application Security Groups</x:v>
      </x:c>
      <x:c r="G97" s="32" t="str">
        <x:v>VPC firewall rules
Hierarchical firewall policies</x:v>
      </x:c>
      <x:c r="H97" s="32" t="str">
        <x:v>Close</x:v>
      </x:c>
      <x:c r="I97" s="32"/>
      <x:c r="J97" s="32" t="str">
        <x:v>https://docs.aws.amazon.com/whitepapers/latest/aws-overview/aws-services.html</x:v>
      </x:c>
      <x:c r="K97" s="32" t="str">
        <x:v>https://azure.microsoft.com/en-gb/products/</x:v>
      </x:c>
      <x:c r="L97" s="32" t="str">
        <x:v>https://docs.cloud.google.com/docs/product-list</x:v>
      </x:c>
      <x:c r="M97" s="32" t="str">
        <x:v>2026-07-12</x:v>
      </x:c>
    </x:row>
    <x:row r="98">
      <x:c r="A98" s="32" t="str">
        <x:v>Networking</x:v>
      </x:c>
      <x:c r="B98" s="32" t="str">
        <x:v>Load balancing</x:v>
      </x:c>
      <x:c r="C98" s="32" t="str">
        <x:v>Layer 4 load balancing</x:v>
      </x:c>
      <x:c r="D98" s="32" t="str">
        <x:v>Distribute TCP or UDP traffic across healthy backend services.</x:v>
      </x:c>
      <x:c r="E98" s="32" t="str">
        <x:v>Network Load Balancer
Gateway Load Balancer</x:v>
      </x:c>
      <x:c r="F98" s="32" t="str">
        <x:v>Azure Load Balancer</x:v>
      </x:c>
      <x:c r="G98" s="32" t="str">
        <x:v>Cloud Load Balancing</x:v>
      </x:c>
      <x:c r="H98" s="32" t="str">
        <x:v>Close</x:v>
      </x:c>
      <x:c r="I98" s="32"/>
      <x:c r="J98" s="32" t="str">
        <x:v>https://docs.aws.amazon.com/whitepapers/latest/aws-overview/aws-services.html</x:v>
      </x:c>
      <x:c r="K98" s="32" t="str">
        <x:v>https://azure.microsoft.com/en-gb/products/</x:v>
      </x:c>
      <x:c r="L98" s="32" t="str">
        <x:v>https://docs.cloud.google.com/docs/product-list</x:v>
      </x:c>
      <x:c r="M98" s="32" t="str">
        <x:v>2026-07-12</x:v>
      </x:c>
    </x:row>
    <x:row r="99">
      <x:c r="A99" s="32" t="str">
        <x:v>Networking</x:v>
      </x:c>
      <x:c r="B99" s="32" t="str">
        <x:v>Load balancing</x:v>
      </x:c>
      <x:c r="C99" s="32" t="str">
        <x:v>Layer 7 application load balancing</x:v>
      </x:c>
      <x:c r="D99" s="32" t="str">
        <x:v>Distribute HTTP and HTTPS traffic using host, path and application-aware routing.</x:v>
      </x:c>
      <x:c r="E99" s="32" t="str">
        <x:v>Application Load Balancer</x:v>
      </x:c>
      <x:c r="F99" s="32" t="str">
        <x:v>Azure Application Gateway</x:v>
      </x:c>
      <x:c r="G99" s="32" t="str">
        <x:v>Cloud Load Balancing</x:v>
      </x:c>
      <x:c r="H99" s="32" t="str">
        <x:v>Exact</x:v>
      </x:c>
      <x:c r="I99" s="32"/>
      <x:c r="J99" s="32" t="str">
        <x:v>https://docs.aws.amazon.com/whitepapers/latest/aws-overview/aws-services.html</x:v>
      </x:c>
      <x:c r="K99" s="32" t="str">
        <x:v>https://azure.microsoft.com/en-gb/products/</x:v>
      </x:c>
      <x:c r="L99" s="32" t="str">
        <x:v>https://docs.cloud.google.com/docs/product-list</x:v>
      </x:c>
      <x:c r="M99" s="32" t="str">
        <x:v>2026-07-12</x:v>
      </x:c>
    </x:row>
    <x:row r="100">
      <x:c r="A100" s="32" t="str">
        <x:v>Networking</x:v>
      </x:c>
      <x:c r="B100" s="32" t="str">
        <x:v>Global traffic</x:v>
      </x:c>
      <x:c r="C100" s="32" t="str">
        <x:v>Global application acceleration</x:v>
      </x:c>
      <x:c r="D100" s="32" t="str">
        <x:v>Route users to healthy regional endpoints over the provider's global network.</x:v>
      </x:c>
      <x:c r="E100" s="32" t="str">
        <x:v>AWS Global Accelerator</x:v>
      </x:c>
      <x:c r="F100" s="32" t="str">
        <x:v>Azure Front Door</x:v>
      </x:c>
      <x:c r="G100" s="32" t="str">
        <x:v>Cloud Load Balancing
Premium Network Service Tier</x:v>
      </x:c>
      <x:c r="H100" s="32" t="str">
        <x:v>Close</x:v>
      </x:c>
      <x:c r="I100" s="32"/>
      <x:c r="J100" s="32" t="str">
        <x:v>https://docs.aws.amazon.com/whitepapers/latest/aws-overview/aws-services.html</x:v>
      </x:c>
      <x:c r="K100" s="32" t="str">
        <x:v>https://azure.microsoft.com/en-gb/products/</x:v>
      </x:c>
      <x:c r="L100" s="32" t="str">
        <x:v>https://docs.cloud.google.com/docs/product-list</x:v>
      </x:c>
      <x:c r="M100" s="32" t="str">
        <x:v>2026-07-12</x:v>
      </x:c>
    </x:row>
    <x:row r="101">
      <x:c r="A101" s="32" t="str">
        <x:v>Networking</x:v>
      </x:c>
      <x:c r="B101" s="32" t="str">
        <x:v>DNS</x:v>
      </x:c>
      <x:c r="C101" s="32" t="str">
        <x:v>Managed DNS</x:v>
      </x:c>
      <x:c r="D101" s="32" t="str">
        <x:v>Host public and private DNS zones with resilient authoritative name resolution.</x:v>
      </x:c>
      <x:c r="E101" s="32" t="str">
        <x:v>Amazon Route 53</x:v>
      </x:c>
      <x:c r="F101" s="32" t="str">
        <x:v>Azure DNS
Azure Private DNS</x:v>
      </x:c>
      <x:c r="G101" s="32" t="str">
        <x:v>Cloud DNS</x:v>
      </x:c>
      <x:c r="H101" s="32" t="str">
        <x:v>Exact</x:v>
      </x:c>
      <x:c r="I101" s="32"/>
      <x:c r="J101" s="32" t="str">
        <x:v>https://docs.aws.amazon.com/whitepapers/latest/aws-overview/aws-services.html</x:v>
      </x:c>
      <x:c r="K101" s="32" t="str">
        <x:v>https://azure.microsoft.com/en-gb/products/</x:v>
      </x:c>
      <x:c r="L101" s="32" t="str">
        <x:v>https://docs.cloud.google.com/docs/product-list</x:v>
      </x:c>
      <x:c r="M101" s="32" t="str">
        <x:v>2026-07-12</x:v>
      </x:c>
    </x:row>
    <x:row r="102">
      <x:c r="A102" s="32" t="str">
        <x:v>Networking</x:v>
      </x:c>
      <x:c r="B102" s="32" t="str">
        <x:v>Domains</x:v>
      </x:c>
      <x:c r="C102" s="32" t="str">
        <x:v>Domain registration</x:v>
      </x:c>
      <x:c r="D102" s="32" t="str">
        <x:v>Register and manage internet domain names.</x:v>
      </x:c>
      <x:c r="E102" s="32" t="str">
        <x:v>Amazon Route 53 Domains</x:v>
      </x:c>
      <x:c r="F102" s="32" t="str">
        <x:v>App Service Domains</x:v>
      </x:c>
      <x:c r="G102" s="32" t="str">
        <x:v>Cloud Domains</x:v>
      </x:c>
      <x:c r="H102" s="32" t="str">
        <x:v>Close</x:v>
      </x:c>
      <x:c r="I102" s="32"/>
      <x:c r="J102" s="32" t="str">
        <x:v>https://docs.aws.amazon.com/whitepapers/latest/aws-overview/aws-services.html</x:v>
      </x:c>
      <x:c r="K102" s="32" t="str">
        <x:v>https://azure.microsoft.com/en-gb/products/</x:v>
      </x:c>
      <x:c r="L102" s="32" t="str">
        <x:v>https://docs.cloud.google.com/docs/product-list</x:v>
      </x:c>
      <x:c r="M102" s="32" t="str">
        <x:v>2026-07-12</x:v>
      </x:c>
    </x:row>
    <x:row r="103">
      <x:c r="A103" s="32" t="str">
        <x:v>Networking</x:v>
      </x:c>
      <x:c r="B103" s="32" t="str">
        <x:v>CDN</x:v>
      </x:c>
      <x:c r="C103" s="32" t="str">
        <x:v>Content delivery network</x:v>
      </x:c>
      <x:c r="D103" s="32" t="str">
        <x:v>Cache and deliver web content from globally distributed edge locations.</x:v>
      </x:c>
      <x:c r="E103" s="32" t="str">
        <x:v>Amazon CloudFront</x:v>
      </x:c>
      <x:c r="F103" s="32" t="str">
        <x:v>Azure Front Door
Azure CDN</x:v>
      </x:c>
      <x:c r="G103" s="32" t="str">
        <x:v>Cloud CDN</x:v>
      </x:c>
      <x:c r="H103" s="32" t="str">
        <x:v>Close</x:v>
      </x:c>
      <x:c r="I103" s="32"/>
      <x:c r="J103" s="32" t="str">
        <x:v>https://docs.aws.amazon.com/whitepapers/latest/aws-overview/aws-services.html</x:v>
      </x:c>
      <x:c r="K103" s="32" t="str">
        <x:v>https://azure.microsoft.com/en-gb/products/</x:v>
      </x:c>
      <x:c r="L103" s="32" t="str">
        <x:v>https://docs.cloud.google.com/docs/product-list</x:v>
      </x:c>
      <x:c r="M103" s="32" t="str">
        <x:v>2026-07-12</x:v>
      </x:c>
    </x:row>
    <x:row r="104">
      <x:c r="A104" s="32" t="str">
        <x:v>Networking</x:v>
      </x:c>
      <x:c r="B104" s="32" t="str">
        <x:v>Media CDN</x:v>
      </x:c>
      <x:c r="C104" s="32" t="str">
        <x:v>High-capacity media CDN</x:v>
      </x:c>
      <x:c r="D104" s="32" t="str">
        <x:v>Deliver large-scale streaming media and video using edge caching.</x:v>
      </x:c>
      <x:c r="E104" s="32" t="str">
        <x:v>Amazon CloudFront</x:v>
      </x:c>
      <x:c r="F104" s="32" t="str">
        <x:v>Azure Front Door
Azure CDN</x:v>
      </x:c>
      <x:c r="G104" s="32" t="str">
        <x:v>Media CDN</x:v>
      </x:c>
      <x:c r="H104" s="32" t="str">
        <x:v>Partial</x:v>
      </x:c>
      <x:c r="I104" s="32"/>
      <x:c r="J104" s="32" t="str">
        <x:v>https://docs.aws.amazon.com/whitepapers/latest/aws-overview/aws-services.html</x:v>
      </x:c>
      <x:c r="K104" s="32" t="str">
        <x:v>https://azure.microsoft.com/en-gb/products/</x:v>
      </x:c>
      <x:c r="L104" s="32" t="str">
        <x:v>https://docs.cloud.google.com/docs/product-list</x:v>
      </x:c>
      <x:c r="M104" s="32" t="str">
        <x:v>2026-07-12</x:v>
      </x:c>
    </x:row>
    <x:row r="105">
      <x:c r="A105" s="32" t="str">
        <x:v>Networking</x:v>
      </x:c>
      <x:c r="B105" s="32" t="str">
        <x:v>NAT</x:v>
      </x:c>
      <x:c r="C105" s="32" t="str">
        <x:v>Managed network address translation</x:v>
      </x:c>
      <x:c r="D105" s="32" t="str">
        <x:v>Provide controlled outbound internet access for private workloads.</x:v>
      </x:c>
      <x:c r="E105" s="32" t="str">
        <x:v>NAT Gateway</x:v>
      </x:c>
      <x:c r="F105" s="32" t="str">
        <x:v>Azure NAT Gateway</x:v>
      </x:c>
      <x:c r="G105" s="32" t="str">
        <x:v>Cloud NAT</x:v>
      </x:c>
      <x:c r="H105" s="32" t="str">
        <x:v>Exact</x:v>
      </x:c>
      <x:c r="I105" s="32"/>
      <x:c r="J105" s="32" t="str">
        <x:v>https://docs.aws.amazon.com/whitepapers/latest/aws-overview/aws-services.html</x:v>
      </x:c>
      <x:c r="K105" s="32" t="str">
        <x:v>https://azure.microsoft.com/en-gb/products/</x:v>
      </x:c>
      <x:c r="L105" s="32" t="str">
        <x:v>https://docs.cloud.google.com/docs/product-list</x:v>
      </x:c>
      <x:c r="M105" s="32" t="str">
        <x:v>2026-07-12</x:v>
      </x:c>
    </x:row>
    <x:row r="106">
      <x:c r="A106" s="32" t="str">
        <x:v>Networking</x:v>
      </x:c>
      <x:c r="B106" s="32" t="str">
        <x:v>Hybrid connectivity</x:v>
      </x:c>
      <x:c r="C106" s="32" t="str">
        <x:v>Site-to-site VPN</x:v>
      </x:c>
      <x:c r="D106" s="32" t="str">
        <x:v>Connect on-premises networks to cloud virtual networks through encrypted tunnels.</x:v>
      </x:c>
      <x:c r="E106" s="32" t="str">
        <x:v>AWS Site-to-Site VPN</x:v>
      </x:c>
      <x:c r="F106" s="32" t="str">
        <x:v>Azure VPN Gateway</x:v>
      </x:c>
      <x:c r="G106" s="32" t="str">
        <x:v>Cloud VPN</x:v>
      </x:c>
      <x:c r="H106" s="32" t="str">
        <x:v>Exact</x:v>
      </x:c>
      <x:c r="I106" s="32"/>
      <x:c r="J106" s="32" t="str">
        <x:v>https://docs.aws.amazon.com/whitepapers/latest/aws-overview/aws-services.html</x:v>
      </x:c>
      <x:c r="K106" s="32" t="str">
        <x:v>https://azure.microsoft.com/en-gb/products/</x:v>
      </x:c>
      <x:c r="L106" s="32" t="str">
        <x:v>https://docs.cloud.google.com/docs/product-list</x:v>
      </x:c>
      <x:c r="M106" s="32" t="str">
        <x:v>2026-07-12</x:v>
      </x:c>
    </x:row>
    <x:row r="107">
      <x:c r="A107" s="32" t="str">
        <x:v>Networking</x:v>
      </x:c>
      <x:c r="B107" s="32" t="str">
        <x:v>Hybrid connectivity</x:v>
      </x:c>
      <x:c r="C107" s="32" t="str">
        <x:v>Dedicated private connectivity</x:v>
      </x:c>
      <x:c r="D107" s="32" t="str">
        <x:v>Connect data centres to cloud through dedicated private circuits.</x:v>
      </x:c>
      <x:c r="E107" s="32" t="str">
        <x:v>AWS Direct Connect</x:v>
      </x:c>
      <x:c r="F107" s="32" t="str">
        <x:v>Azure ExpressRoute</x:v>
      </x:c>
      <x:c r="G107" s="32" t="str">
        <x:v>Cloud Interconnect</x:v>
      </x:c>
      <x:c r="H107" s="32" t="str">
        <x:v>Exact</x:v>
      </x:c>
      <x:c r="I107" s="32"/>
      <x:c r="J107" s="32" t="str">
        <x:v>https://docs.aws.amazon.com/whitepapers/latest/aws-overview/aws-services.html</x:v>
      </x:c>
      <x:c r="K107" s="32" t="str">
        <x:v>https://azure.microsoft.com/en-gb/products/</x:v>
      </x:c>
      <x:c r="L107" s="32" t="str">
        <x:v>https://docs.cloud.google.com/docs/product-list</x:v>
      </x:c>
      <x:c r="M107" s="32" t="str">
        <x:v>2026-07-12</x:v>
      </x:c>
    </x:row>
    <x:row r="108">
      <x:c r="A108" s="32" t="str">
        <x:v>Networking</x:v>
      </x:c>
      <x:c r="B108" s="32" t="str">
        <x:v>Transit networking</x:v>
      </x:c>
      <x:c r="C108" s="32" t="str">
        <x:v>Cloud network transit hub</x:v>
      </x:c>
      <x:c r="D108" s="32" t="str">
        <x:v>Connect many virtual networks, branches and hybrid links through a central hub.</x:v>
      </x:c>
      <x:c r="E108" s="32" t="str">
        <x:v>AWS Transit Gateway
AWS Cloud WAN</x:v>
      </x:c>
      <x:c r="F108" s="32" t="str">
        <x:v>Azure Virtual WAN</x:v>
      </x:c>
      <x:c r="G108" s="32" t="str">
        <x:v>Network Connectivity Center</x:v>
      </x:c>
      <x:c r="H108" s="32" t="str">
        <x:v>Close</x:v>
      </x:c>
      <x:c r="I108" s="32"/>
      <x:c r="J108" s="32" t="str">
        <x:v>https://docs.aws.amazon.com/whitepapers/latest/aws-overview/aws-services.html</x:v>
      </x:c>
      <x:c r="K108" s="32" t="str">
        <x:v>https://azure.microsoft.com/en-gb/products/</x:v>
      </x:c>
      <x:c r="L108" s="32" t="str">
        <x:v>https://docs.cloud.google.com/docs/product-list</x:v>
      </x:c>
      <x:c r="M108" s="32" t="str">
        <x:v>2026-07-12</x:v>
      </x:c>
    </x:row>
    <x:row r="109">
      <x:c r="A109" s="32" t="str">
        <x:v>Networking</x:v>
      </x:c>
      <x:c r="B109" s="32" t="str">
        <x:v>Private services</x:v>
      </x:c>
      <x:c r="C109" s="32" t="str">
        <x:v>Private service endpoint</x:v>
      </x:c>
      <x:c r="D109" s="32" t="str">
        <x:v>Access managed services privately without traversing the public internet.</x:v>
      </x:c>
      <x:c r="E109" s="32" t="str">
        <x:v>AWS PrivateLink
VPC endpoints</x:v>
      </x:c>
      <x:c r="F109" s="32" t="str">
        <x:v>Azure Private Link
Private Endpoints</x:v>
      </x:c>
      <x:c r="G109" s="32" t="str">
        <x:v>Private Service Connect</x:v>
      </x:c>
      <x:c r="H109" s="32" t="str">
        <x:v>Exact</x:v>
      </x:c>
      <x:c r="I109" s="32"/>
      <x:c r="J109" s="32" t="str">
        <x:v>https://docs.aws.amazon.com/whitepapers/latest/aws-overview/aws-services.html</x:v>
      </x:c>
      <x:c r="K109" s="32" t="str">
        <x:v>https://azure.microsoft.com/en-gb/products/</x:v>
      </x:c>
      <x:c r="L109" s="32" t="str">
        <x:v>https://docs.cloud.google.com/docs/product-list</x:v>
      </x:c>
      <x:c r="M109" s="32" t="str">
        <x:v>2026-07-12</x:v>
      </x:c>
    </x:row>
    <x:row r="110">
      <x:c r="A110" s="32" t="str">
        <x:v>Networking</x:v>
      </x:c>
      <x:c r="B110" s="32" t="str">
        <x:v>Service networking</x:v>
      </x:c>
      <x:c r="C110" s="32" t="str">
        <x:v>Service mesh</x:v>
      </x:c>
      <x:c r="D110" s="32" t="str">
        <x:v>Manage service-to-service traffic, identity, observability and policy for microservices.</x:v>
      </x:c>
      <x:c r="E110" s="32" t="str">
        <x:v>AWS App Mesh
Amazon VPC Lattice</x:v>
      </x:c>
      <x:c r="F110" s="32" t="str">
        <x:v>Azure Service Mesh / Istio add-on for AKS</x:v>
      </x:c>
      <x:c r="G110" s="32" t="str">
        <x:v>Cloud Service Mesh</x:v>
      </x:c>
      <x:c r="H110" s="32" t="str">
        <x:v>Close</x:v>
      </x:c>
      <x:c r="I110" s="32"/>
      <x:c r="J110" s="32" t="str">
        <x:v>https://docs.aws.amazon.com/whitepapers/latest/aws-overview/aws-services.html</x:v>
      </x:c>
      <x:c r="K110" s="32" t="str">
        <x:v>https://azure.microsoft.com/en-gb/products/</x:v>
      </x:c>
      <x:c r="L110" s="32" t="str">
        <x:v>https://docs.cloud.google.com/docs/product-list</x:v>
      </x:c>
      <x:c r="M110" s="32" t="str">
        <x:v>2026-07-12</x:v>
      </x:c>
    </x:row>
    <x:row r="111">
      <x:c r="A111" s="32" t="str">
        <x:v>Networking</x:v>
      </x:c>
      <x:c r="B111" s="32" t="str">
        <x:v>Service discovery</x:v>
      </x:c>
      <x:c r="C111" s="32" t="str">
        <x:v>Service discovery</x:v>
      </x:c>
      <x:c r="D111" s="32" t="str">
        <x:v>Register and discover services by logical name and health.</x:v>
      </x:c>
      <x:c r="E111" s="32" t="str">
        <x:v>AWS Cloud Map</x:v>
      </x:c>
      <x:c r="F111" s="32" t="str">
        <x:v>Azure Private DNS
Azure Service Fabric naming</x:v>
      </x:c>
      <x:c r="G111" s="32" t="str">
        <x:v>Service Directory</x:v>
      </x:c>
      <x:c r="H111" s="32" t="str">
        <x:v>Close</x:v>
      </x:c>
      <x:c r="I111" s="32"/>
      <x:c r="J111" s="32" t="str">
        <x:v>https://docs.aws.amazon.com/whitepapers/latest/aws-overview/aws-services.html</x:v>
      </x:c>
      <x:c r="K111" s="32" t="str">
        <x:v>https://azure.microsoft.com/en-gb/products/</x:v>
      </x:c>
      <x:c r="L111" s="32" t="str">
        <x:v>https://docs.cloud.google.com/docs/product-list</x:v>
      </x:c>
      <x:c r="M111" s="32" t="str">
        <x:v>2026-07-12</x:v>
      </x:c>
    </x:row>
    <x:row r="112">
      <x:c r="A112" s="32" t="str">
        <x:v>Networking</x:v>
      </x:c>
      <x:c r="B112" s="32" t="str">
        <x:v>API networking</x:v>
      </x:c>
      <x:c r="C112" s="32" t="str">
        <x:v>API gateway</x:v>
      </x:c>
      <x:c r="D112" s="32" t="str">
        <x:v>Publish, secure, throttle, transform and monitor APIs.</x:v>
      </x:c>
      <x:c r="E112" s="32" t="str">
        <x:v>Amazon API Gateway</x:v>
      </x:c>
      <x:c r="F112" s="32" t="str">
        <x:v>Azure API Management</x:v>
      </x:c>
      <x:c r="G112" s="32" t="str">
        <x:v>API Gateway
Apigee</x:v>
      </x:c>
      <x:c r="H112" s="32" t="str">
        <x:v>Close</x:v>
      </x:c>
      <x:c r="I112" s="32"/>
      <x:c r="J112" s="32" t="str">
        <x:v>https://docs.aws.amazon.com/whitepapers/latest/aws-overview/aws-services.html</x:v>
      </x:c>
      <x:c r="K112" s="32" t="str">
        <x:v>https://azure.microsoft.com/en-gb/products/</x:v>
      </x:c>
      <x:c r="L112" s="32" t="str">
        <x:v>https://docs.cloud.google.com/docs/product-list</x:v>
      </x:c>
      <x:c r="M112" s="32" t="str">
        <x:v>2026-07-12</x:v>
      </x:c>
    </x:row>
    <x:row r="113">
      <x:c r="A113" s="32" t="str">
        <x:v>Networking</x:v>
      </x:c>
      <x:c r="B113" s="32" t="str">
        <x:v>Network management</x:v>
      </x:c>
      <x:c r="C113" s="32" t="str">
        <x:v>Central network management</x:v>
      </x:c>
      <x:c r="D113" s="32" t="str">
        <x:v>Centrally configure and govern virtual networks, connectivity and routing.</x:v>
      </x:c>
      <x:c r="E113" s="32" t="str">
        <x:v>AWS Network Manager
AWS Cloud WAN</x:v>
      </x:c>
      <x:c r="F113" s="32" t="str">
        <x:v>Azure Virtual Network Manager</x:v>
      </x:c>
      <x:c r="G113" s="32" t="str">
        <x:v>Network Connectivity Center</x:v>
      </x:c>
      <x:c r="H113" s="32" t="str">
        <x:v>Close</x:v>
      </x:c>
      <x:c r="I113" s="32"/>
      <x:c r="J113" s="32" t="str">
        <x:v>https://docs.aws.amazon.com/whitepapers/latest/aws-overview/aws-services.html</x:v>
      </x:c>
      <x:c r="K113" s="32" t="str">
        <x:v>https://azure.microsoft.com/en-gb/products/</x:v>
      </x:c>
      <x:c r="L113" s="32" t="str">
        <x:v>https://docs.cloud.google.com/docs/product-list</x:v>
      </x:c>
      <x:c r="M113" s="32" t="str">
        <x:v>2026-07-12</x:v>
      </x:c>
    </x:row>
    <x:row r="114">
      <x:c r="A114" s="32" t="str">
        <x:v>Networking</x:v>
      </x:c>
      <x:c r="B114" s="32" t="str">
        <x:v>Network visibility</x:v>
      </x:c>
      <x:c r="C114" s="32" t="str">
        <x:v>Network monitoring and diagnostics</x:v>
      </x:c>
      <x:c r="D114" s="32" t="str">
        <x:v>Analyse topology, flows, connectivity, latency and network health.</x:v>
      </x:c>
      <x:c r="E114" s="32" t="str">
        <x:v>VPC Flow Logs
Reachability Analyzer
Network Access Analyzer</x:v>
      </x:c>
      <x:c r="F114" s="32" t="str">
        <x:v>Azure Network Watcher</x:v>
      </x:c>
      <x:c r="G114" s="32" t="str">
        <x:v>Network Intelligence Center
VPC Flow Logs</x:v>
      </x:c>
      <x:c r="H114" s="32" t="str">
        <x:v>Close</x:v>
      </x:c>
      <x:c r="I114" s="32"/>
      <x:c r="J114" s="32" t="str">
        <x:v>https://docs.aws.amazon.com/whitepapers/latest/aws-overview/aws-services.html</x:v>
      </x:c>
      <x:c r="K114" s="32" t="str">
        <x:v>https://azure.microsoft.com/en-gb/products/</x:v>
      </x:c>
      <x:c r="L114" s="32" t="str">
        <x:v>https://docs.cloud.google.com/docs/product-list</x:v>
      </x:c>
      <x:c r="M114" s="32" t="str">
        <x:v>2026-07-12</x:v>
      </x:c>
    </x:row>
    <x:row r="115">
      <x:c r="A115" s="32" t="str">
        <x:v>Networking</x:v>
      </x:c>
      <x:c r="B115" s="32" t="str">
        <x:v>Traffic management</x:v>
      </x:c>
      <x:c r="C115" s="32" t="str">
        <x:v>DNS-based traffic management</x:v>
      </x:c>
      <x:c r="D115" s="32" t="str">
        <x:v>Route traffic across endpoints using health, latency, geography or weighted policies.</x:v>
      </x:c>
      <x:c r="E115" s="32" t="str">
        <x:v>Amazon Route 53 routing policies</x:v>
      </x:c>
      <x:c r="F115" s="32" t="str">
        <x:v>Azure Traffic Manager</x:v>
      </x:c>
      <x:c r="G115" s="32" t="str">
        <x:v>Cloud DNS routing policies</x:v>
      </x:c>
      <x:c r="H115" s="32" t="str">
        <x:v>Close</x:v>
      </x:c>
      <x:c r="I115" s="32"/>
      <x:c r="J115" s="32" t="str">
        <x:v>https://docs.aws.amazon.com/whitepapers/latest/aws-overview/aws-services.html</x:v>
      </x:c>
      <x:c r="K115" s="32" t="str">
        <x:v>https://azure.microsoft.com/en-gb/products/</x:v>
      </x:c>
      <x:c r="L115" s="32" t="str">
        <x:v>https://docs.cloud.google.com/docs/product-list</x:v>
      </x:c>
      <x:c r="M115" s="32" t="str">
        <x:v>2026-07-12</x:v>
      </x:c>
    </x:row>
    <x:row r="116">
      <x:c r="A116" s="32" t="str">
        <x:v>Networking</x:v>
      </x:c>
      <x:c r="B116" s="32" t="str">
        <x:v>Zero trust access</x:v>
      </x:c>
      <x:c r="C116" s="32" t="str">
        <x:v>Identity-aware application access</x:v>
      </x:c>
      <x:c r="D116" s="32" t="str">
        <x:v>Provide identity-based access to private applications without broad network access.</x:v>
      </x:c>
      <x:c r="E116" s="32" t="str">
        <x:v>AWS Verified Access</x:v>
      </x:c>
      <x:c r="F116" s="32" t="str">
        <x:v>Microsoft Entra Private Access
Azure Application Proxy</x:v>
      </x:c>
      <x:c r="G116" s="32" t="str">
        <x:v>Identity-Aware Proxy</x:v>
      </x:c>
      <x:c r="H116" s="32" t="str">
        <x:v>Close</x:v>
      </x:c>
      <x:c r="I116" s="32"/>
      <x:c r="J116" s="32" t="str">
        <x:v>https://docs.aws.amazon.com/whitepapers/latest/aws-overview/aws-services.html</x:v>
      </x:c>
      <x:c r="K116" s="32" t="str">
        <x:v>https://azure.microsoft.com/en-gb/products/</x:v>
      </x:c>
      <x:c r="L116" s="32" t="str">
        <x:v>https://docs.cloud.google.com/docs/product-list</x:v>
      </x:c>
      <x:c r="M116" s="32" t="str">
        <x:v>2026-07-12</x:v>
      </x:c>
    </x:row>
    <x:row r="117">
      <x:c r="A117" s="32" t="str">
        <x:v>Networking</x:v>
      </x:c>
      <x:c r="B117" s="32" t="str">
        <x:v>Private wireless</x:v>
      </x:c>
      <x:c r="C117" s="32" t="str">
        <x:v>Private 5G and edge networking</x:v>
      </x:c>
      <x:c r="D117" s="32" t="str">
        <x:v>Deploy private cellular connectivity integrated with cloud management.</x:v>
      </x:c>
      <x:c r="E117" s="32" t="str">
        <x:v>AWS Private 5G
Integrated Private Wireless on AWS</x:v>
      </x:c>
      <x:c r="F117" s="32" t="str">
        <x:v>Azure Private 5G Core</x:v>
      </x:c>
      <x:c r="G117" s="32" t="str">
        <x:v>Google Distributed Cloud Edge telecom solutions</x:v>
      </x:c>
      <x:c r="H117" s="32" t="str">
        <x:v>Partial</x:v>
      </x:c>
      <x:c r="I117" s="32"/>
      <x:c r="J117" s="32" t="str">
        <x:v>https://docs.aws.amazon.com/whitepapers/latest/aws-overview/aws-services.html</x:v>
      </x:c>
      <x:c r="K117" s="32" t="str">
        <x:v>https://azure.microsoft.com/en-gb/products/</x:v>
      </x:c>
      <x:c r="L117" s="32" t="str">
        <x:v>https://docs.cloud.google.com/docs/product-list</x:v>
      </x:c>
      <x:c r="M117" s="32" t="str">
        <x:v>2026-07-12</x:v>
      </x:c>
    </x:row>
    <x:row r="118">
      <x:c r="A118" s="32" t="str">
        <x:v>Security, Identity &amp; Compliance</x:v>
      </x:c>
      <x:c r="B118" s="32" t="str">
        <x:v>Workforce identity</x:v>
      </x:c>
      <x:c r="C118" s="32" t="str">
        <x:v>Identity and access management</x:v>
      </x:c>
      <x:c r="D118" s="32" t="str">
        <x:v>Authenticate identities and authorise access to cloud resources.</x:v>
      </x:c>
      <x:c r="E118" s="32" t="str">
        <x:v>AWS Identity and Access Management</x:v>
      </x:c>
      <x:c r="F118" s="32" t="str">
        <x:v>Microsoft Entra ID
Azure RBAC</x:v>
      </x:c>
      <x:c r="G118" s="32" t="str">
        <x:v>Cloud Identity
Identity and Access Management</x:v>
      </x:c>
      <x:c r="H118" s="32" t="str">
        <x:v>Close</x:v>
      </x:c>
      <x:c r="I118" s="32"/>
      <x:c r="J118" s="32" t="str">
        <x:v>https://docs.aws.amazon.com/whitepapers/latest/aws-overview/aws-services.html</x:v>
      </x:c>
      <x:c r="K118" s="32" t="str">
        <x:v>https://azure.microsoft.com/en-gb/products/</x:v>
      </x:c>
      <x:c r="L118" s="32" t="str">
        <x:v>https://docs.cloud.google.com/docs/product-list</x:v>
      </x:c>
      <x:c r="M118" s="32" t="str">
        <x:v>2026-07-12</x:v>
      </x:c>
    </x:row>
    <x:row r="119">
      <x:c r="A119" s="32" t="str">
        <x:v>Security, Identity &amp; Compliance</x:v>
      </x:c>
      <x:c r="B119" s="32" t="str">
        <x:v>Customer identity</x:v>
      </x:c>
      <x:c r="C119" s="32" t="str">
        <x:v>Customer identity platform</x:v>
      </x:c>
      <x:c r="D119" s="32" t="str">
        <x:v>Add sign-up, sign-in, federation and access controls to customer-facing applications.</x:v>
      </x:c>
      <x:c r="E119" s="32" t="str">
        <x:v>Amazon Cognito</x:v>
      </x:c>
      <x:c r="F119" s="32" t="str">
        <x:v>Microsoft Entra External ID</x:v>
      </x:c>
      <x:c r="G119" s="32" t="str">
        <x:v>Identity Platform</x:v>
      </x:c>
      <x:c r="H119" s="32" t="str">
        <x:v>Exact</x:v>
      </x:c>
      <x:c r="I119" s="32"/>
      <x:c r="J119" s="32" t="str">
        <x:v>https://docs.aws.amazon.com/whitepapers/latest/aws-overview/aws-services.html</x:v>
      </x:c>
      <x:c r="K119" s="32" t="str">
        <x:v>https://azure.microsoft.com/en-gb/products/</x:v>
      </x:c>
      <x:c r="L119" s="32" t="str">
        <x:v>https://docs.cloud.google.com/docs/product-list</x:v>
      </x:c>
      <x:c r="M119" s="32" t="str">
        <x:v>2026-07-12</x:v>
      </x:c>
    </x:row>
    <x:row r="120">
      <x:c r="A120" s="32" t="str">
        <x:v>Security, Identity &amp; Compliance</x:v>
      </x:c>
      <x:c r="B120" s="32" t="str">
        <x:v>Directory</x:v>
      </x:c>
      <x:c r="C120" s="32" t="str">
        <x:v>Managed directory service</x:v>
      </x:c>
      <x:c r="D120" s="32" t="str">
        <x:v>Provide managed directory and domain services for enterprise workloads.</x:v>
      </x:c>
      <x:c r="E120" s="32" t="str">
        <x:v>AWS Directory Service</x:v>
      </x:c>
      <x:c r="F120" s="32" t="str">
        <x:v>Microsoft Entra Domain Services</x:v>
      </x:c>
      <x:c r="G120" s="32" t="str">
        <x:v>Managed Microsoft AD</x:v>
      </x:c>
      <x:c r="H120" s="32" t="str">
        <x:v>Exact</x:v>
      </x:c>
      <x:c r="I120" s="32"/>
      <x:c r="J120" s="32" t="str">
        <x:v>https://docs.aws.amazon.com/whitepapers/latest/aws-overview/aws-services.html</x:v>
      </x:c>
      <x:c r="K120" s="32" t="str">
        <x:v>https://azure.microsoft.com/en-gb/products/</x:v>
      </x:c>
      <x:c r="L120" s="32" t="str">
        <x:v>https://docs.cloud.google.com/docs/product-list</x:v>
      </x:c>
      <x:c r="M120" s="32" t="str">
        <x:v>2026-07-12</x:v>
      </x:c>
    </x:row>
    <x:row r="121">
      <x:c r="A121" s="32" t="str">
        <x:v>Security, Identity &amp; Compliance</x:v>
      </x:c>
      <x:c r="B121" s="32" t="str">
        <x:v>Authorisation</x:v>
      </x:c>
      <x:c r="C121" s="32" t="str">
        <x:v>Fine-grained application authorisation</x:v>
      </x:c>
      <x:c r="D121" s="32" t="str">
        <x:v>Externalise and evaluate fine-grained application permissions and policies.</x:v>
      </x:c>
      <x:c r="E121" s="32" t="str">
        <x:v>Amazon Verified Permissions</x:v>
      </x:c>
      <x:c r="F121" s="32" t="str">
        <x:v>Microsoft Entra ID Governance
Azure App Configuration / custom policy engines</x:v>
      </x:c>
      <x:c r="G121" s="32" t="str">
        <x:v>IAM Conditions
Policy Intelligence</x:v>
      </x:c>
      <x:c r="H121" s="32" t="str">
        <x:v>Partial</x:v>
      </x:c>
      <x:c r="I121" s="32"/>
      <x:c r="J121" s="32" t="str">
        <x:v>https://docs.aws.amazon.com/whitepapers/latest/aws-overview/aws-services.html</x:v>
      </x:c>
      <x:c r="K121" s="32" t="str">
        <x:v>https://azure.microsoft.com/en-gb/products/</x:v>
      </x:c>
      <x:c r="L121" s="32" t="str">
        <x:v>https://docs.cloud.google.com/docs/product-list</x:v>
      </x:c>
      <x:c r="M121" s="32" t="str">
        <x:v>2026-07-12</x:v>
      </x:c>
    </x:row>
    <x:row r="122">
      <x:c r="A122" s="32" t="str">
        <x:v>Security, Identity &amp; Compliance</x:v>
      </x:c>
      <x:c r="B122" s="32" t="str">
        <x:v>Secrets</x:v>
      </x:c>
      <x:c r="C122" s="32" t="str">
        <x:v>Secrets management</x:v>
      </x:c>
      <x:c r="D122" s="32" t="str">
        <x:v>Securely store, rotate and retrieve application credentials and secrets.</x:v>
      </x:c>
      <x:c r="E122" s="32" t="str">
        <x:v>AWS Secrets Manager
Systems Manager Parameter Store</x:v>
      </x:c>
      <x:c r="F122" s="32" t="str">
        <x:v>Azure Key Vault</x:v>
      </x:c>
      <x:c r="G122" s="32" t="str">
        <x:v>Secret Manager</x:v>
      </x:c>
      <x:c r="H122" s="32" t="str">
        <x:v>Exact</x:v>
      </x:c>
      <x:c r="I122" s="32"/>
      <x:c r="J122" s="32" t="str">
        <x:v>https://docs.aws.amazon.com/whitepapers/latest/aws-overview/aws-services.html</x:v>
      </x:c>
      <x:c r="K122" s="32" t="str">
        <x:v>https://azure.microsoft.com/en-gb/products/</x:v>
      </x:c>
      <x:c r="L122" s="32" t="str">
        <x:v>https://docs.cloud.google.com/docs/product-list</x:v>
      </x:c>
      <x:c r="M122" s="32" t="str">
        <x:v>2026-07-12</x:v>
      </x:c>
    </x:row>
    <x:row r="123">
      <x:c r="A123" s="32" t="str">
        <x:v>Security, Identity &amp; Compliance</x:v>
      </x:c>
      <x:c r="B123" s="32" t="str">
        <x:v>Keys</x:v>
      </x:c>
      <x:c r="C123" s="32" t="str">
        <x:v>Key management service</x:v>
      </x:c>
      <x:c r="D123" s="32" t="str">
        <x:v>Create and control encryption keys for cloud data and applications.</x:v>
      </x:c>
      <x:c r="E123" s="32" t="str">
        <x:v>AWS Key Management Service</x:v>
      </x:c>
      <x:c r="F123" s="32" t="str">
        <x:v>Azure Key Vault Managed HSM
Azure Key Vault</x:v>
      </x:c>
      <x:c r="G123" s="32" t="str">
        <x:v>Cloud Key Management Service</x:v>
      </x:c>
      <x:c r="H123" s="32" t="str">
        <x:v>Exact</x:v>
      </x:c>
      <x:c r="I123" s="32"/>
      <x:c r="J123" s="32" t="str">
        <x:v>https://docs.aws.amazon.com/whitepapers/latest/aws-overview/aws-services.html</x:v>
      </x:c>
      <x:c r="K123" s="32" t="str">
        <x:v>https://azure.microsoft.com/en-gb/products/</x:v>
      </x:c>
      <x:c r="L123" s="32" t="str">
        <x:v>https://docs.cloud.google.com/docs/product-list</x:v>
      </x:c>
      <x:c r="M123" s="32" t="str">
        <x:v>2026-07-12</x:v>
      </x:c>
    </x:row>
    <x:row r="124">
      <x:c r="A124" s="32" t="str">
        <x:v>Security, Identity &amp; Compliance</x:v>
      </x:c>
      <x:c r="B124" s="32" t="str">
        <x:v>HSM</x:v>
      </x:c>
      <x:c r="C124" s="32" t="str">
        <x:v>Dedicated cloud HSM</x:v>
      </x:c>
      <x:c r="D124" s="32" t="str">
        <x:v>Use dedicated hardware security modules under customer control.</x:v>
      </x:c>
      <x:c r="E124" s="32" t="str">
        <x:v>AWS CloudHSM</x:v>
      </x:c>
      <x:c r="F124" s="32" t="str">
        <x:v>Azure Cloud HSM
Azure Managed HSM</x:v>
      </x:c>
      <x:c r="G124" s="32" t="str">
        <x:v>Cloud HSM</x:v>
      </x:c>
      <x:c r="H124" s="32" t="str">
        <x:v>Exact</x:v>
      </x:c>
      <x:c r="I124" s="32"/>
      <x:c r="J124" s="32" t="str">
        <x:v>https://docs.aws.amazon.com/whitepapers/latest/aws-overview/aws-services.html</x:v>
      </x:c>
      <x:c r="K124" s="32" t="str">
        <x:v>https://azure.microsoft.com/en-gb/products/</x:v>
      </x:c>
      <x:c r="L124" s="32" t="str">
        <x:v>https://docs.cloud.google.com/docs/product-list</x:v>
      </x:c>
      <x:c r="M124" s="32" t="str">
        <x:v>2026-07-12</x:v>
      </x:c>
    </x:row>
    <x:row r="125">
      <x:c r="A125" s="32" t="str">
        <x:v>Security, Identity &amp; Compliance</x:v>
      </x:c>
      <x:c r="B125" s="32" t="str">
        <x:v>Certificates</x:v>
      </x:c>
      <x:c r="C125" s="32" t="str">
        <x:v>Certificate management</x:v>
      </x:c>
      <x:c r="D125" s="32" t="str">
        <x:v>Provision, manage and rotate public or private TLS certificates.</x:v>
      </x:c>
      <x:c r="E125" s="32" t="str">
        <x:v>AWS Certificate Manager
AWS Private CA</x:v>
      </x:c>
      <x:c r="F125" s="32" t="str">
        <x:v>Azure Key Vault Certificates
Microsoft Cloud PKI</x:v>
      </x:c>
      <x:c r="G125" s="32" t="str">
        <x:v>Certificate Manager
Certificate Authority Service</x:v>
      </x:c>
      <x:c r="H125" s="32" t="str">
        <x:v>Close</x:v>
      </x:c>
      <x:c r="I125" s="32"/>
      <x:c r="J125" s="32" t="str">
        <x:v>https://docs.aws.amazon.com/whitepapers/latest/aws-overview/aws-services.html</x:v>
      </x:c>
      <x:c r="K125" s="32" t="str">
        <x:v>https://azure.microsoft.com/en-gb/products/</x:v>
      </x:c>
      <x:c r="L125" s="32" t="str">
        <x:v>https://docs.cloud.google.com/docs/product-list</x:v>
      </x:c>
      <x:c r="M125" s="32" t="str">
        <x:v>2026-07-12</x:v>
      </x:c>
    </x:row>
    <x:row r="126">
      <x:c r="A126" s="32" t="str">
        <x:v>Security, Identity &amp; Compliance</x:v>
      </x:c>
      <x:c r="B126" s="32" t="str">
        <x:v>Security posture</x:v>
      </x:c>
      <x:c r="C126" s="32" t="str">
        <x:v>Cloud security posture management</x:v>
      </x:c>
      <x:c r="D126" s="32" t="str">
        <x:v>Assess misconfigurations, compliance and security posture across cloud workloads.</x:v>
      </x:c>
      <x:c r="E126" s="32" t="str">
        <x:v>AWS Security Hub</x:v>
      </x:c>
      <x:c r="F126" s="32" t="str">
        <x:v>Microsoft Defender for Cloud</x:v>
      </x:c>
      <x:c r="G126" s="32" t="str">
        <x:v>Security Command Center</x:v>
      </x:c>
      <x:c r="H126" s="32" t="str">
        <x:v>Exact</x:v>
      </x:c>
      <x:c r="I126" s="32"/>
      <x:c r="J126" s="32" t="str">
        <x:v>https://docs.aws.amazon.com/whitepapers/latest/aws-overview/aws-services.html</x:v>
      </x:c>
      <x:c r="K126" s="32" t="str">
        <x:v>https://azure.microsoft.com/en-gb/products/</x:v>
      </x:c>
      <x:c r="L126" s="32" t="str">
        <x:v>https://docs.cloud.google.com/docs/product-list</x:v>
      </x:c>
      <x:c r="M126" s="32" t="str">
        <x:v>2026-07-12</x:v>
      </x:c>
    </x:row>
    <x:row r="127">
      <x:c r="A127" s="32" t="str">
        <x:v>Security, Identity &amp; Compliance</x:v>
      </x:c>
      <x:c r="B127" s="32" t="str">
        <x:v>Threat detection</x:v>
      </x:c>
      <x:c r="C127" s="32" t="str">
        <x:v>Cloud threat detection</x:v>
      </x:c>
      <x:c r="D127" s="32" t="str">
        <x:v>Detect suspicious activity, compromised identities and malicious workload behaviour.</x:v>
      </x:c>
      <x:c r="E127" s="32" t="str">
        <x:v>Amazon GuardDuty</x:v>
      </x:c>
      <x:c r="F127" s="32" t="str">
        <x:v>Microsoft Defender for Cloud
Microsoft Sentinel</x:v>
      </x:c>
      <x:c r="G127" s="32" t="str">
        <x:v>Security Command Center
Google Security Operations</x:v>
      </x:c>
      <x:c r="H127" s="32" t="str">
        <x:v>Close</x:v>
      </x:c>
      <x:c r="I127" s="32"/>
      <x:c r="J127" s="32" t="str">
        <x:v>https://docs.aws.amazon.com/whitepapers/latest/aws-overview/aws-services.html</x:v>
      </x:c>
      <x:c r="K127" s="32" t="str">
        <x:v>https://azure.microsoft.com/en-gb/products/</x:v>
      </x:c>
      <x:c r="L127" s="32" t="str">
        <x:v>https://docs.cloud.google.com/docs/product-list</x:v>
      </x:c>
      <x:c r="M127" s="32" t="str">
        <x:v>2026-07-12</x:v>
      </x:c>
    </x:row>
    <x:row r="128">
      <x:c r="A128" s="32" t="str">
        <x:v>Security, Identity &amp; Compliance</x:v>
      </x:c>
      <x:c r="B128" s="32" t="str">
        <x:v>Investigation</x:v>
      </x:c>
      <x:c r="C128" s="32" t="str">
        <x:v>Security investigation</x:v>
      </x:c>
      <x:c r="D128" s="32" t="str">
        <x:v>Correlate security findings and accelerate investigation of potential incidents.</x:v>
      </x:c>
      <x:c r="E128" s="32" t="str">
        <x:v>Amazon Detective</x:v>
      </x:c>
      <x:c r="F128" s="32" t="str">
        <x:v>Microsoft Sentinel
Microsoft Defender XDR</x:v>
      </x:c>
      <x:c r="G128" s="32" t="str">
        <x:v>Google Security Operations</x:v>
      </x:c>
      <x:c r="H128" s="32" t="str">
        <x:v>Close</x:v>
      </x:c>
      <x:c r="I128" s="32"/>
      <x:c r="J128" s="32" t="str">
        <x:v>https://docs.aws.amazon.com/whitepapers/latest/aws-overview/aws-services.html</x:v>
      </x:c>
      <x:c r="K128" s="32" t="str">
        <x:v>https://azure.microsoft.com/en-gb/products/</x:v>
      </x:c>
      <x:c r="L128" s="32" t="str">
        <x:v>https://docs.cloud.google.com/docs/product-list</x:v>
      </x:c>
      <x:c r="M128" s="32" t="str">
        <x:v>2026-07-12</x:v>
      </x:c>
    </x:row>
    <x:row r="129">
      <x:c r="A129" s="32" t="str">
        <x:v>Security, Identity &amp; Compliance</x:v>
      </x:c>
      <x:c r="B129" s="32" t="str">
        <x:v>Vulnerability management</x:v>
      </x:c>
      <x:c r="C129" s="32" t="str">
        <x:v>Workload vulnerability assessment</x:v>
      </x:c>
      <x:c r="D129" s="32" t="str">
        <x:v>Scan virtual machines, containers and software packages for vulnerabilities.</x:v>
      </x:c>
      <x:c r="E129" s="32" t="str">
        <x:v>Amazon Inspector
Amazon ECR image scanning</x:v>
      </x:c>
      <x:c r="F129" s="32" t="str">
        <x:v>Microsoft Defender Vulnerability Management
Defender for Cloud</x:v>
      </x:c>
      <x:c r="G129" s="32" t="str">
        <x:v>Artifact Analysis
Security Command Center</x:v>
      </x:c>
      <x:c r="H129" s="32" t="str">
        <x:v>Close</x:v>
      </x:c>
      <x:c r="I129" s="32"/>
      <x:c r="J129" s="32" t="str">
        <x:v>https://docs.aws.amazon.com/whitepapers/latest/aws-overview/aws-services.html</x:v>
      </x:c>
      <x:c r="K129" s="32" t="str">
        <x:v>https://azure.microsoft.com/en-gb/products/</x:v>
      </x:c>
      <x:c r="L129" s="32" t="str">
        <x:v>https://docs.cloud.google.com/docs/product-list</x:v>
      </x:c>
      <x:c r="M129" s="32" t="str">
        <x:v>2026-07-12</x:v>
      </x:c>
    </x:row>
    <x:row r="130">
      <x:c r="A130" s="32" t="str">
        <x:v>Security, Identity &amp; Compliance</x:v>
      </x:c>
      <x:c r="B130" s="32" t="str">
        <x:v>Data discovery</x:v>
      </x:c>
      <x:c r="C130" s="32" t="str">
        <x:v>Sensitive-data discovery</x:v>
      </x:c>
      <x:c r="D130" s="32" t="str">
        <x:v>Discover, classify and monitor sensitive data held in cloud services.</x:v>
      </x:c>
      <x:c r="E130" s="32" t="str">
        <x:v>Amazon Macie</x:v>
      </x:c>
      <x:c r="F130" s="32" t="str">
        <x:v>Microsoft Purview Information Protection
Microsoft Purview Data Map</x:v>
      </x:c>
      <x:c r="G130" s="32" t="str">
        <x:v>Sensitive Data Protection</x:v>
      </x:c>
      <x:c r="H130" s="32" t="str">
        <x:v>Close</x:v>
      </x:c>
      <x:c r="I130" s="32"/>
      <x:c r="J130" s="32" t="str">
        <x:v>https://docs.aws.amazon.com/whitepapers/latest/aws-overview/aws-services.html</x:v>
      </x:c>
      <x:c r="K130" s="32" t="str">
        <x:v>https://azure.microsoft.com/en-gb/products/</x:v>
      </x:c>
      <x:c r="L130" s="32" t="str">
        <x:v>https://docs.cloud.google.com/docs/product-list</x:v>
      </x:c>
      <x:c r="M130" s="32" t="str">
        <x:v>2026-07-12</x:v>
      </x:c>
    </x:row>
    <x:row r="131">
      <x:c r="A131" s="32" t="str">
        <x:v>Security, Identity &amp; Compliance</x:v>
      </x:c>
      <x:c r="B131" s="32" t="str">
        <x:v>SIEM and SOAR</x:v>
      </x:c>
      <x:c r="C131" s="32" t="str">
        <x:v>Cloud-native SIEM and SOAR</x:v>
      </x:c>
      <x:c r="D131" s="32" t="str">
        <x:v>Centralise security telemetry, detect threats and automate incident response.</x:v>
      </x:c>
      <x:c r="E131" s="32" t="str">
        <x:v>Amazon Security Lake
Amazon OpenSearch Service
partner SIEM</x:v>
      </x:c>
      <x:c r="F131" s="32" t="str">
        <x:v>Microsoft Sentinel</x:v>
      </x:c>
      <x:c r="G131" s="32" t="str">
        <x:v>Google Security Operations</x:v>
      </x:c>
      <x:c r="H131" s="32" t="str">
        <x:v>Partial</x:v>
      </x:c>
      <x:c r="I131" s="32" t="str">
        <x:v>AWS provides the data lake and analytics building blocks but does not position one identical first-party SIEM product.</x:v>
      </x:c>
      <x:c r="J131" s="32" t="str">
        <x:v>https://docs.aws.amazon.com/whitepapers/latest/aws-overview/aws-services.html</x:v>
      </x:c>
      <x:c r="K131" s="32" t="str">
        <x:v>https://azure.microsoft.com/en-gb/products/</x:v>
      </x:c>
      <x:c r="L131" s="32" t="str">
        <x:v>https://docs.cloud.google.com/docs/product-list</x:v>
      </x:c>
      <x:c r="M131" s="32" t="str">
        <x:v>2026-07-12</x:v>
      </x:c>
    </x:row>
    <x:row r="132">
      <x:c r="A132" s="32" t="str">
        <x:v>Security, Identity &amp; Compliance</x:v>
      </x:c>
      <x:c r="B132" s="32" t="str">
        <x:v>Security data lake</x:v>
      </x:c>
      <x:c r="C132" s="32" t="str">
        <x:v>Security telemetry lake</x:v>
      </x:c>
      <x:c r="D132" s="32" t="str">
        <x:v>Centralise normalised security logs and findings for analytics and detection.</x:v>
      </x:c>
      <x:c r="E132" s="32" t="str">
        <x:v>Amazon Security Lake</x:v>
      </x:c>
      <x:c r="F132" s="32" t="str">
        <x:v>Microsoft Sentinel data lake
Microsoft Fabric</x:v>
      </x:c>
      <x:c r="G132" s="32" t="str">
        <x:v>Google Security Operations</x:v>
      </x:c>
      <x:c r="H132" s="32" t="str">
        <x:v>Close</x:v>
      </x:c>
      <x:c r="I132" s="32"/>
      <x:c r="J132" s="32" t="str">
        <x:v>https://docs.aws.amazon.com/whitepapers/latest/aws-overview/aws-services.html</x:v>
      </x:c>
      <x:c r="K132" s="32" t="str">
        <x:v>https://azure.microsoft.com/en-gb/products/</x:v>
      </x:c>
      <x:c r="L132" s="32" t="str">
        <x:v>https://docs.cloud.google.com/docs/product-list</x:v>
      </x:c>
      <x:c r="M132" s="32" t="str">
        <x:v>2026-07-12</x:v>
      </x:c>
    </x:row>
    <x:row r="133">
      <x:c r="A133" s="32" t="str">
        <x:v>Security, Identity &amp; Compliance</x:v>
      </x:c>
      <x:c r="B133" s="32" t="str">
        <x:v>Network security</x:v>
      </x:c>
      <x:c r="C133" s="32" t="str">
        <x:v>Managed network firewall</x:v>
      </x:c>
      <x:c r="D133" s="32" t="str">
        <x:v>Inspect and filter network traffic using managed firewall policies.</x:v>
      </x:c>
      <x:c r="E133" s="32" t="str">
        <x:v>AWS Network Firewall</x:v>
      </x:c>
      <x:c r="F133" s="32" t="str">
        <x:v>Azure Firewall</x:v>
      </x:c>
      <x:c r="G133" s="32" t="str">
        <x:v>Cloud Next Generation Firewall</x:v>
      </x:c>
      <x:c r="H133" s="32" t="str">
        <x:v>Exact</x:v>
      </x:c>
      <x:c r="I133" s="32"/>
      <x:c r="J133" s="32" t="str">
        <x:v>https://docs.aws.amazon.com/whitepapers/latest/aws-overview/aws-services.html</x:v>
      </x:c>
      <x:c r="K133" s="32" t="str">
        <x:v>https://azure.microsoft.com/en-gb/products/</x:v>
      </x:c>
      <x:c r="L133" s="32" t="str">
        <x:v>https://docs.cloud.google.com/docs/product-list</x:v>
      </x:c>
      <x:c r="M133" s="32" t="str">
        <x:v>2026-07-12</x:v>
      </x:c>
    </x:row>
    <x:row r="134">
      <x:c r="A134" s="32" t="str">
        <x:v>Security, Identity &amp; Compliance</x:v>
      </x:c>
      <x:c r="B134" s="32" t="str">
        <x:v>Web security</x:v>
      </x:c>
      <x:c r="C134" s="32" t="str">
        <x:v>Web application firewall</x:v>
      </x:c>
      <x:c r="D134" s="32" t="str">
        <x:v>Protect web applications from common exploits and malicious HTTP traffic.</x:v>
      </x:c>
      <x:c r="E134" s="32" t="str">
        <x:v>AWS WAF</x:v>
      </x:c>
      <x:c r="F134" s="32" t="str">
        <x:v>Azure Web Application Firewall</x:v>
      </x:c>
      <x:c r="G134" s="32" t="str">
        <x:v>Cloud Armor</x:v>
      </x:c>
      <x:c r="H134" s="32" t="str">
        <x:v>Exact</x:v>
      </x:c>
      <x:c r="I134" s="32"/>
      <x:c r="J134" s="32" t="str">
        <x:v>https://docs.aws.amazon.com/whitepapers/latest/aws-overview/aws-services.html</x:v>
      </x:c>
      <x:c r="K134" s="32" t="str">
        <x:v>https://azure.microsoft.com/en-gb/products/</x:v>
      </x:c>
      <x:c r="L134" s="32" t="str">
        <x:v>https://docs.cloud.google.com/docs/product-list</x:v>
      </x:c>
      <x:c r="M134" s="32" t="str">
        <x:v>2026-07-12</x:v>
      </x:c>
    </x:row>
    <x:row r="135">
      <x:c r="A135" s="32" t="str">
        <x:v>Security, Identity &amp; Compliance</x:v>
      </x:c>
      <x:c r="B135" s="32" t="str">
        <x:v>DDoS</x:v>
      </x:c>
      <x:c r="C135" s="32" t="str">
        <x:v>DDoS protection</x:v>
      </x:c>
      <x:c r="D135" s="32" t="str">
        <x:v>Detect and mitigate volumetric and protocol denial-of-service attacks.</x:v>
      </x:c>
      <x:c r="E135" s="32" t="str">
        <x:v>AWS Shield</x:v>
      </x:c>
      <x:c r="F135" s="32" t="str">
        <x:v>Azure DDoS Protection</x:v>
      </x:c>
      <x:c r="G135" s="32" t="str">
        <x:v>Cloud Armor</x:v>
      </x:c>
      <x:c r="H135" s="32" t="str">
        <x:v>Close</x:v>
      </x:c>
      <x:c r="I135" s="32"/>
      <x:c r="J135" s="32" t="str">
        <x:v>https://docs.aws.amazon.com/whitepapers/latest/aws-overview/aws-services.html</x:v>
      </x:c>
      <x:c r="K135" s="32" t="str">
        <x:v>https://azure.microsoft.com/en-gb/products/</x:v>
      </x:c>
      <x:c r="L135" s="32" t="str">
        <x:v>https://docs.cloud.google.com/docs/product-list</x:v>
      </x:c>
      <x:c r="M135" s="32" t="str">
        <x:v>2026-07-12</x:v>
      </x:c>
    </x:row>
    <x:row r="136">
      <x:c r="A136" s="32" t="str">
        <x:v>Security, Identity &amp; Compliance</x:v>
      </x:c>
      <x:c r="B136" s="32" t="str">
        <x:v>Firewall governance</x:v>
      </x:c>
      <x:c r="C136" s="32" t="str">
        <x:v>Central firewall policy management</x:v>
      </x:c>
      <x:c r="D136" s="32" t="str">
        <x:v>Centrally deploy and govern firewall and web-protection policies.</x:v>
      </x:c>
      <x:c r="E136" s="32" t="str">
        <x:v>AWS Firewall Manager</x:v>
      </x:c>
      <x:c r="F136" s="32" t="str">
        <x:v>Azure Firewall Manager</x:v>
      </x:c>
      <x:c r="G136" s="32" t="str">
        <x:v>Network Security integration in Cloud NGFW</x:v>
      </x:c>
      <x:c r="H136" s="32" t="str">
        <x:v>Close</x:v>
      </x:c>
      <x:c r="I136" s="32"/>
      <x:c r="J136" s="32" t="str">
        <x:v>https://docs.aws.amazon.com/whitepapers/latest/aws-overview/aws-services.html</x:v>
      </x:c>
      <x:c r="K136" s="32" t="str">
        <x:v>https://azure.microsoft.com/en-gb/products/</x:v>
      </x:c>
      <x:c r="L136" s="32" t="str">
        <x:v>https://docs.cloud.google.com/docs/product-list</x:v>
      </x:c>
      <x:c r="M136" s="32" t="str">
        <x:v>2026-07-12</x:v>
      </x:c>
    </x:row>
    <x:row r="137">
      <x:c r="A137" s="32" t="str">
        <x:v>Security, Identity &amp; Compliance</x:v>
      </x:c>
      <x:c r="B137" s="32" t="str">
        <x:v>Bastion access</x:v>
      </x:c>
      <x:c r="C137" s="32" t="str">
        <x:v>Managed bastion access</x:v>
      </x:c>
      <x:c r="D137" s="32" t="str">
        <x:v>Provide controlled administrative access to private virtual machines.</x:v>
      </x:c>
      <x:c r="E137" s="32" t="str">
        <x:v>AWS Systems Manager Session Manager
EC2 Instance Connect Endpoint</x:v>
      </x:c>
      <x:c r="F137" s="32" t="str">
        <x:v>Azure Bastion</x:v>
      </x:c>
      <x:c r="G137" s="32" t="str">
        <x:v>Identity-Aware Proxy TCP forwarding</x:v>
      </x:c>
      <x:c r="H137" s="32" t="str">
        <x:v>Close</x:v>
      </x:c>
      <x:c r="I137" s="32"/>
      <x:c r="J137" s="32" t="str">
        <x:v>https://docs.aws.amazon.com/whitepapers/latest/aws-overview/aws-services.html</x:v>
      </x:c>
      <x:c r="K137" s="32" t="str">
        <x:v>https://azure.microsoft.com/en-gb/products/</x:v>
      </x:c>
      <x:c r="L137" s="32" t="str">
        <x:v>https://docs.cloud.google.com/docs/product-list</x:v>
      </x:c>
      <x:c r="M137" s="32" t="str">
        <x:v>2026-07-12</x:v>
      </x:c>
    </x:row>
    <x:row r="138">
      <x:c r="A138" s="32" t="str">
        <x:v>Security, Identity &amp; Compliance</x:v>
      </x:c>
      <x:c r="B138" s="32" t="str">
        <x:v>Confidential computing</x:v>
      </x:c>
      <x:c r="C138" s="32" t="str">
        <x:v>Confidential virtual machines</x:v>
      </x:c>
      <x:c r="D138" s="32" t="str">
        <x:v>Protect data in use with hardware-backed trusted execution environments.</x:v>
      </x:c>
      <x:c r="E138" s="32" t="str">
        <x:v>AWS Nitro Enclaves
confidential EC2 instances</x:v>
      </x:c>
      <x:c r="F138" s="32" t="str">
        <x:v>Azure Confidential Computing</x:v>
      </x:c>
      <x:c r="G138" s="32" t="str">
        <x:v>Confidential VM
Confidential Computing</x:v>
      </x:c>
      <x:c r="H138" s="32" t="str">
        <x:v>Close</x:v>
      </x:c>
      <x:c r="I138" s="32"/>
      <x:c r="J138" s="32" t="str">
        <x:v>https://docs.aws.amazon.com/whitepapers/latest/aws-overview/aws-services.html</x:v>
      </x:c>
      <x:c r="K138" s="32" t="str">
        <x:v>https://azure.microsoft.com/en-gb/products/</x:v>
      </x:c>
      <x:c r="L138" s="32" t="str">
        <x:v>https://docs.cloud.google.com/docs/product-list</x:v>
      </x:c>
      <x:c r="M138" s="32" t="str">
        <x:v>2026-07-12</x:v>
      </x:c>
    </x:row>
    <x:row r="139">
      <x:c r="A139" s="32" t="str">
        <x:v>Security, Identity &amp; Compliance</x:v>
      </x:c>
      <x:c r="B139" s="32" t="str">
        <x:v>Attestation</x:v>
      </x:c>
      <x:c r="C139" s="32" t="str">
        <x:v>Trusted environment attestation</x:v>
      </x:c>
      <x:c r="D139" s="32" t="str">
        <x:v>Verify the integrity and trust state of confidential-computing environments.</x:v>
      </x:c>
      <x:c r="E139" s="32" t="str">
        <x:v>AWS Nitro Enclaves attestation</x:v>
      </x:c>
      <x:c r="F139" s="32" t="str">
        <x:v>Azure Attestation</x:v>
      </x:c>
      <x:c r="G139" s="32" t="str">
        <x:v>Confidential Space attestation</x:v>
      </x:c>
      <x:c r="H139" s="32" t="str">
        <x:v>Close</x:v>
      </x:c>
      <x:c r="I139" s="32"/>
      <x:c r="J139" s="32" t="str">
        <x:v>https://docs.aws.amazon.com/whitepapers/latest/aws-overview/aws-services.html</x:v>
      </x:c>
      <x:c r="K139" s="32" t="str">
        <x:v>https://azure.microsoft.com/en-gb/products/</x:v>
      </x:c>
      <x:c r="L139" s="32" t="str">
        <x:v>https://docs.cloud.google.com/docs/product-list</x:v>
      </x:c>
      <x:c r="M139" s="32" t="str">
        <x:v>2026-07-12</x:v>
      </x:c>
    </x:row>
    <x:row r="140">
      <x:c r="A140" s="32" t="str">
        <x:v>Security, Identity &amp; Compliance</x:v>
      </x:c>
      <x:c r="B140" s="32" t="str">
        <x:v>Compliance evidence</x:v>
      </x:c>
      <x:c r="C140" s="32" t="str">
        <x:v>Compliance reports and evidence</x:v>
      </x:c>
      <x:c r="D140" s="32" t="str">
        <x:v>Access provider compliance reports and collect audit evidence.</x:v>
      </x:c>
      <x:c r="E140" s="32" t="str">
        <x:v>AWS Artifact
AWS Audit Manager</x:v>
      </x:c>
      <x:c r="F140" s="32" t="str">
        <x:v>Microsoft Service Trust Portal
Microsoft Purview Compliance Manager</x:v>
      </x:c>
      <x:c r="G140" s="32" t="str">
        <x:v>Compliance Reports Manager
Audit Manager</x:v>
      </x:c>
      <x:c r="H140" s="32" t="str">
        <x:v>Close</x:v>
      </x:c>
      <x:c r="I140" s="32"/>
      <x:c r="J140" s="32" t="str">
        <x:v>https://docs.aws.amazon.com/whitepapers/latest/aws-overview/aws-services.html</x:v>
      </x:c>
      <x:c r="K140" s="32" t="str">
        <x:v>https://azure.microsoft.com/en-gb/products/</x:v>
      </x:c>
      <x:c r="L140" s="32" t="str">
        <x:v>https://docs.cloud.google.com/docs/product-list</x:v>
      </x:c>
      <x:c r="M140" s="32" t="str">
        <x:v>2026-07-12</x:v>
      </x:c>
    </x:row>
    <x:row r="141">
      <x:c r="A141" s="32" t="str">
        <x:v>Security, Identity &amp; Compliance</x:v>
      </x:c>
      <x:c r="B141" s="32" t="str">
        <x:v>Audit logs</x:v>
      </x:c>
      <x:c r="C141" s="32" t="str">
        <x:v>Cloud audit trail</x:v>
      </x:c>
      <x:c r="D141" s="32" t="str">
        <x:v>Record administrative and data-access activity for investigation and compliance.</x:v>
      </x:c>
      <x:c r="E141" s="32" t="str">
        <x:v>AWS CloudTrail</x:v>
      </x:c>
      <x:c r="F141" s="32" t="str">
        <x:v>Azure Activity Log
Microsoft Entra audit logs</x:v>
      </x:c>
      <x:c r="G141" s="32" t="str">
        <x:v>Cloud Audit Logs</x:v>
      </x:c>
      <x:c r="H141" s="32" t="str">
        <x:v>Exact</x:v>
      </x:c>
      <x:c r="I141" s="32"/>
      <x:c r="J141" s="32" t="str">
        <x:v>https://docs.aws.amazon.com/whitepapers/latest/aws-overview/aws-services.html</x:v>
      </x:c>
      <x:c r="K141" s="32" t="str">
        <x:v>https://azure.microsoft.com/en-gb/products/</x:v>
      </x:c>
      <x:c r="L141" s="32" t="str">
        <x:v>https://docs.cloud.google.com/docs/product-list</x:v>
      </x:c>
      <x:c r="M141" s="32" t="str">
        <x:v>2026-07-12</x:v>
      </x:c>
    </x:row>
    <x:row r="142">
      <x:c r="A142" s="32" t="str">
        <x:v>Security, Identity &amp; Compliance</x:v>
      </x:c>
      <x:c r="B142" s="32" t="str">
        <x:v>Access transparency</x:v>
      </x:c>
      <x:c r="C142" s="32" t="str">
        <x:v>Provider access transparency</x:v>
      </x:c>
      <x:c r="D142" s="32" t="str">
        <x:v>Show when and why provider personnel accessed customer content.</x:v>
      </x:c>
      <x:c r="E142" s="32" t="str">
        <x:v>AWS CloudTrail for provider events / AWS support controls</x:v>
      </x:c>
      <x:c r="F142" s="32" t="str">
        <x:v>Customer Lockbox for Microsoft Azure</x:v>
      </x:c>
      <x:c r="G142" s="32" t="str">
        <x:v>Access Transparency
Cloud provider access management</x:v>
      </x:c>
      <x:c r="H142" s="32" t="str">
        <x:v>Partial</x:v>
      </x:c>
      <x:c r="I142" s="32"/>
      <x:c r="J142" s="32" t="str">
        <x:v>https://docs.aws.amazon.com/whitepapers/latest/aws-overview/aws-services.html</x:v>
      </x:c>
      <x:c r="K142" s="32" t="str">
        <x:v>https://azure.microsoft.com/en-gb/products/</x:v>
      </x:c>
      <x:c r="L142" s="32" t="str">
        <x:v>https://docs.cloud.google.com/docs/product-list</x:v>
      </x:c>
      <x:c r="M142" s="32" t="str">
        <x:v>2026-07-12</x:v>
      </x:c>
    </x:row>
    <x:row r="143">
      <x:c r="A143" s="32" t="str">
        <x:v>Security, Identity &amp; Compliance</x:v>
      </x:c>
      <x:c r="B143" s="32" t="str">
        <x:v>Data perimeter</x:v>
      </x:c>
      <x:c r="C143" s="32" t="str">
        <x:v>Service data perimeter</x:v>
      </x:c>
      <x:c r="D143" s="32" t="str">
        <x:v>Restrict data movement and service access across trusted cloud boundaries.</x:v>
      </x:c>
      <x:c r="E143" s="32" t="str">
        <x:v>AWS Organizations SCPs
VPC endpoints
AWS Network Firewall</x:v>
      </x:c>
      <x:c r="F143" s="32" t="str">
        <x:v>Azure Policy
Private Link
Microsoft Purview</x:v>
      </x:c>
      <x:c r="G143" s="32" t="str">
        <x:v>VPC Service Controls
Access Context Manager</x:v>
      </x:c>
      <x:c r="H143" s="32" t="str">
        <x:v>Close</x:v>
      </x:c>
      <x:c r="I143" s="32"/>
      <x:c r="J143" s="32" t="str">
        <x:v>https://docs.aws.amazon.com/whitepapers/latest/aws-overview/aws-services.html</x:v>
      </x:c>
      <x:c r="K143" s="32" t="str">
        <x:v>https://azure.microsoft.com/en-gb/products/</x:v>
      </x:c>
      <x:c r="L143" s="32" t="str">
        <x:v>https://docs.cloud.google.com/docs/product-list</x:v>
      </x:c>
      <x:c r="M143" s="32" t="str">
        <x:v>2026-07-12</x:v>
      </x:c>
    </x:row>
    <x:row r="144">
      <x:c r="A144" s="32" t="str">
        <x:v>Security, Identity &amp; Compliance</x:v>
      </x:c>
      <x:c r="B144" s="32" t="str">
        <x:v>External attack surface</x:v>
      </x:c>
      <x:c r="C144" s="32" t="str">
        <x:v>External attack-surface management</x:v>
      </x:c>
      <x:c r="D144" s="32" t="str">
        <x:v>Discover internet-exposed assets and assess external risk.</x:v>
      </x:c>
      <x:c r="E144" s="32" t="str">
        <x:v>Amazon Inspector external exposure insights
AWS Security Hub</x:v>
      </x:c>
      <x:c r="F144" s="32" t="str">
        <x:v>Microsoft Defender External Attack Surface Management</x:v>
      </x:c>
      <x:c r="G144" s="32" t="str">
        <x:v>Security Command Center attack-path and exposure management</x:v>
      </x:c>
      <x:c r="H144" s="32" t="str">
        <x:v>Partial</x:v>
      </x:c>
      <x:c r="I144" s="32"/>
      <x:c r="J144" s="32" t="str">
        <x:v>https://docs.aws.amazon.com/whitepapers/latest/aws-overview/aws-services.html</x:v>
      </x:c>
      <x:c r="K144" s="32" t="str">
        <x:v>https://azure.microsoft.com/en-gb/products/</x:v>
      </x:c>
      <x:c r="L144" s="32" t="str">
        <x:v>https://docs.cloud.google.com/docs/product-list</x:v>
      </x:c>
      <x:c r="M144" s="32" t="str">
        <x:v>2026-07-12</x:v>
      </x:c>
    </x:row>
    <x:row r="145">
      <x:c r="A145" s="32" t="str">
        <x:v>Security, Identity &amp; Compliance</x:v>
      </x:c>
      <x:c r="B145" s="32" t="str">
        <x:v>Security assistant</x:v>
      </x:c>
      <x:c r="C145" s="32" t="str">
        <x:v>Generative-AI security assistant</x:v>
      </x:c>
      <x:c r="D145" s="32" t="str">
        <x:v>Use generative AI to investigate threats, summarise incidents and guide response.</x:v>
      </x:c>
      <x:c r="E145" s="32" t="str">
        <x:v>Amazon Q Developer security integrations</x:v>
      </x:c>
      <x:c r="F145" s="32" t="str">
        <x:v>Microsoft Security Copilot</x:v>
      </x:c>
      <x:c r="G145" s="32" t="str">
        <x:v>Gemini in Security / Google Security Operations</x:v>
      </x:c>
      <x:c r="H145" s="32" t="str">
        <x:v>Close</x:v>
      </x:c>
      <x:c r="I145" s="32"/>
      <x:c r="J145" s="32" t="str">
        <x:v>https://docs.aws.amazon.com/whitepapers/latest/aws-overview/aws-services.html</x:v>
      </x:c>
      <x:c r="K145" s="32" t="str">
        <x:v>https://azure.microsoft.com/en-gb/products/</x:v>
      </x:c>
      <x:c r="L145" s="32" t="str">
        <x:v>https://docs.cloud.google.com/docs/product-list</x:v>
      </x:c>
      <x:c r="M145" s="32" t="str">
        <x:v>2026-07-12</x:v>
      </x:c>
    </x:row>
    <x:row r="146">
      <x:c r="A146" s="32" t="str">
        <x:v>Databases</x:v>
      </x:c>
      <x:c r="B146" s="32" t="str">
        <x:v>Relational databases</x:v>
      </x:c>
      <x:c r="C146" s="32" t="str">
        <x:v>Managed relational database service</x:v>
      </x:c>
      <x:c r="D146" s="32" t="str">
        <x:v>Operate common relational database engines with managed backups, patching and availability.</x:v>
      </x:c>
      <x:c r="E146" s="32" t="str">
        <x:v>Amazon Relational Database Service</x:v>
      </x:c>
      <x:c r="F146" s="32" t="str">
        <x:v>Azure SQL Managed Instance
Azure Database for PostgreSQL
Azure Database for MySQL</x:v>
      </x:c>
      <x:c r="G146" s="32" t="str">
        <x:v>Cloud SQL</x:v>
      </x:c>
      <x:c r="H146" s="32" t="str">
        <x:v>Close</x:v>
      </x:c>
      <x:c r="I146" s="32"/>
      <x:c r="J146" s="32" t="str">
        <x:v>https://docs.aws.amazon.com/whitepapers/latest/aws-overview/aws-services.html</x:v>
      </x:c>
      <x:c r="K146" s="32" t="str">
        <x:v>https://azure.microsoft.com/en-gb/products/</x:v>
      </x:c>
      <x:c r="L146" s="32" t="str">
        <x:v>https://docs.cloud.google.com/docs/product-list</x:v>
      </x:c>
      <x:c r="M146" s="32" t="str">
        <x:v>2026-07-12</x:v>
      </x:c>
    </x:row>
    <x:row r="147">
      <x:c r="A147" s="32" t="str">
        <x:v>Databases</x:v>
      </x:c>
      <x:c r="B147" s="32" t="str">
        <x:v>Cloud-native relational</x:v>
      </x:c>
      <x:c r="C147" s="32" t="str">
        <x:v>Cloud-native relational database</x:v>
      </x:c>
      <x:c r="D147" s="32" t="str">
        <x:v>Run a highly available cloud-native relational database optimised for scale and resilience.</x:v>
      </x:c>
      <x:c r="E147" s="32" t="str">
        <x:v>Amazon Aurora</x:v>
      </x:c>
      <x:c r="F147" s="32" t="str">
        <x:v>Azure SQL Database</x:v>
      </x:c>
      <x:c r="G147" s="32" t="str">
        <x:v>AlloyDB for PostgreSQL</x:v>
      </x:c>
      <x:c r="H147" s="32" t="str">
        <x:v>Close</x:v>
      </x:c>
      <x:c r="I147" s="32"/>
      <x:c r="J147" s="32" t="str">
        <x:v>https://docs.aws.amazon.com/whitepapers/latest/aws-overview/aws-services.html</x:v>
      </x:c>
      <x:c r="K147" s="32" t="str">
        <x:v>https://azure.microsoft.com/en-gb/products/</x:v>
      </x:c>
      <x:c r="L147" s="32" t="str">
        <x:v>https://docs.cloud.google.com/docs/product-list</x:v>
      </x:c>
      <x:c r="M147" s="32" t="str">
        <x:v>2026-07-12</x:v>
      </x:c>
    </x:row>
    <x:row r="148">
      <x:c r="A148" s="32" t="str">
        <x:v>Databases</x:v>
      </x:c>
      <x:c r="B148" s="32" t="str">
        <x:v>Distributed SQL</x:v>
      </x:c>
      <x:c r="C148" s="32" t="str">
        <x:v>Globally distributed relational database</x:v>
      </x:c>
      <x:c r="D148" s="32" t="str">
        <x:v>Provide strongly consistent relational transactions across regions at horizontal scale.</x:v>
      </x:c>
      <x:c r="E148" s="32" t="str">
        <x:v>Amazon Aurora DSQL</x:v>
      </x:c>
      <x:c r="F148" s="32" t="str">
        <x:v>Azure Cosmos DB for PostgreSQL / Azure SQL Hyperscale</x:v>
      </x:c>
      <x:c r="G148" s="32" t="str">
        <x:v>Spanner</x:v>
      </x:c>
      <x:c r="H148" s="32" t="str">
        <x:v>Partial</x:v>
      </x:c>
      <x:c r="I148" s="32"/>
      <x:c r="J148" s="32" t="str">
        <x:v>https://docs.aws.amazon.com/whitepapers/latest/aws-overview/aws-services.html</x:v>
      </x:c>
      <x:c r="K148" s="32" t="str">
        <x:v>https://azure.microsoft.com/en-gb/products/</x:v>
      </x:c>
      <x:c r="L148" s="32" t="str">
        <x:v>https://docs.cloud.google.com/docs/product-list</x:v>
      </x:c>
      <x:c r="M148" s="32" t="str">
        <x:v>2026-07-12</x:v>
      </x:c>
    </x:row>
    <x:row r="149">
      <x:c r="A149" s="32" t="str">
        <x:v>Databases</x:v>
      </x:c>
      <x:c r="B149" s="32" t="str">
        <x:v>PostgreSQL</x:v>
      </x:c>
      <x:c r="C149" s="32" t="str">
        <x:v>High-performance PostgreSQL-compatible database</x:v>
      </x:c>
      <x:c r="D149" s="32" t="str">
        <x:v>Deliver PostgreSQL compatibility with cloud-native performance and availability.</x:v>
      </x:c>
      <x:c r="E149" s="32" t="str">
        <x:v>Amazon Aurora PostgreSQL</x:v>
      </x:c>
      <x:c r="F149" s="32" t="str">
        <x:v>Azure Database for PostgreSQL</x:v>
      </x:c>
      <x:c r="G149" s="32" t="str">
        <x:v>AlloyDB for PostgreSQL</x:v>
      </x:c>
      <x:c r="H149" s="32" t="str">
        <x:v>Close</x:v>
      </x:c>
      <x:c r="I149" s="32"/>
      <x:c r="J149" s="32" t="str">
        <x:v>https://docs.aws.amazon.com/whitepapers/latest/aws-overview/aws-services.html</x:v>
      </x:c>
      <x:c r="K149" s="32" t="str">
        <x:v>https://azure.microsoft.com/en-gb/products/</x:v>
      </x:c>
      <x:c r="L149" s="32" t="str">
        <x:v>https://docs.cloud.google.com/docs/product-list</x:v>
      </x:c>
      <x:c r="M149" s="32" t="str">
        <x:v>2026-07-12</x:v>
      </x:c>
    </x:row>
    <x:row r="150">
      <x:c r="A150" s="32" t="str">
        <x:v>Databases</x:v>
      </x:c>
      <x:c r="B150" s="32" t="str">
        <x:v>SQL Server</x:v>
      </x:c>
      <x:c r="C150" s="32" t="str">
        <x:v>Managed SQL Server</x:v>
      </x:c>
      <x:c r="D150" s="32" t="str">
        <x:v>Run Microsoft SQL Server as a managed database or on cloud virtual machines.</x:v>
      </x:c>
      <x:c r="E150" s="32" t="str">
        <x:v>Amazon RDS for SQL Server
SQL Server on Amazon EC2</x:v>
      </x:c>
      <x:c r="F150" s="32" t="str">
        <x:v>Azure SQL Managed Instance
SQL Server on Azure VMs</x:v>
      </x:c>
      <x:c r="G150" s="32" t="str">
        <x:v>Cloud SQL for SQL Server</x:v>
      </x:c>
      <x:c r="H150" s="32" t="str">
        <x:v>Close</x:v>
      </x:c>
      <x:c r="I150" s="32"/>
      <x:c r="J150" s="32" t="str">
        <x:v>https://docs.aws.amazon.com/whitepapers/latest/aws-overview/aws-services.html</x:v>
      </x:c>
      <x:c r="K150" s="32" t="str">
        <x:v>https://azure.microsoft.com/en-gb/products/</x:v>
      </x:c>
      <x:c r="L150" s="32" t="str">
        <x:v>https://docs.cloud.google.com/docs/product-list</x:v>
      </x:c>
      <x:c r="M150" s="32" t="str">
        <x:v>2026-07-12</x:v>
      </x:c>
    </x:row>
    <x:row r="151">
      <x:c r="A151" s="32" t="str">
        <x:v>Databases</x:v>
      </x:c>
      <x:c r="B151" s="32" t="str">
        <x:v>MySQL</x:v>
      </x:c>
      <x:c r="C151" s="32" t="str">
        <x:v>Managed MySQL</x:v>
      </x:c>
      <x:c r="D151" s="32" t="str">
        <x:v>Operate MySQL databases with managed backups, patching and high availability.</x:v>
      </x:c>
      <x:c r="E151" s="32" t="str">
        <x:v>Amazon RDS for MySQL
Amazon Aurora MySQL</x:v>
      </x:c>
      <x:c r="F151" s="32" t="str">
        <x:v>Azure Database for MySQL</x:v>
      </x:c>
      <x:c r="G151" s="32" t="str">
        <x:v>Cloud SQL for MySQL</x:v>
      </x:c>
      <x:c r="H151" s="32" t="str">
        <x:v>Exact</x:v>
      </x:c>
      <x:c r="I151" s="32"/>
      <x:c r="J151" s="32" t="str">
        <x:v>https://docs.aws.amazon.com/whitepapers/latest/aws-overview/aws-services.html</x:v>
      </x:c>
      <x:c r="K151" s="32" t="str">
        <x:v>https://azure.microsoft.com/en-gb/products/</x:v>
      </x:c>
      <x:c r="L151" s="32" t="str">
        <x:v>https://docs.cloud.google.com/docs/product-list</x:v>
      </x:c>
      <x:c r="M151" s="32" t="str">
        <x:v>2026-07-12</x:v>
      </x:c>
    </x:row>
    <x:row r="152">
      <x:c r="A152" s="32" t="str">
        <x:v>Databases</x:v>
      </x:c>
      <x:c r="B152" s="32" t="str">
        <x:v>Oracle</x:v>
      </x:c>
      <x:c r="C152" s="32" t="str">
        <x:v>Managed Oracle database</x:v>
      </x:c>
      <x:c r="D152" s="32" t="str">
        <x:v>Operate Oracle database workloads through managed or cloud-hosted services.</x:v>
      </x:c>
      <x:c r="E152" s="32" t="str">
        <x:v>Amazon RDS for Oracle
Oracle Database@AWS</x:v>
      </x:c>
      <x:c r="F152" s="32" t="str">
        <x:v>Oracle Database@Azure
Oracle on Azure VMs</x:v>
      </x:c>
      <x:c r="G152" s="32" t="str">
        <x:v>Oracle Database@Google Cloud
Oracle on Google Cloud Compute</x:v>
      </x:c>
      <x:c r="H152" s="32" t="str">
        <x:v>Close</x:v>
      </x:c>
      <x:c r="I152" s="32"/>
      <x:c r="J152" s="32" t="str">
        <x:v>https://docs.aws.amazon.com/whitepapers/latest/aws-overview/aws-services.html</x:v>
      </x:c>
      <x:c r="K152" s="32" t="str">
        <x:v>https://azure.microsoft.com/en-gb/products/</x:v>
      </x:c>
      <x:c r="L152" s="32" t="str">
        <x:v>https://docs.cloud.google.com/docs/product-list</x:v>
      </x:c>
      <x:c r="M152" s="32" t="str">
        <x:v>2026-07-12</x:v>
      </x:c>
    </x:row>
    <x:row r="153">
      <x:c r="A153" s="32" t="str">
        <x:v>Databases</x:v>
      </x:c>
      <x:c r="B153" s="32" t="str">
        <x:v>DB2</x:v>
      </x:c>
      <x:c r="C153" s="32" t="str">
        <x:v>Managed IBM Db2 database</x:v>
      </x:c>
      <x:c r="D153" s="32" t="str">
        <x:v>Operate IBM Db2 databases with managed infrastructure capabilities.</x:v>
      </x:c>
      <x:c r="E153" s="32" t="str">
        <x:v>Amazon RDS for Db2</x:v>
      </x:c>
      <x:c r="F153" s="32" t="str">
        <x:v>IBM Db2 on Azure</x:v>
      </x:c>
      <x:c r="G153" s="32" t="str">
        <x:v>IBM Db2 on Google Cloud</x:v>
      </x:c>
      <x:c r="H153" s="32" t="str">
        <x:v>Partial</x:v>
      </x:c>
      <x:c r="I153" s="32"/>
      <x:c r="J153" s="32" t="str">
        <x:v>https://docs.aws.amazon.com/whitepapers/latest/aws-overview/aws-services.html</x:v>
      </x:c>
      <x:c r="K153" s="32" t="str">
        <x:v>https://azure.microsoft.com/en-gb/products/</x:v>
      </x:c>
      <x:c r="L153" s="32" t="str">
        <x:v>https://docs.cloud.google.com/docs/product-list</x:v>
      </x:c>
      <x:c r="M153" s="32" t="str">
        <x:v>2026-07-12</x:v>
      </x:c>
    </x:row>
    <x:row r="154">
      <x:c r="A154" s="32" t="str">
        <x:v>Databases</x:v>
      </x:c>
      <x:c r="B154" s="32" t="str">
        <x:v>Key-value NoSQL</x:v>
      </x:c>
      <x:c r="C154" s="32" t="str">
        <x:v>Managed key-value database</x:v>
      </x:c>
      <x:c r="D154" s="32" t="str">
        <x:v>Store and retrieve low-latency key-value data at large scale.</x:v>
      </x:c>
      <x:c r="E154" s="32" t="str">
        <x:v>Amazon DynamoDB</x:v>
      </x:c>
      <x:c r="F154" s="32" t="str">
        <x:v>Azure Cosmos DB</x:v>
      </x:c>
      <x:c r="G154" s="32" t="str">
        <x:v>Bigtable
Firestore</x:v>
      </x:c>
      <x:c r="H154" s="32" t="str">
        <x:v>Close</x:v>
      </x:c>
      <x:c r="I154" s="32"/>
      <x:c r="J154" s="32" t="str">
        <x:v>https://docs.aws.amazon.com/whitepapers/latest/aws-overview/aws-services.html</x:v>
      </x:c>
      <x:c r="K154" s="32" t="str">
        <x:v>https://azure.microsoft.com/en-gb/products/</x:v>
      </x:c>
      <x:c r="L154" s="32" t="str">
        <x:v>https://docs.cloud.google.com/docs/product-list</x:v>
      </x:c>
      <x:c r="M154" s="32" t="str">
        <x:v>2026-07-12</x:v>
      </x:c>
    </x:row>
    <x:row r="155">
      <x:c r="A155" s="32" t="str">
        <x:v>Databases</x:v>
      </x:c>
      <x:c r="B155" s="32" t="str">
        <x:v>Document database</x:v>
      </x:c>
      <x:c r="C155" s="32" t="str">
        <x:v>Managed document database</x:v>
      </x:c>
      <x:c r="D155" s="32" t="str">
        <x:v>Store semi-structured JSON-like documents with flexible schemas.</x:v>
      </x:c>
      <x:c r="E155" s="32" t="str">
        <x:v>Amazon DocumentDB
Amazon DynamoDB</x:v>
      </x:c>
      <x:c r="F155" s="32" t="str">
        <x:v>Azure Cosmos DB
Azure DocumentDB</x:v>
      </x:c>
      <x:c r="G155" s="32" t="str">
        <x:v>Firestore in Native mode
Firestore with MongoDB compatibility</x:v>
      </x:c>
      <x:c r="H155" s="32" t="str">
        <x:v>Close</x:v>
      </x:c>
      <x:c r="I155" s="32"/>
      <x:c r="J155" s="32" t="str">
        <x:v>https://docs.aws.amazon.com/whitepapers/latest/aws-overview/aws-services.html</x:v>
      </x:c>
      <x:c r="K155" s="32" t="str">
        <x:v>https://azure.microsoft.com/en-gb/products/</x:v>
      </x:c>
      <x:c r="L155" s="32" t="str">
        <x:v>https://docs.cloud.google.com/docs/product-list</x:v>
      </x:c>
      <x:c r="M155" s="32" t="str">
        <x:v>2026-07-12</x:v>
      </x:c>
    </x:row>
    <x:row r="156">
      <x:c r="A156" s="32" t="str">
        <x:v>Databases</x:v>
      </x:c>
      <x:c r="B156" s="32" t="str">
        <x:v>MongoDB compatibility</x:v>
      </x:c>
      <x:c r="C156" s="32" t="str">
        <x:v>MongoDB-compatible managed database</x:v>
      </x:c>
      <x:c r="D156" s="32" t="str">
        <x:v>Run document workloads using MongoDB-compatible interfaces.</x:v>
      </x:c>
      <x:c r="E156" s="32" t="str">
        <x:v>Amazon DocumentDB</x:v>
      </x:c>
      <x:c r="F156" s="32" t="str">
        <x:v>Azure Cosmos DB for MongoDB
Azure DocumentDB</x:v>
      </x:c>
      <x:c r="G156" s="32" t="str">
        <x:v>Firestore with MongoDB compatibility</x:v>
      </x:c>
      <x:c r="H156" s="32" t="str">
        <x:v>Close</x:v>
      </x:c>
      <x:c r="I156" s="32"/>
      <x:c r="J156" s="32" t="str">
        <x:v>https://docs.aws.amazon.com/whitepapers/latest/aws-overview/aws-services.html</x:v>
      </x:c>
      <x:c r="K156" s="32" t="str">
        <x:v>https://azure.microsoft.com/en-gb/products/</x:v>
      </x:c>
      <x:c r="L156" s="32" t="str">
        <x:v>https://docs.cloud.google.com/docs/product-list</x:v>
      </x:c>
      <x:c r="M156" s="32" t="str">
        <x:v>2026-07-12</x:v>
      </x:c>
    </x:row>
    <x:row r="157">
      <x:c r="A157" s="32" t="str">
        <x:v>Databases</x:v>
      </x:c>
      <x:c r="B157" s="32" t="str">
        <x:v>Wide-column database</x:v>
      </x:c>
      <x:c r="C157" s="32" t="str">
        <x:v>Managed wide-column database</x:v>
      </x:c>
      <x:c r="D157" s="32" t="str">
        <x:v>Store massive sparse datasets using a wide-column data model.</x:v>
      </x:c>
      <x:c r="E157" s="32" t="str">
        <x:v>Amazon Keyspaces for Apache Cassandra
Amazon DynamoDB</x:v>
      </x:c>
      <x:c r="F157" s="32" t="str">
        <x:v>Azure Managed Instance for Apache Cassandra
Azure Cosmos DB</x:v>
      </x:c>
      <x:c r="G157" s="32" t="str">
        <x:v>Bigtable</x:v>
      </x:c>
      <x:c r="H157" s="32" t="str">
        <x:v>Close</x:v>
      </x:c>
      <x:c r="I157" s="32"/>
      <x:c r="J157" s="32" t="str">
        <x:v>https://docs.aws.amazon.com/whitepapers/latest/aws-overview/aws-services.html</x:v>
      </x:c>
      <x:c r="K157" s="32" t="str">
        <x:v>https://azure.microsoft.com/en-gb/products/</x:v>
      </x:c>
      <x:c r="L157" s="32" t="str">
        <x:v>https://docs.cloud.google.com/docs/product-list</x:v>
      </x:c>
      <x:c r="M157" s="32" t="str">
        <x:v>2026-07-12</x:v>
      </x:c>
    </x:row>
    <x:row r="158">
      <x:c r="A158" s="32" t="str">
        <x:v>Databases</x:v>
      </x:c>
      <x:c r="B158" s="32" t="str">
        <x:v>Graph database</x:v>
      </x:c>
      <x:c r="C158" s="32" t="str">
        <x:v>Managed graph database</x:v>
      </x:c>
      <x:c r="D158" s="32" t="str">
        <x:v>Store and query highly connected data using graph models and traversals.</x:v>
      </x:c>
      <x:c r="E158" s="32" t="str">
        <x:v>Amazon Neptune</x:v>
      </x:c>
      <x:c r="F158" s="32" t="str">
        <x:v>Azure Cosmos DB for Apache Gremlin</x:v>
      </x:c>
      <x:c r="G158" s="32" t="str">
        <x:v>Spanner Graph</x:v>
      </x:c>
      <x:c r="H158" s="32" t="str">
        <x:v>Close</x:v>
      </x:c>
      <x:c r="I158" s="32"/>
      <x:c r="J158" s="32" t="str">
        <x:v>https://docs.aws.amazon.com/whitepapers/latest/aws-overview/aws-services.html</x:v>
      </x:c>
      <x:c r="K158" s="32" t="str">
        <x:v>https://azure.microsoft.com/en-gb/products/</x:v>
      </x:c>
      <x:c r="L158" s="32" t="str">
        <x:v>https://docs.cloud.google.com/docs/product-list</x:v>
      </x:c>
      <x:c r="M158" s="32" t="str">
        <x:v>2026-07-12</x:v>
      </x:c>
    </x:row>
    <x:row r="159">
      <x:c r="A159" s="32" t="str">
        <x:v>Databases</x:v>
      </x:c>
      <x:c r="B159" s="32" t="str">
        <x:v>Time-series database</x:v>
      </x:c>
      <x:c r="C159" s="32" t="str">
        <x:v>Managed time-series database</x:v>
      </x:c>
      <x:c r="D159" s="32" t="str">
        <x:v>Store, query and analyse timestamped operational or IoT data.</x:v>
      </x:c>
      <x:c r="E159" s="32" t="str">
        <x:v>Amazon Timestream</x:v>
      </x:c>
      <x:c r="F159" s="32" t="str">
        <x:v>Azure Data Explorer</x:v>
      </x:c>
      <x:c r="G159" s="32" t="str">
        <x:v>Bigtable
BigQuery</x:v>
      </x:c>
      <x:c r="H159" s="32" t="str">
        <x:v>Partial</x:v>
      </x:c>
      <x:c r="I159" s="32"/>
      <x:c r="J159" s="32" t="str">
        <x:v>https://docs.aws.amazon.com/whitepapers/latest/aws-overview/aws-services.html</x:v>
      </x:c>
      <x:c r="K159" s="32" t="str">
        <x:v>https://azure.microsoft.com/en-gb/products/</x:v>
      </x:c>
      <x:c r="L159" s="32" t="str">
        <x:v>https://docs.cloud.google.com/docs/product-list</x:v>
      </x:c>
      <x:c r="M159" s="32" t="str">
        <x:v>2026-07-12</x:v>
      </x:c>
    </x:row>
    <x:row r="160">
      <x:c r="A160" s="32" t="str">
        <x:v>Databases</x:v>
      </x:c>
      <x:c r="B160" s="32" t="str">
        <x:v>In-memory cache</x:v>
      </x:c>
      <x:c r="C160" s="32" t="str">
        <x:v>Managed Redis or Valkey cache</x:v>
      </x:c>
      <x:c r="D160" s="32" t="str">
        <x:v>Provide low-latency in-memory caching and data structures.</x:v>
      </x:c>
      <x:c r="E160" s="32" t="str">
        <x:v>Amazon ElastiCache
Amazon MemoryDB</x:v>
      </x:c>
      <x:c r="F160" s="32" t="str">
        <x:v>Azure Managed Redis</x:v>
      </x:c>
      <x:c r="G160" s="32" t="str">
        <x:v>Memorystore for Redis
Memorystore for Redis Cluster
Memorystore for Valkey</x:v>
      </x:c>
      <x:c r="H160" s="32" t="str">
        <x:v>Close</x:v>
      </x:c>
      <x:c r="I160" s="32"/>
      <x:c r="J160" s="32" t="str">
        <x:v>https://docs.aws.amazon.com/whitepapers/latest/aws-overview/aws-services.html</x:v>
      </x:c>
      <x:c r="K160" s="32" t="str">
        <x:v>https://azure.microsoft.com/en-gb/products/</x:v>
      </x:c>
      <x:c r="L160" s="32" t="str">
        <x:v>https://docs.cloud.google.com/docs/product-list</x:v>
      </x:c>
      <x:c r="M160" s="32" t="str">
        <x:v>2026-07-12</x:v>
      </x:c>
    </x:row>
    <x:row r="161">
      <x:c r="A161" s="32" t="str">
        <x:v>Databases</x:v>
      </x:c>
      <x:c r="B161" s="32" t="str">
        <x:v>Memcached</x:v>
      </x:c>
      <x:c r="C161" s="32" t="str">
        <x:v>Managed Memcached</x:v>
      </x:c>
      <x:c r="D161" s="32" t="str">
        <x:v>Provide a managed distributed memory-caching service compatible with Memcached.</x:v>
      </x:c>
      <x:c r="E161" s="32" t="str">
        <x:v>Amazon ElastiCache for Memcached</x:v>
      </x:c>
      <x:c r="F161" s="32" t="str">
        <x:v>Azure Managed Redis as alternative</x:v>
      </x:c>
      <x:c r="G161" s="32" t="str">
        <x:v>Memorystore for Memcached</x:v>
      </x:c>
      <x:c r="H161" s="32" t="str">
        <x:v>Partial</x:v>
      </x:c>
      <x:c r="I161" s="32"/>
      <x:c r="J161" s="32" t="str">
        <x:v>https://docs.aws.amazon.com/whitepapers/latest/aws-overview/aws-services.html</x:v>
      </x:c>
      <x:c r="K161" s="32" t="str">
        <x:v>https://azure.microsoft.com/en-gb/products/</x:v>
      </x:c>
      <x:c r="L161" s="32" t="str">
        <x:v>https://docs.cloud.google.com/docs/product-list</x:v>
      </x:c>
      <x:c r="M161" s="32" t="str">
        <x:v>2026-07-12</x:v>
      </x:c>
    </x:row>
    <x:row r="162">
      <x:c r="A162" s="32" t="str">
        <x:v>Databases</x:v>
      </x:c>
      <x:c r="B162" s="32" t="str">
        <x:v>Ledger</x:v>
      </x:c>
      <x:c r="C162" s="32" t="str">
        <x:v>Immutable ledger database</x:v>
      </x:c>
      <x:c r="D162" s="32" t="str">
        <x:v>Maintain cryptographically verifiable or tamper-evident transaction records.</x:v>
      </x:c>
      <x:c r="E162" s="32" t="str">
        <x:v>Amazon QLDB legacy / Amazon Managed Blockchain</x:v>
      </x:c>
      <x:c r="F162" s="32" t="str">
        <x:v>Azure Confidential Ledger</x:v>
      </x:c>
      <x:c r="G162" s="32" t="str">
        <x:v>Blockchain Node Engine / partner ledgers</x:v>
      </x:c>
      <x:c r="H162" s="32" t="str">
        <x:v>Partial</x:v>
      </x:c>
      <x:c r="I162" s="32"/>
      <x:c r="J162" s="32" t="str">
        <x:v>https://docs.aws.amazon.com/whitepapers/latest/aws-overview/aws-services.html</x:v>
      </x:c>
      <x:c r="K162" s="32" t="str">
        <x:v>https://azure.microsoft.com/en-gb/products/</x:v>
      </x:c>
      <x:c r="L162" s="32" t="str">
        <x:v>https://docs.cloud.google.com/docs/product-list</x:v>
      </x:c>
      <x:c r="M162" s="32" t="str">
        <x:v>2026-07-12</x:v>
      </x:c>
    </x:row>
    <x:row r="163">
      <x:c r="A163" s="32" t="str">
        <x:v>Databases</x:v>
      </x:c>
      <x:c r="B163" s="32" t="str">
        <x:v>Blockchain</x:v>
      </x:c>
      <x:c r="C163" s="32" t="str">
        <x:v>Managed blockchain infrastructure</x:v>
      </x:c>
      <x:c r="D163" s="32" t="str">
        <x:v>Provision and operate blockchain networks, nodes or blockchain data access.</x:v>
      </x:c>
      <x:c r="E163" s="32" t="str">
        <x:v>Amazon Managed Blockchain</x:v>
      </x:c>
      <x:c r="F163" s="32" t="str">
        <x:v>Azure Confidential Ledger / partner blockchain offerings</x:v>
      </x:c>
      <x:c r="G163" s="32" t="str">
        <x:v>Blockchain Node Engine
Blockchain RPC
Blockchain Analytics</x:v>
      </x:c>
      <x:c r="H163" s="32" t="str">
        <x:v>Partial</x:v>
      </x:c>
      <x:c r="I163" s="32"/>
      <x:c r="J163" s="32" t="str">
        <x:v>https://docs.aws.amazon.com/whitepapers/latest/aws-overview/aws-services.html</x:v>
      </x:c>
      <x:c r="K163" s="32" t="str">
        <x:v>https://azure.microsoft.com/en-gb/products/</x:v>
      </x:c>
      <x:c r="L163" s="32" t="str">
        <x:v>https://docs.cloud.google.com/docs/product-list</x:v>
      </x:c>
      <x:c r="M163" s="32" t="str">
        <x:v>2026-07-12</x:v>
      </x:c>
    </x:row>
    <x:row r="164">
      <x:c r="A164" s="32" t="str">
        <x:v>Databases</x:v>
      </x:c>
      <x:c r="B164" s="32" t="str">
        <x:v>Database migration</x:v>
      </x:c>
      <x:c r="C164" s="32" t="str">
        <x:v>Database migration service</x:v>
      </x:c>
      <x:c r="D164" s="32" t="str">
        <x:v>Assess, replicate and migrate databases with minimal downtime.</x:v>
      </x:c>
      <x:c r="E164" s="32" t="str">
        <x:v>AWS Database Migration Service
AWS Schema Conversion Tool</x:v>
      </x:c>
      <x:c r="F164" s="32" t="str">
        <x:v>Azure Database Migration Service</x:v>
      </x:c>
      <x:c r="G164" s="32" t="str">
        <x:v>Database Migration Service</x:v>
      </x:c>
      <x:c r="H164" s="32" t="str">
        <x:v>Exact</x:v>
      </x:c>
      <x:c r="I164" s="32"/>
      <x:c r="J164" s="32" t="str">
        <x:v>https://docs.aws.amazon.com/whitepapers/latest/aws-overview/aws-services.html</x:v>
      </x:c>
      <x:c r="K164" s="32" t="str">
        <x:v>https://azure.microsoft.com/en-gb/products/</x:v>
      </x:c>
      <x:c r="L164" s="32" t="str">
        <x:v>https://docs.cloud.google.com/docs/product-list</x:v>
      </x:c>
      <x:c r="M164" s="32" t="str">
        <x:v>2026-07-12</x:v>
      </x:c>
    </x:row>
    <x:row r="165">
      <x:c r="A165" s="32" t="str">
        <x:v>Databases</x:v>
      </x:c>
      <x:c r="B165" s="32" t="str">
        <x:v>Database fleet</x:v>
      </x:c>
      <x:c r="C165" s="32" t="str">
        <x:v>Database fleet management</x:v>
      </x:c>
      <x:c r="D165" s="32" t="str">
        <x:v>Discover, assess and manage database estates from a central view.</x:v>
      </x:c>
      <x:c r="E165" s="32" t="str">
        <x:v>Amazon RDS fleet capabilities
AWS Systems Manager</x:v>
      </x:c>
      <x:c r="F165" s="32" t="str">
        <x:v>Azure Arc-enabled data services
Azure SQL fleet tools</x:v>
      </x:c>
      <x:c r="G165" s="32" t="str">
        <x:v>Database Center</x:v>
      </x:c>
      <x:c r="H165" s="32" t="str">
        <x:v>Partial</x:v>
      </x:c>
      <x:c r="I165" s="32"/>
      <x:c r="J165" s="32" t="str">
        <x:v>https://docs.aws.amazon.com/whitepapers/latest/aws-overview/aws-services.html</x:v>
      </x:c>
      <x:c r="K165" s="32" t="str">
        <x:v>https://azure.microsoft.com/en-gb/products/</x:v>
      </x:c>
      <x:c r="L165" s="32" t="str">
        <x:v>https://docs.cloud.google.com/docs/product-list</x:v>
      </x:c>
      <x:c r="M165" s="32" t="str">
        <x:v>2026-07-12</x:v>
      </x:c>
    </x:row>
    <x:row r="166">
      <x:c r="A166" s="32" t="str">
        <x:v>Storage</x:v>
      </x:c>
      <x:c r="B166" s="32" t="str">
        <x:v>Object storage</x:v>
      </x:c>
      <x:c r="C166" s="32" t="str">
        <x:v>Object storage</x:v>
      </x:c>
      <x:c r="D166" s="32" t="str">
        <x:v>Store unstructured data as durable objects accessible through APIs.</x:v>
      </x:c>
      <x:c r="E166" s="32" t="str">
        <x:v>Amazon Simple Storage Service</x:v>
      </x:c>
      <x:c r="F166" s="32" t="str">
        <x:v>Azure Blob Storage</x:v>
      </x:c>
      <x:c r="G166" s="32" t="str">
        <x:v>Cloud Storage</x:v>
      </x:c>
      <x:c r="H166" s="32" t="str">
        <x:v>Exact</x:v>
      </x:c>
      <x:c r="I166" s="32"/>
      <x:c r="J166" s="32" t="str">
        <x:v>https://docs.aws.amazon.com/whitepapers/latest/aws-overview/aws-services.html</x:v>
      </x:c>
      <x:c r="K166" s="32" t="str">
        <x:v>https://azure.microsoft.com/en-gb/products/</x:v>
      </x:c>
      <x:c r="L166" s="32" t="str">
        <x:v>https://docs.cloud.google.com/docs/product-list</x:v>
      </x:c>
      <x:c r="M166" s="32" t="str">
        <x:v>2026-07-12</x:v>
      </x:c>
    </x:row>
    <x:row r="167">
      <x:c r="A167" s="32" t="str">
        <x:v>Storage</x:v>
      </x:c>
      <x:c r="B167" s="32" t="str">
        <x:v>Archive storage</x:v>
      </x:c>
      <x:c r="C167" s="32" t="str">
        <x:v>Long-term archive storage</x:v>
      </x:c>
      <x:c r="D167" s="32" t="str">
        <x:v>Store infrequently accessed data at low cost with delayed or tiered retrieval.</x:v>
      </x:c>
      <x:c r="E167" s="32" t="str">
        <x:v>Amazon S3 Glacier storage classes</x:v>
      </x:c>
      <x:c r="F167" s="32" t="str">
        <x:v>Azure Archive Storage</x:v>
      </x:c>
      <x:c r="G167" s="32" t="str">
        <x:v>Cloud Storage Archive</x:v>
      </x:c>
      <x:c r="H167" s="32" t="str">
        <x:v>Exact</x:v>
      </x:c>
      <x:c r="I167" s="32"/>
      <x:c r="J167" s="32" t="str">
        <x:v>https://docs.aws.amazon.com/whitepapers/latest/aws-overview/aws-services.html</x:v>
      </x:c>
      <x:c r="K167" s="32" t="str">
        <x:v>https://azure.microsoft.com/en-gb/products/</x:v>
      </x:c>
      <x:c r="L167" s="32" t="str">
        <x:v>https://docs.cloud.google.com/docs/product-list</x:v>
      </x:c>
      <x:c r="M167" s="32" t="str">
        <x:v>2026-07-12</x:v>
      </x:c>
    </x:row>
    <x:row r="168">
      <x:c r="A168" s="32" t="str">
        <x:v>Storage</x:v>
      </x:c>
      <x:c r="B168" s="32" t="str">
        <x:v>Block storage</x:v>
      </x:c>
      <x:c r="C168" s="32" t="str">
        <x:v>Persistent block storage</x:v>
      </x:c>
      <x:c r="D168" s="32" t="str">
        <x:v>Attach durable block volumes to virtual machines and stateful workloads.</x:v>
      </x:c>
      <x:c r="E168" s="32" t="str">
        <x:v>Amazon Elastic Block Store</x:v>
      </x:c>
      <x:c r="F168" s="32" t="str">
        <x:v>Azure Disk Storage</x:v>
      </x:c>
      <x:c r="G168" s="32" t="str">
        <x:v>Persistent Disk
Hyperdisk</x:v>
      </x:c>
      <x:c r="H168" s="32" t="str">
        <x:v>Exact</x:v>
      </x:c>
      <x:c r="I168" s="32"/>
      <x:c r="J168" s="32" t="str">
        <x:v>https://docs.aws.amazon.com/whitepapers/latest/aws-overview/aws-services.html</x:v>
      </x:c>
      <x:c r="K168" s="32" t="str">
        <x:v>https://azure.microsoft.com/en-gb/products/</x:v>
      </x:c>
      <x:c r="L168" s="32" t="str">
        <x:v>https://docs.cloud.google.com/docs/product-list</x:v>
      </x:c>
      <x:c r="M168" s="32" t="str">
        <x:v>2026-07-12</x:v>
      </x:c>
    </x:row>
    <x:row r="169">
      <x:c r="A169" s="32" t="str">
        <x:v>Storage</x:v>
      </x:c>
      <x:c r="B169" s="32" t="str">
        <x:v>Local storage</x:v>
      </x:c>
      <x:c r="C169" s="32" t="str">
        <x:v>Local ephemeral SSD</x:v>
      </x:c>
      <x:c r="D169" s="32" t="str">
        <x:v>Provide high-performance storage physically attached to the compute host.</x:v>
      </x:c>
      <x:c r="E169" s="32" t="str">
        <x:v>EC2 instance store</x:v>
      </x:c>
      <x:c r="F169" s="32" t="str">
        <x:v>Azure Local SSD / temporary disk</x:v>
      </x:c>
      <x:c r="G169" s="32" t="str">
        <x:v>Local SSD</x:v>
      </x:c>
      <x:c r="H169" s="32" t="str">
        <x:v>Close</x:v>
      </x:c>
      <x:c r="I169" s="32"/>
      <x:c r="J169" s="32" t="str">
        <x:v>https://docs.aws.amazon.com/whitepapers/latest/aws-overview/aws-services.html</x:v>
      </x:c>
      <x:c r="K169" s="32" t="str">
        <x:v>https://azure.microsoft.com/en-gb/products/</x:v>
      </x:c>
      <x:c r="L169" s="32" t="str">
        <x:v>https://docs.cloud.google.com/docs/product-list</x:v>
      </x:c>
      <x:c r="M169" s="32" t="str">
        <x:v>2026-07-12</x:v>
      </x:c>
    </x:row>
    <x:row r="170">
      <x:c r="A170" s="32" t="str">
        <x:v>Storage</x:v>
      </x:c>
      <x:c r="B170" s="32" t="str">
        <x:v>File storage</x:v>
      </x:c>
      <x:c r="C170" s="32" t="str">
        <x:v>Managed network file storage</x:v>
      </x:c>
      <x:c r="D170" s="32" t="str">
        <x:v>Provide shared file systems for applications and user workloads.</x:v>
      </x:c>
      <x:c r="E170" s="32" t="str">
        <x:v>Amazon Elastic File System</x:v>
      </x:c>
      <x:c r="F170" s="32" t="str">
        <x:v>Azure Files</x:v>
      </x:c>
      <x:c r="G170" s="32" t="str">
        <x:v>Filestore</x:v>
      </x:c>
      <x:c r="H170" s="32" t="str">
        <x:v>Exact</x:v>
      </x:c>
      <x:c r="I170" s="32"/>
      <x:c r="J170" s="32" t="str">
        <x:v>https://docs.aws.amazon.com/whitepapers/latest/aws-overview/aws-services.html</x:v>
      </x:c>
      <x:c r="K170" s="32" t="str">
        <x:v>https://azure.microsoft.com/en-gb/products/</x:v>
      </x:c>
      <x:c r="L170" s="32" t="str">
        <x:v>https://docs.cloud.google.com/docs/product-list</x:v>
      </x:c>
      <x:c r="M170" s="32" t="str">
        <x:v>2026-07-12</x:v>
      </x:c>
    </x:row>
    <x:row r="171">
      <x:c r="A171" s="32" t="str">
        <x:v>Storage</x:v>
      </x:c>
      <x:c r="B171" s="32" t="str">
        <x:v>Enterprise file storage</x:v>
      </x:c>
      <x:c r="C171" s="32" t="str">
        <x:v>Managed enterprise NAS</x:v>
      </x:c>
      <x:c r="D171" s="32" t="str">
        <x:v>Provide enterprise file protocols, snapshots and data-management features.</x:v>
      </x:c>
      <x:c r="E171" s="32" t="str">
        <x:v>Amazon FSx for NetApp ONTAP</x:v>
      </x:c>
      <x:c r="F171" s="32" t="str">
        <x:v>Azure NetApp Files</x:v>
      </x:c>
      <x:c r="G171" s="32" t="str">
        <x:v>NetApp Volumes</x:v>
      </x:c>
      <x:c r="H171" s="32" t="str">
        <x:v>Exact</x:v>
      </x:c>
      <x:c r="I171" s="32"/>
      <x:c r="J171" s="32" t="str">
        <x:v>https://docs.aws.amazon.com/whitepapers/latest/aws-overview/aws-services.html</x:v>
      </x:c>
      <x:c r="K171" s="32" t="str">
        <x:v>https://azure.microsoft.com/en-gb/products/</x:v>
      </x:c>
      <x:c r="L171" s="32" t="str">
        <x:v>https://docs.cloud.google.com/docs/product-list</x:v>
      </x:c>
      <x:c r="M171" s="32" t="str">
        <x:v>2026-07-12</x:v>
      </x:c>
    </x:row>
    <x:row r="172">
      <x:c r="A172" s="32" t="str">
        <x:v>Storage</x:v>
      </x:c>
      <x:c r="B172" s="32" t="str">
        <x:v>High-performance file</x:v>
      </x:c>
      <x:c r="C172" s="32" t="str">
        <x:v>High-performance parallel file system</x:v>
      </x:c>
      <x:c r="D172" s="32" t="str">
        <x:v>Provide low-latency, high-throughput parallel file storage for HPC and AI.</x:v>
      </x:c>
      <x:c r="E172" s="32" t="str">
        <x:v>Amazon FSx for Lustre</x:v>
      </x:c>
      <x:c r="F172" s="32" t="str">
        <x:v>Azure Managed Lustre</x:v>
      </x:c>
      <x:c r="G172" s="32" t="str">
        <x:v>Managed Lustre</x:v>
      </x:c>
      <x:c r="H172" s="32" t="str">
        <x:v>Exact</x:v>
      </x:c>
      <x:c r="I172" s="32"/>
      <x:c r="J172" s="32" t="str">
        <x:v>https://docs.aws.amazon.com/whitepapers/latest/aws-overview/aws-services.html</x:v>
      </x:c>
      <x:c r="K172" s="32" t="str">
        <x:v>https://azure.microsoft.com/en-gb/products/</x:v>
      </x:c>
      <x:c r="L172" s="32" t="str">
        <x:v>https://docs.cloud.google.com/docs/product-list</x:v>
      </x:c>
      <x:c r="M172" s="32" t="str">
        <x:v>2026-07-12</x:v>
      </x:c>
    </x:row>
    <x:row r="173">
      <x:c r="A173" s="32" t="str">
        <x:v>Storage</x:v>
      </x:c>
      <x:c r="B173" s="32" t="str">
        <x:v>Windows file</x:v>
      </x:c>
      <x:c r="C173" s="32" t="str">
        <x:v>Managed Windows file server</x:v>
      </x:c>
      <x:c r="D173" s="32" t="str">
        <x:v>Provide managed SMB file shares integrated with Windows environments.</x:v>
      </x:c>
      <x:c r="E173" s="32" t="str">
        <x:v>Amazon FSx for Windows File Server</x:v>
      </x:c>
      <x:c r="F173" s="32" t="str">
        <x:v>Azure Files</x:v>
      </x:c>
      <x:c r="G173" s="32" t="str">
        <x:v>Filestore Enterprise / partner solutions</x:v>
      </x:c>
      <x:c r="H173" s="32" t="str">
        <x:v>Close</x:v>
      </x:c>
      <x:c r="I173" s="32"/>
      <x:c r="J173" s="32" t="str">
        <x:v>https://docs.aws.amazon.com/whitepapers/latest/aws-overview/aws-services.html</x:v>
      </x:c>
      <x:c r="K173" s="32" t="str">
        <x:v>https://azure.microsoft.com/en-gb/products/</x:v>
      </x:c>
      <x:c r="L173" s="32" t="str">
        <x:v>https://docs.cloud.google.com/docs/product-list</x:v>
      </x:c>
      <x:c r="M173" s="32" t="str">
        <x:v>2026-07-12</x:v>
      </x:c>
    </x:row>
    <x:row r="174">
      <x:c r="A174" s="32" t="str">
        <x:v>Storage</x:v>
      </x:c>
      <x:c r="B174" s="32" t="str">
        <x:v>Hybrid storage</x:v>
      </x:c>
      <x:c r="C174" s="32" t="str">
        <x:v>Hybrid storage gateway</x:v>
      </x:c>
      <x:c r="D174" s="32" t="str">
        <x:v>Connect on-premises applications to cloud storage through local protocols and caching.</x:v>
      </x:c>
      <x:c r="E174" s="32" t="str">
        <x:v>AWS Storage Gateway</x:v>
      </x:c>
      <x:c r="F174" s="32" t="str">
        <x:v>Azure File Sync
Azure Stack Edge</x:v>
      </x:c>
      <x:c r="G174" s="32" t="str">
        <x:v>Storage Transfer Service agents
Google Distributed Cloud</x:v>
      </x:c>
      <x:c r="H174" s="32" t="str">
        <x:v>Partial</x:v>
      </x:c>
      <x:c r="I174" s="32"/>
      <x:c r="J174" s="32" t="str">
        <x:v>https://docs.aws.amazon.com/whitepapers/latest/aws-overview/aws-services.html</x:v>
      </x:c>
      <x:c r="K174" s="32" t="str">
        <x:v>https://azure.microsoft.com/en-gb/products/</x:v>
      </x:c>
      <x:c r="L174" s="32" t="str">
        <x:v>https://docs.cloud.google.com/docs/product-list</x:v>
      </x:c>
      <x:c r="M174" s="32" t="str">
        <x:v>2026-07-12</x:v>
      </x:c>
    </x:row>
    <x:row r="175">
      <x:c r="A175" s="32" t="str">
        <x:v>Storage</x:v>
      </x:c>
      <x:c r="B175" s="32" t="str">
        <x:v>Backup</x:v>
      </x:c>
      <x:c r="C175" s="32" t="str">
        <x:v>Central cloud backup</x:v>
      </x:c>
      <x:c r="D175" s="32" t="str">
        <x:v>Protect cloud and hybrid workloads through centrally managed backup policies.</x:v>
      </x:c>
      <x:c r="E175" s="32" t="str">
        <x:v>AWS Backup</x:v>
      </x:c>
      <x:c r="F175" s="32" t="str">
        <x:v>Azure Backup</x:v>
      </x:c>
      <x:c r="G175" s="32" t="str">
        <x:v>Backup and DR Service</x:v>
      </x:c>
      <x:c r="H175" s="32" t="str">
        <x:v>Exact</x:v>
      </x:c>
      <x:c r="I175" s="32"/>
      <x:c r="J175" s="32" t="str">
        <x:v>https://docs.aws.amazon.com/whitepapers/latest/aws-overview/aws-services.html</x:v>
      </x:c>
      <x:c r="K175" s="32" t="str">
        <x:v>https://azure.microsoft.com/en-gb/products/</x:v>
      </x:c>
      <x:c r="L175" s="32" t="str">
        <x:v>https://docs.cloud.google.com/docs/product-list</x:v>
      </x:c>
      <x:c r="M175" s="32" t="str">
        <x:v>2026-07-12</x:v>
      </x:c>
    </x:row>
    <x:row r="176">
      <x:c r="A176" s="32" t="str">
        <x:v>Storage</x:v>
      </x:c>
      <x:c r="B176" s="32" t="str">
        <x:v>Disaster recovery</x:v>
      </x:c>
      <x:c r="C176" s="32" t="str">
        <x:v>Managed disaster recovery</x:v>
      </x:c>
      <x:c r="D176" s="32" t="str">
        <x:v>Replicate and recover workloads to meet recovery objectives.</x:v>
      </x:c>
      <x:c r="E176" s="32" t="str">
        <x:v>AWS Elastic Disaster Recovery</x:v>
      </x:c>
      <x:c r="F176" s="32" t="str">
        <x:v>Azure Site Recovery</x:v>
      </x:c>
      <x:c r="G176" s="32" t="str">
        <x:v>Backup and DR Service</x:v>
      </x:c>
      <x:c r="H176" s="32" t="str">
        <x:v>Close</x:v>
      </x:c>
      <x:c r="I176" s="32"/>
      <x:c r="J176" s="32" t="str">
        <x:v>https://docs.aws.amazon.com/whitepapers/latest/aws-overview/aws-services.html</x:v>
      </x:c>
      <x:c r="K176" s="32" t="str">
        <x:v>https://azure.microsoft.com/en-gb/products/</x:v>
      </x:c>
      <x:c r="L176" s="32" t="str">
        <x:v>https://docs.cloud.google.com/docs/product-list</x:v>
      </x:c>
      <x:c r="M176" s="32" t="str">
        <x:v>2026-07-12</x:v>
      </x:c>
    </x:row>
    <x:row r="177">
      <x:c r="A177" s="32" t="str">
        <x:v>Storage</x:v>
      </x:c>
      <x:c r="B177" s="32" t="str">
        <x:v>Data transfer</x:v>
      </x:c>
      <x:c r="C177" s="32" t="str">
        <x:v>Online data transfer</x:v>
      </x:c>
      <x:c r="D177" s="32" t="str">
        <x:v>Transfer large datasets between on-premises systems, clouds and cloud storage.</x:v>
      </x:c>
      <x:c r="E177" s="32" t="str">
        <x:v>AWS DataSync
AWS Transfer Family</x:v>
      </x:c>
      <x:c r="F177" s="32" t="str">
        <x:v>Azure Storage Mover
Azure Data Factory</x:v>
      </x:c>
      <x:c r="G177" s="32" t="str">
        <x:v>Storage Transfer Service
Data Transfer Essentials</x:v>
      </x:c>
      <x:c r="H177" s="32" t="str">
        <x:v>Close</x:v>
      </x:c>
      <x:c r="I177" s="32"/>
      <x:c r="J177" s="32" t="str">
        <x:v>https://docs.aws.amazon.com/whitepapers/latest/aws-overview/aws-services.html</x:v>
      </x:c>
      <x:c r="K177" s="32" t="str">
        <x:v>https://azure.microsoft.com/en-gb/products/</x:v>
      </x:c>
      <x:c r="L177" s="32" t="str">
        <x:v>https://docs.cloud.google.com/docs/product-list</x:v>
      </x:c>
      <x:c r="M177" s="32" t="str">
        <x:v>2026-07-12</x:v>
      </x:c>
    </x:row>
    <x:row r="178">
      <x:c r="A178" s="32" t="str">
        <x:v>Storage</x:v>
      </x:c>
      <x:c r="B178" s="32" t="str">
        <x:v>Transfer appliance</x:v>
      </x:c>
      <x:c r="C178" s="32" t="str">
        <x:v>Offline data transfer appliance</x:v>
      </x:c>
      <x:c r="D178" s="32" t="str">
        <x:v>Move large datasets using provider-shipped physical storage appliances.</x:v>
      </x:c>
      <x:c r="E178" s="32" t="str">
        <x:v>AWS Snow Family</x:v>
      </x:c>
      <x:c r="F178" s="32" t="str">
        <x:v>Azure Data Box</x:v>
      </x:c>
      <x:c r="G178" s="32" t="str">
        <x:v>Transfer Appliance</x:v>
      </x:c>
      <x:c r="H178" s="32" t="str">
        <x:v>Exact</x:v>
      </x:c>
      <x:c r="I178" s="32"/>
      <x:c r="J178" s="32" t="str">
        <x:v>https://docs.aws.amazon.com/whitepapers/latest/aws-overview/aws-services.html</x:v>
      </x:c>
      <x:c r="K178" s="32" t="str">
        <x:v>https://azure.microsoft.com/en-gb/products/</x:v>
      </x:c>
      <x:c r="L178" s="32" t="str">
        <x:v>https://docs.cloud.google.com/docs/product-list</x:v>
      </x:c>
      <x:c r="M178" s="32" t="str">
        <x:v>2026-07-12</x:v>
      </x:c>
    </x:row>
    <x:row r="179">
      <x:c r="A179" s="32" t="str">
        <x:v>Storage</x:v>
      </x:c>
      <x:c r="B179" s="32" t="str">
        <x:v>Storage management</x:v>
      </x:c>
      <x:c r="C179" s="32" t="str">
        <x:v>Storage resource management</x:v>
      </x:c>
      <x:c r="D179" s="32" t="str">
        <x:v>Discover, assess and automate actions across cloud storage resources.</x:v>
      </x:c>
      <x:c r="E179" s="32" t="str">
        <x:v>Amazon S3 Storage Lens
AWS DataSync Discovery</x:v>
      </x:c>
      <x:c r="F179" s="32" t="str">
        <x:v>Azure Storage Actions
Azure Storage Discovery</x:v>
      </x:c>
      <x:c r="G179" s="32" t="str">
        <x:v>Storage Insights / Cloud Asset Inventory</x:v>
      </x:c>
      <x:c r="H179" s="32" t="str">
        <x:v>Partial</x:v>
      </x:c>
      <x:c r="I179" s="32"/>
      <x:c r="J179" s="32" t="str">
        <x:v>https://docs.aws.amazon.com/whitepapers/latest/aws-overview/aws-services.html</x:v>
      </x:c>
      <x:c r="K179" s="32" t="str">
        <x:v>https://azure.microsoft.com/en-gb/products/</x:v>
      </x:c>
      <x:c r="L179" s="32" t="str">
        <x:v>https://docs.cloud.google.com/docs/product-list</x:v>
      </x:c>
      <x:c r="M179" s="32" t="str">
        <x:v>2026-07-12</x:v>
      </x:c>
    </x:row>
    <x:row r="180">
      <x:c r="A180" s="32" t="str">
        <x:v>Storage</x:v>
      </x:c>
      <x:c r="B180" s="32" t="str">
        <x:v>Elastic SAN</x:v>
      </x:c>
      <x:c r="C180" s="32" t="str">
        <x:v>Managed cloud SAN</x:v>
      </x:c>
      <x:c r="D180" s="32" t="str">
        <x:v>Provide centrally provisioned block storage through SAN-style constructs.</x:v>
      </x:c>
      <x:c r="E180" s="32" t="str">
        <x:v>Amazon EBS / FSx</x:v>
      </x:c>
      <x:c r="F180" s="32" t="str">
        <x:v>Azure Elastic SAN</x:v>
      </x:c>
      <x:c r="G180" s="32" t="str">
        <x:v>Hyperdisk Storage Pools</x:v>
      </x:c>
      <x:c r="H180" s="32" t="str">
        <x:v>Partial</x:v>
      </x:c>
      <x:c r="I180" s="32"/>
      <x:c r="J180" s="32" t="str">
        <x:v>https://docs.aws.amazon.com/whitepapers/latest/aws-overview/aws-services.html</x:v>
      </x:c>
      <x:c r="K180" s="32" t="str">
        <x:v>https://azure.microsoft.com/en-gb/products/</x:v>
      </x:c>
      <x:c r="L180" s="32" t="str">
        <x:v>https://docs.cloud.google.com/docs/product-list</x:v>
      </x:c>
      <x:c r="M180" s="32" t="str">
        <x:v>2026-07-12</x:v>
      </x:c>
    </x:row>
    <x:row r="181">
      <x:c r="A181" s="32" t="str">
        <x:v>Data, Analytics &amp; BI</x:v>
      </x:c>
      <x:c r="B181" s="32" t="str">
        <x:v>Data warehouse</x:v>
      </x:c>
      <x:c r="C181" s="32" t="str">
        <x:v>Cloud data warehouse</x:v>
      </x:c>
      <x:c r="D181" s="32" t="str">
        <x:v>Run scalable analytical SQL workloads over structured and semi-structured data.</x:v>
      </x:c>
      <x:c r="E181" s="32" t="str">
        <x:v>Amazon Redshift
Amazon Redshift Serverless</x:v>
      </x:c>
      <x:c r="F181" s="32" t="str">
        <x:v>Azure Synapse Analytics
Microsoft Fabric Warehouse</x:v>
      </x:c>
      <x:c r="G181" s="32" t="str">
        <x:v>BigQuery</x:v>
      </x:c>
      <x:c r="H181" s="32" t="str">
        <x:v>Close</x:v>
      </x:c>
      <x:c r="I181" s="32"/>
      <x:c r="J181" s="32" t="str">
        <x:v>https://docs.aws.amazon.com/whitepapers/latest/aws-overview/aws-services.html</x:v>
      </x:c>
      <x:c r="K181" s="32" t="str">
        <x:v>https://azure.microsoft.com/en-gb/products/</x:v>
      </x:c>
      <x:c r="L181" s="32" t="str">
        <x:v>https://docs.cloud.google.com/docs/product-list</x:v>
      </x:c>
      <x:c r="M181" s="32" t="str">
        <x:v>2026-07-12</x:v>
      </x:c>
    </x:row>
    <x:row r="182">
      <x:c r="A182" s="32" t="str">
        <x:v>Data, Analytics &amp; BI</x:v>
      </x:c>
      <x:c r="B182" s="32" t="str">
        <x:v>Lakehouse</x:v>
      </x:c>
      <x:c r="C182" s="32" t="str">
        <x:v>Lakehouse platform</x:v>
      </x:c>
      <x:c r="D182" s="32" t="str">
        <x:v>Combine data-lake flexibility with warehouse governance and analytics.</x:v>
      </x:c>
      <x:c r="E182" s="32" t="str">
        <x:v>Amazon S3
AWS Lake Formation
Amazon Redshift
AWS Glue</x:v>
      </x:c>
      <x:c r="F182" s="32" t="str">
        <x:v>Microsoft Fabric
Azure Databricks
Azure Data Lake Storage</x:v>
      </x:c>
      <x:c r="G182" s="32" t="str">
        <x:v>BigQuery Lakehouse
Lakehouse</x:v>
      </x:c>
      <x:c r="H182" s="32" t="str">
        <x:v>Close</x:v>
      </x:c>
      <x:c r="I182" s="32"/>
      <x:c r="J182" s="32" t="str">
        <x:v>https://docs.aws.amazon.com/whitepapers/latest/aws-overview/aws-services.html</x:v>
      </x:c>
      <x:c r="K182" s="32" t="str">
        <x:v>https://azure.microsoft.com/en-gb/products/</x:v>
      </x:c>
      <x:c r="L182" s="32" t="str">
        <x:v>https://docs.cloud.google.com/docs/product-list</x:v>
      </x:c>
      <x:c r="M182" s="32" t="str">
        <x:v>2026-07-12</x:v>
      </x:c>
    </x:row>
    <x:row r="183">
      <x:c r="A183" s="32" t="str">
        <x:v>Data, Analytics &amp; BI</x:v>
      </x:c>
      <x:c r="B183" s="32" t="str">
        <x:v>Data lake</x:v>
      </x:c>
      <x:c r="C183" s="32" t="str">
        <x:v>Cloud data lake storage</x:v>
      </x:c>
      <x:c r="D183" s="32" t="str">
        <x:v>Store raw and curated data centrally for analytics, ML and governance.</x:v>
      </x:c>
      <x:c r="E183" s="32" t="str">
        <x:v>Amazon S3
AWS Lake Formation</x:v>
      </x:c>
      <x:c r="F183" s="32" t="str">
        <x:v>Azure Data Lake Storage</x:v>
      </x:c>
      <x:c r="G183" s="32" t="str">
        <x:v>Cloud Storage
BigLake</x:v>
      </x:c>
      <x:c r="H183" s="32" t="str">
        <x:v>Close</x:v>
      </x:c>
      <x:c r="I183" s="32"/>
      <x:c r="J183" s="32" t="str">
        <x:v>https://docs.aws.amazon.com/whitepapers/latest/aws-overview/aws-services.html</x:v>
      </x:c>
      <x:c r="K183" s="32" t="str">
        <x:v>https://azure.microsoft.com/en-gb/products/</x:v>
      </x:c>
      <x:c r="L183" s="32" t="str">
        <x:v>https://docs.cloud.google.com/docs/product-list</x:v>
      </x:c>
      <x:c r="M183" s="32" t="str">
        <x:v>2026-07-12</x:v>
      </x:c>
    </x:row>
    <x:row r="184">
      <x:c r="A184" s="32" t="str">
        <x:v>Data, Analytics &amp; BI</x:v>
      </x:c>
      <x:c r="B184" s="32" t="str">
        <x:v>Serverless SQL</x:v>
      </x:c>
      <x:c r="C184" s="32" t="str">
        <x:v>Serverless query over data lake</x:v>
      </x:c>
      <x:c r="D184" s="32" t="str">
        <x:v>Query files in object storage using SQL without managing database servers.</x:v>
      </x:c>
      <x:c r="E184" s="32" t="str">
        <x:v>Amazon Athena</x:v>
      </x:c>
      <x:c r="F184" s="32" t="str">
        <x:v>Azure Synapse serverless SQL
Microsoft Fabric</x:v>
      </x:c>
      <x:c r="G184" s="32" t="str">
        <x:v>BigQuery external tables
BigLake</x:v>
      </x:c>
      <x:c r="H184" s="32" t="str">
        <x:v>Close</x:v>
      </x:c>
      <x:c r="I184" s="32"/>
      <x:c r="J184" s="32" t="str">
        <x:v>https://docs.aws.amazon.com/whitepapers/latest/aws-overview/aws-services.html</x:v>
      </x:c>
      <x:c r="K184" s="32" t="str">
        <x:v>https://azure.microsoft.com/en-gb/products/</x:v>
      </x:c>
      <x:c r="L184" s="32" t="str">
        <x:v>https://docs.cloud.google.com/docs/product-list</x:v>
      </x:c>
      <x:c r="M184" s="32" t="str">
        <x:v>2026-07-12</x:v>
      </x:c>
    </x:row>
    <x:row r="185">
      <x:c r="A185" s="32" t="str">
        <x:v>Data, Analytics &amp; BI</x:v>
      </x:c>
      <x:c r="B185" s="32" t="str">
        <x:v>Big data</x:v>
      </x:c>
      <x:c r="C185" s="32" t="str">
        <x:v>Managed Spark and Hadoop</x:v>
      </x:c>
      <x:c r="D185" s="32" t="str">
        <x:v>Run managed open-source big-data processing frameworks.</x:v>
      </x:c>
      <x:c r="E185" s="32" t="str">
        <x:v>Amazon EMR</x:v>
      </x:c>
      <x:c r="F185" s="32" t="str">
        <x:v>Azure HDInsight
Azure Databricks</x:v>
      </x:c>
      <x:c r="G185" s="32" t="str">
        <x:v>Managed Service for Apache Spark
Dataproc</x:v>
      </x:c>
      <x:c r="H185" s="32" t="str">
        <x:v>Close</x:v>
      </x:c>
      <x:c r="I185" s="32"/>
      <x:c r="J185" s="32" t="str">
        <x:v>https://docs.aws.amazon.com/whitepapers/latest/aws-overview/aws-services.html</x:v>
      </x:c>
      <x:c r="K185" s="32" t="str">
        <x:v>https://azure.microsoft.com/en-gb/products/</x:v>
      </x:c>
      <x:c r="L185" s="32" t="str">
        <x:v>https://docs.cloud.google.com/docs/product-list</x:v>
      </x:c>
      <x:c r="M185" s="32" t="str">
        <x:v>2026-07-12</x:v>
      </x:c>
    </x:row>
    <x:row r="186">
      <x:c r="A186" s="32" t="str">
        <x:v>Data, Analytics &amp; BI</x:v>
      </x:c>
      <x:c r="B186" s="32" t="str">
        <x:v>Streaming ingestion</x:v>
      </x:c>
      <x:c r="C186" s="32" t="str">
        <x:v>Streaming event ingestion</x:v>
      </x:c>
      <x:c r="D186" s="32" t="str">
        <x:v>Ingest high-volume event streams for near-real-time processing.</x:v>
      </x:c>
      <x:c r="E186" s="32" t="str">
        <x:v>Amazon Kinesis Data Streams
Amazon Data Firehose</x:v>
      </x:c>
      <x:c r="F186" s="32" t="str">
        <x:v>Azure Event Hubs</x:v>
      </x:c>
      <x:c r="G186" s="32" t="str">
        <x:v>Pub/Sub
Managed Service for Apache Kafka</x:v>
      </x:c>
      <x:c r="H186" s="32" t="str">
        <x:v>Close</x:v>
      </x:c>
      <x:c r="I186" s="32"/>
      <x:c r="J186" s="32" t="str">
        <x:v>https://docs.aws.amazon.com/whitepapers/latest/aws-overview/aws-services.html</x:v>
      </x:c>
      <x:c r="K186" s="32" t="str">
        <x:v>https://azure.microsoft.com/en-gb/products/</x:v>
      </x:c>
      <x:c r="L186" s="32" t="str">
        <x:v>https://docs.cloud.google.com/docs/product-list</x:v>
      </x:c>
      <x:c r="M186" s="32" t="str">
        <x:v>2026-07-12</x:v>
      </x:c>
    </x:row>
    <x:row r="187">
      <x:c r="A187" s="32" t="str">
        <x:v>Data, Analytics &amp; BI</x:v>
      </x:c>
      <x:c r="B187" s="32" t="str">
        <x:v>Stream processing</x:v>
      </x:c>
      <x:c r="C187" s="32" t="str">
        <x:v>Managed stream processing</x:v>
      </x:c>
      <x:c r="D187" s="32" t="str">
        <x:v>Process and transform continuously arriving data with low latency.</x:v>
      </x:c>
      <x:c r="E187" s="32" t="str">
        <x:v>Amazon Managed Service for Apache Flink
Amazon Kinesis Data Analytics</x:v>
      </x:c>
      <x:c r="F187" s="32" t="str">
        <x:v>Azure Stream Analytics
Azure Databricks Structured Streaming</x:v>
      </x:c>
      <x:c r="G187" s="32" t="str">
        <x:v>Dataflow</x:v>
      </x:c>
      <x:c r="H187" s="32" t="str">
        <x:v>Close</x:v>
      </x:c>
      <x:c r="I187" s="32"/>
      <x:c r="J187" s="32" t="str">
        <x:v>https://docs.aws.amazon.com/whitepapers/latest/aws-overview/aws-services.html</x:v>
      </x:c>
      <x:c r="K187" s="32" t="str">
        <x:v>https://azure.microsoft.com/en-gb/products/</x:v>
      </x:c>
      <x:c r="L187" s="32" t="str">
        <x:v>https://docs.cloud.google.com/docs/product-list</x:v>
      </x:c>
      <x:c r="M187" s="32" t="str">
        <x:v>2026-07-12</x:v>
      </x:c>
    </x:row>
    <x:row r="188">
      <x:c r="A188" s="32" t="str">
        <x:v>Data, Analytics &amp; BI</x:v>
      </x:c>
      <x:c r="B188" s="32" t="str">
        <x:v>Kafka</x:v>
      </x:c>
      <x:c r="C188" s="32" t="str">
        <x:v>Managed Apache Kafka</x:v>
      </x:c>
      <x:c r="D188" s="32" t="str">
        <x:v>Operate Apache Kafka clusters as a managed service.</x:v>
      </x:c>
      <x:c r="E188" s="32" t="str">
        <x:v>Amazon Managed Streaming for Apache Kafka</x:v>
      </x:c>
      <x:c r="F188" s="32" t="str">
        <x:v>Azure Event Hubs Kafka endpoint
Confluent Cloud on Azure</x:v>
      </x:c>
      <x:c r="G188" s="32" t="str">
        <x:v>Managed Service for Apache Kafka</x:v>
      </x:c>
      <x:c r="H188" s="32" t="str">
        <x:v>Close</x:v>
      </x:c>
      <x:c r="I188" s="32"/>
      <x:c r="J188" s="32" t="str">
        <x:v>https://docs.aws.amazon.com/whitepapers/latest/aws-overview/aws-services.html</x:v>
      </x:c>
      <x:c r="K188" s="32" t="str">
        <x:v>https://azure.microsoft.com/en-gb/products/</x:v>
      </x:c>
      <x:c r="L188" s="32" t="str">
        <x:v>https://docs.cloud.google.com/docs/product-list</x:v>
      </x:c>
      <x:c r="M188" s="32" t="str">
        <x:v>2026-07-12</x:v>
      </x:c>
    </x:row>
    <x:row r="189">
      <x:c r="A189" s="32" t="str">
        <x:v>Data, Analytics &amp; BI</x:v>
      </x:c>
      <x:c r="B189" s="32" t="str">
        <x:v>ETL and integration</x:v>
      </x:c>
      <x:c r="C189" s="32" t="str">
        <x:v>Managed ETL and data integration</x:v>
      </x:c>
      <x:c r="D189" s="32" t="str">
        <x:v>Discover, prepare, transform and move data between systems.</x:v>
      </x:c>
      <x:c r="E189" s="32" t="str">
        <x:v>AWS Glue</x:v>
      </x:c>
      <x:c r="F189" s="32" t="str">
        <x:v>Azure Data Factory
Microsoft Fabric Data Factory</x:v>
      </x:c>
      <x:c r="G189" s="32" t="str">
        <x:v>Cloud Data Fusion
Dataflow</x:v>
      </x:c>
      <x:c r="H189" s="32" t="str">
        <x:v>Close</x:v>
      </x:c>
      <x:c r="I189" s="32"/>
      <x:c r="J189" s="32" t="str">
        <x:v>https://docs.aws.amazon.com/whitepapers/latest/aws-overview/aws-services.html</x:v>
      </x:c>
      <x:c r="K189" s="32" t="str">
        <x:v>https://azure.microsoft.com/en-gb/products/</x:v>
      </x:c>
      <x:c r="L189" s="32" t="str">
        <x:v>https://docs.cloud.google.com/docs/product-list</x:v>
      </x:c>
      <x:c r="M189" s="32" t="str">
        <x:v>2026-07-12</x:v>
      </x:c>
    </x:row>
    <x:row r="190">
      <x:c r="A190" s="32" t="str">
        <x:v>Data, Analytics &amp; BI</x:v>
      </x:c>
      <x:c r="B190" s="32" t="str">
        <x:v>ELT</x:v>
      </x:c>
      <x:c r="C190" s="32" t="str">
        <x:v>SQL transformation and modelling</x:v>
      </x:c>
      <x:c r="D190" s="32" t="str">
        <x:v>Transform warehouse data through managed SQL development and dependency workflows.</x:v>
      </x:c>
      <x:c r="E190" s="32" t="str">
        <x:v>AWS Glue DataBrew
Amazon Redshift SQL</x:v>
      </x:c>
      <x:c r="F190" s="32" t="str">
        <x:v>Microsoft Fabric Data Factory
dbt integrations</x:v>
      </x:c>
      <x:c r="G190" s="32" t="str">
        <x:v>Dataform</x:v>
      </x:c>
      <x:c r="H190" s="32" t="str">
        <x:v>Close</x:v>
      </x:c>
      <x:c r="I190" s="32"/>
      <x:c r="J190" s="32" t="str">
        <x:v>https://docs.aws.amazon.com/whitepapers/latest/aws-overview/aws-services.html</x:v>
      </x:c>
      <x:c r="K190" s="32" t="str">
        <x:v>https://azure.microsoft.com/en-gb/products/</x:v>
      </x:c>
      <x:c r="L190" s="32" t="str">
        <x:v>https://docs.cloud.google.com/docs/product-list</x:v>
      </x:c>
      <x:c r="M190" s="32" t="str">
        <x:v>2026-07-12</x:v>
      </x:c>
    </x:row>
    <x:row r="191">
      <x:c r="A191" s="32" t="str">
        <x:v>Data, Analytics &amp; BI</x:v>
      </x:c>
      <x:c r="B191" s="32" t="str">
        <x:v>Data orchestration</x:v>
      </x:c>
      <x:c r="C191" s="32" t="str">
        <x:v>Data workflow orchestration</x:v>
      </x:c>
      <x:c r="D191" s="32" t="str">
        <x:v>Schedule and orchestrate dependent data pipelines and processing tasks.</x:v>
      </x:c>
      <x:c r="E191" s="32" t="str">
        <x:v>Amazon Managed Workflows for Apache Airflow
AWS Step Functions</x:v>
      </x:c>
      <x:c r="F191" s="32" t="str">
        <x:v>Azure Data Factory
Microsoft Fabric</x:v>
      </x:c>
      <x:c r="G191" s="32" t="str">
        <x:v>Managed Service for Apache Airflow
Orchestration Pipelines</x:v>
      </x:c>
      <x:c r="H191" s="32" t="str">
        <x:v>Close</x:v>
      </x:c>
      <x:c r="I191" s="32"/>
      <x:c r="J191" s="32" t="str">
        <x:v>https://docs.aws.amazon.com/whitepapers/latest/aws-overview/aws-services.html</x:v>
      </x:c>
      <x:c r="K191" s="32" t="str">
        <x:v>https://azure.microsoft.com/en-gb/products/</x:v>
      </x:c>
      <x:c r="L191" s="32" t="str">
        <x:v>https://docs.cloud.google.com/docs/product-list</x:v>
      </x:c>
      <x:c r="M191" s="32" t="str">
        <x:v>2026-07-12</x:v>
      </x:c>
    </x:row>
    <x:row r="192">
      <x:c r="A192" s="32" t="str">
        <x:v>Data, Analytics &amp; BI</x:v>
      </x:c>
      <x:c r="B192" s="32" t="str">
        <x:v>Data replication</x:v>
      </x:c>
      <x:c r="C192" s="32" t="str">
        <x:v>Change data capture and replication</x:v>
      </x:c>
      <x:c r="D192" s="32" t="str">
        <x:v>Continuously replicate database changes into analytical or operational targets.</x:v>
      </x:c>
      <x:c r="E192" s="32" t="str">
        <x:v>AWS Database Migration Service
Amazon Data Firehose</x:v>
      </x:c>
      <x:c r="F192" s="32" t="str">
        <x:v>Azure Data Factory
Azure Database Migration Service</x:v>
      </x:c>
      <x:c r="G192" s="32" t="str">
        <x:v>Datastream</x:v>
      </x:c>
      <x:c r="H192" s="32" t="str">
        <x:v>Close</x:v>
      </x:c>
      <x:c r="I192" s="32"/>
      <x:c r="J192" s="32" t="str">
        <x:v>https://docs.aws.amazon.com/whitepapers/latest/aws-overview/aws-services.html</x:v>
      </x:c>
      <x:c r="K192" s="32" t="str">
        <x:v>https://azure.microsoft.com/en-gb/products/</x:v>
      </x:c>
      <x:c r="L192" s="32" t="str">
        <x:v>https://docs.cloud.google.com/docs/product-list</x:v>
      </x:c>
      <x:c r="M192" s="32" t="str">
        <x:v>2026-07-12</x:v>
      </x:c>
    </x:row>
    <x:row r="193">
      <x:c r="A193" s="32" t="str">
        <x:v>Data, Analytics &amp; BI</x:v>
      </x:c>
      <x:c r="B193" s="32" t="str">
        <x:v>Data catalogue</x:v>
      </x:c>
      <x:c r="C193" s="32" t="str">
        <x:v>Data catalogue and metadata</x:v>
      </x:c>
      <x:c r="D193" s="32" t="str">
        <x:v>Discover, classify and understand data assets through searchable metadata.</x:v>
      </x:c>
      <x:c r="E193" s="32" t="str">
        <x:v>AWS Glue Data Catalog
Amazon DataZone</x:v>
      </x:c>
      <x:c r="F193" s="32" t="str">
        <x:v>Microsoft Purview Data Map</x:v>
      </x:c>
      <x:c r="G193" s="32" t="str">
        <x:v>Dataplex Universal Catalog
Data Catalog
Knowledge Catalog</x:v>
      </x:c>
      <x:c r="H193" s="32" t="str">
        <x:v>Close</x:v>
      </x:c>
      <x:c r="I193" s="32"/>
      <x:c r="J193" s="32" t="str">
        <x:v>https://docs.aws.amazon.com/whitepapers/latest/aws-overview/aws-services.html</x:v>
      </x:c>
      <x:c r="K193" s="32" t="str">
        <x:v>https://azure.microsoft.com/en-gb/products/</x:v>
      </x:c>
      <x:c r="L193" s="32" t="str">
        <x:v>https://docs.cloud.google.com/docs/product-list</x:v>
      </x:c>
      <x:c r="M193" s="32" t="str">
        <x:v>2026-07-12</x:v>
      </x:c>
    </x:row>
    <x:row r="194">
      <x:c r="A194" s="32" t="str">
        <x:v>Data, Analytics &amp; BI</x:v>
      </x:c>
      <x:c r="B194" s="32" t="str">
        <x:v>Data governance</x:v>
      </x:c>
      <x:c r="C194" s="32" t="str">
        <x:v>Enterprise data governance</x:v>
      </x:c>
      <x:c r="D194" s="32" t="str">
        <x:v>Manage ownership, lineage, quality, access and policy across enterprise data.</x:v>
      </x:c>
      <x:c r="E194" s="32" t="str">
        <x:v>Amazon DataZone
AWS Lake Formation</x:v>
      </x:c>
      <x:c r="F194" s="32" t="str">
        <x:v>Microsoft Purview</x:v>
      </x:c>
      <x:c r="G194" s="32" t="str">
        <x:v>Dataplex Universal Catalog</x:v>
      </x:c>
      <x:c r="H194" s="32" t="str">
        <x:v>Close</x:v>
      </x:c>
      <x:c r="I194" s="32"/>
      <x:c r="J194" s="32" t="str">
        <x:v>https://docs.aws.amazon.com/whitepapers/latest/aws-overview/aws-services.html</x:v>
      </x:c>
      <x:c r="K194" s="32" t="str">
        <x:v>https://azure.microsoft.com/en-gb/products/</x:v>
      </x:c>
      <x:c r="L194" s="32" t="str">
        <x:v>https://docs.cloud.google.com/docs/product-list</x:v>
      </x:c>
      <x:c r="M194" s="32" t="str">
        <x:v>2026-07-12</x:v>
      </x:c>
    </x:row>
    <x:row r="195">
      <x:c r="A195" s="32" t="str">
        <x:v>Data, Analytics &amp; BI</x:v>
      </x:c>
      <x:c r="B195" s="32" t="str">
        <x:v>Data sharing</x:v>
      </x:c>
      <x:c r="C195" s="32" t="str">
        <x:v>Governed data sharing</x:v>
      </x:c>
      <x:c r="D195" s="32" t="str">
        <x:v>Share datasets with internal or external consumers under controlled access.</x:v>
      </x:c>
      <x:c r="E195" s="32" t="str">
        <x:v>AWS Data Exchange
AWS Lake Formation</x:v>
      </x:c>
      <x:c r="F195" s="32" t="str">
        <x:v>Azure Data Share
Microsoft Purview</x:v>
      </x:c>
      <x:c r="G195" s="32" t="str">
        <x:v>Analytics Hub
BigQuery sharing</x:v>
      </x:c>
      <x:c r="H195" s="32" t="str">
        <x:v>Close</x:v>
      </x:c>
      <x:c r="I195" s="32"/>
      <x:c r="J195" s="32" t="str">
        <x:v>https://docs.aws.amazon.com/whitepapers/latest/aws-overview/aws-services.html</x:v>
      </x:c>
      <x:c r="K195" s="32" t="str">
        <x:v>https://azure.microsoft.com/en-gb/products/</x:v>
      </x:c>
      <x:c r="L195" s="32" t="str">
        <x:v>https://docs.cloud.google.com/docs/product-list</x:v>
      </x:c>
      <x:c r="M195" s="32" t="str">
        <x:v>2026-07-12</x:v>
      </x:c>
    </x:row>
    <x:row r="196">
      <x:c r="A196" s="32" t="str">
        <x:v>Data, Analytics &amp; BI</x:v>
      </x:c>
      <x:c r="B196" s="32" t="str">
        <x:v>Clean rooms</x:v>
      </x:c>
      <x:c r="C196" s="32" t="str">
        <x:v>Data clean room</x:v>
      </x:c>
      <x:c r="D196" s="32" t="str">
        <x:v>Collaborate on data analysis without exposing underlying sensitive records.</x:v>
      </x:c>
      <x:c r="E196" s="32" t="str">
        <x:v>AWS Clean Rooms</x:v>
      </x:c>
      <x:c r="F196" s="32" t="str">
        <x:v>Azure Confidential Clean Rooms / partner solutions</x:v>
      </x:c>
      <x:c r="G196" s="32" t="str">
        <x:v>BigQuery data clean rooms</x:v>
      </x:c>
      <x:c r="H196" s="32" t="str">
        <x:v>Close</x:v>
      </x:c>
      <x:c r="I196" s="32"/>
      <x:c r="J196" s="32" t="str">
        <x:v>https://docs.aws.amazon.com/whitepapers/latest/aws-overview/aws-services.html</x:v>
      </x:c>
      <x:c r="K196" s="32" t="str">
        <x:v>https://azure.microsoft.com/en-gb/products/</x:v>
      </x:c>
      <x:c r="L196" s="32" t="str">
        <x:v>https://docs.cloud.google.com/docs/product-list</x:v>
      </x:c>
      <x:c r="M196" s="32" t="str">
        <x:v>2026-07-12</x:v>
      </x:c>
    </x:row>
    <x:row r="197">
      <x:c r="A197" s="32" t="str">
        <x:v>Data, Analytics &amp; BI</x:v>
      </x:c>
      <x:c r="B197" s="32" t="str">
        <x:v>Entity resolution</x:v>
      </x:c>
      <x:c r="C197" s="32" t="str">
        <x:v>Entity matching</x:v>
      </x:c>
      <x:c r="D197" s="32" t="str">
        <x:v>Match and link records that refer to the same real-world entity.</x:v>
      </x:c>
      <x:c r="E197" s="32" t="str">
        <x:v>AWS Entity Resolution</x:v>
      </x:c>
      <x:c r="F197" s="32" t="str">
        <x:v>Microsoft Fabric Data Factory / partner MDM</x:v>
      </x:c>
      <x:c r="G197" s="32" t="str">
        <x:v>BigQuery entity resolution patterns</x:v>
      </x:c>
      <x:c r="H197" s="32" t="str">
        <x:v>Partial</x:v>
      </x:c>
      <x:c r="I197" s="32"/>
      <x:c r="J197" s="32" t="str">
        <x:v>https://docs.aws.amazon.com/whitepapers/latest/aws-overview/aws-services.html</x:v>
      </x:c>
      <x:c r="K197" s="32" t="str">
        <x:v>https://azure.microsoft.com/en-gb/products/</x:v>
      </x:c>
      <x:c r="L197" s="32" t="str">
        <x:v>https://docs.cloud.google.com/docs/product-list</x:v>
      </x:c>
      <x:c r="M197" s="32" t="str">
        <x:v>2026-07-12</x:v>
      </x:c>
    </x:row>
    <x:row r="198">
      <x:c r="A198" s="32" t="str">
        <x:v>Data, Analytics &amp; BI</x:v>
      </x:c>
      <x:c r="B198" s="32" t="str">
        <x:v>Business intelligence</x:v>
      </x:c>
      <x:c r="C198" s="32" t="str">
        <x:v>Business intelligence and dashboards</x:v>
      </x:c>
      <x:c r="D198" s="32" t="str">
        <x:v>Create interactive reports, dashboards and governed analytical experiences.</x:v>
      </x:c>
      <x:c r="E198" s="32" t="str">
        <x:v>Amazon Quick
Amazon QuickSight</x:v>
      </x:c>
      <x:c r="F198" s="32" t="str">
        <x:v>Power BI
Microsoft Fabric</x:v>
      </x:c>
      <x:c r="G198" s="32" t="str">
        <x:v>Looker
Looker Studio</x:v>
      </x:c>
      <x:c r="H198" s="32" t="str">
        <x:v>Close</x:v>
      </x:c>
      <x:c r="I198" s="32"/>
      <x:c r="J198" s="32" t="str">
        <x:v>https://docs.aws.amazon.com/whitepapers/latest/aws-overview/aws-services.html</x:v>
      </x:c>
      <x:c r="K198" s="32" t="str">
        <x:v>https://azure.microsoft.com/en-gb/products/</x:v>
      </x:c>
      <x:c r="L198" s="32" t="str">
        <x:v>https://docs.cloud.google.com/docs/product-list</x:v>
      </x:c>
      <x:c r="M198" s="32" t="str">
        <x:v>2026-07-12</x:v>
      </x:c>
    </x:row>
    <x:row r="199">
      <x:c r="A199" s="32" t="str">
        <x:v>Data, Analytics &amp; BI</x:v>
      </x:c>
      <x:c r="B199" s="32" t="str">
        <x:v>Search analytics</x:v>
      </x:c>
      <x:c r="C199" s="32" t="str">
        <x:v>Managed search and log analytics</x:v>
      </x:c>
      <x:c r="D199" s="32" t="str">
        <x:v>Index, search and analyse operational or application data.</x:v>
      </x:c>
      <x:c r="E199" s="32" t="str">
        <x:v>Amazon OpenSearch Service
Amazon OpenSearch Serverless</x:v>
      </x:c>
      <x:c r="F199" s="32" t="str">
        <x:v>Azure Data Explorer
Azure AI Search</x:v>
      </x:c>
      <x:c r="G199" s="32" t="str">
        <x:v>BigQuery
Google Security Operations</x:v>
      </x:c>
      <x:c r="H199" s="32" t="str">
        <x:v>Partial</x:v>
      </x:c>
      <x:c r="I199" s="32"/>
      <x:c r="J199" s="32" t="str">
        <x:v>https://docs.aws.amazon.com/whitepapers/latest/aws-overview/aws-services.html</x:v>
      </x:c>
      <x:c r="K199" s="32" t="str">
        <x:v>https://azure.microsoft.com/en-gb/products/</x:v>
      </x:c>
      <x:c r="L199" s="32" t="str">
        <x:v>https://docs.cloud.google.com/docs/product-list</x:v>
      </x:c>
      <x:c r="M199" s="32" t="str">
        <x:v>2026-07-12</x:v>
      </x:c>
    </x:row>
    <x:row r="200">
      <x:c r="A200" s="32" t="str">
        <x:v>Data, Analytics &amp; BI</x:v>
      </x:c>
      <x:c r="B200" s="32" t="str">
        <x:v>Financial analytics</x:v>
      </x:c>
      <x:c r="C200" s="32" t="str">
        <x:v>Financial-services data analytics</x:v>
      </x:c>
      <x:c r="D200" s="32" t="str">
        <x:v>Store and analyse specialised capital-markets or financial datasets.</x:v>
      </x:c>
      <x:c r="E200" s="32" t="str">
        <x:v>Amazon FinSpace</x:v>
      </x:c>
      <x:c r="F200" s="32" t="str">
        <x:v>Microsoft Cloud for Financial Services
Microsoft Fabric</x:v>
      </x:c>
      <x:c r="G200" s="32" t="str">
        <x:v>BigQuery financial-services solutions</x:v>
      </x:c>
      <x:c r="H200" s="32" t="str">
        <x:v>Partial</x:v>
      </x:c>
      <x:c r="I200" s="32"/>
      <x:c r="J200" s="32" t="str">
        <x:v>https://docs.aws.amazon.com/whitepapers/latest/aws-overview/aws-services.html</x:v>
      </x:c>
      <x:c r="K200" s="32" t="str">
        <x:v>https://azure.microsoft.com/en-gb/products/</x:v>
      </x:c>
      <x:c r="L200" s="32" t="str">
        <x:v>https://docs.cloud.google.com/docs/product-list</x:v>
      </x:c>
      <x:c r="M200" s="32" t="str">
        <x:v>2026-07-12</x:v>
      </x:c>
    </x:row>
    <x:row r="201">
      <x:c r="A201" s="32" t="str">
        <x:v>Application Integration</x:v>
      </x:c>
      <x:c r="B201" s="32" t="str">
        <x:v>Messaging</x:v>
      </x:c>
      <x:c r="C201" s="32" t="str">
        <x:v>Managed message queue</x:v>
      </x:c>
      <x:c r="D201" s="32" t="str">
        <x:v>Decouple applications with durable asynchronous message queues.</x:v>
      </x:c>
      <x:c r="E201" s="32" t="str">
        <x:v>Amazon Simple Queue Service</x:v>
      </x:c>
      <x:c r="F201" s="32" t="str">
        <x:v>Azure Service Bus queues</x:v>
      </x:c>
      <x:c r="G201" s="32" t="str">
        <x:v>Pub/Sub</x:v>
      </x:c>
      <x:c r="H201" s="32" t="str">
        <x:v>Close</x:v>
      </x:c>
      <x:c r="I201" s="32"/>
      <x:c r="J201" s="32" t="str">
        <x:v>https://docs.aws.amazon.com/whitepapers/latest/aws-overview/aws-services.html</x:v>
      </x:c>
      <x:c r="K201" s="32" t="str">
        <x:v>https://azure.microsoft.com/en-gb/products/</x:v>
      </x:c>
      <x:c r="L201" s="32" t="str">
        <x:v>https://docs.cloud.google.com/docs/product-list</x:v>
      </x:c>
      <x:c r="M201" s="32" t="str">
        <x:v>2026-07-12</x:v>
      </x:c>
    </x:row>
    <x:row r="202">
      <x:c r="A202" s="32" t="str">
        <x:v>Application Integration</x:v>
      </x:c>
      <x:c r="B202" s="32" t="str">
        <x:v>Pub/sub</x:v>
      </x:c>
      <x:c r="C202" s="32" t="str">
        <x:v>Publish-subscribe messaging</x:v>
      </x:c>
      <x:c r="D202" s="32" t="str">
        <x:v>Distribute messages from publishers to multiple asynchronous subscribers.</x:v>
      </x:c>
      <x:c r="E202" s="32" t="str">
        <x:v>Amazon Simple Notification Service</x:v>
      </x:c>
      <x:c r="F202" s="32" t="str">
        <x:v>Azure Service Bus topics
Azure Event Grid</x:v>
      </x:c>
      <x:c r="G202" s="32" t="str">
        <x:v>Pub/Sub</x:v>
      </x:c>
      <x:c r="H202" s="32" t="str">
        <x:v>Close</x:v>
      </x:c>
      <x:c r="I202" s="32"/>
      <x:c r="J202" s="32" t="str">
        <x:v>https://docs.aws.amazon.com/whitepapers/latest/aws-overview/aws-services.html</x:v>
      </x:c>
      <x:c r="K202" s="32" t="str">
        <x:v>https://azure.microsoft.com/en-gb/products/</x:v>
      </x:c>
      <x:c r="L202" s="32" t="str">
        <x:v>https://docs.cloud.google.com/docs/product-list</x:v>
      </x:c>
      <x:c r="M202" s="32" t="str">
        <x:v>2026-07-12</x:v>
      </x:c>
    </x:row>
    <x:row r="203">
      <x:c r="A203" s="32" t="str">
        <x:v>Application Integration</x:v>
      </x:c>
      <x:c r="B203" s="32" t="str">
        <x:v>Event bus</x:v>
      </x:c>
      <x:c r="C203" s="32" t="str">
        <x:v>Application event bus</x:v>
      </x:c>
      <x:c r="D203" s="32" t="str">
        <x:v>Route events from applications and cloud services using rules and schemas.</x:v>
      </x:c>
      <x:c r="E203" s="32" t="str">
        <x:v>Amazon EventBridge</x:v>
      </x:c>
      <x:c r="F203" s="32" t="str">
        <x:v>Azure Event Grid</x:v>
      </x:c>
      <x:c r="G203" s="32" t="str">
        <x:v>Eventarc</x:v>
      </x:c>
      <x:c r="H203" s="32" t="str">
        <x:v>Close</x:v>
      </x:c>
      <x:c r="I203" s="32"/>
      <x:c r="J203" s="32" t="str">
        <x:v>https://docs.aws.amazon.com/whitepapers/latest/aws-overview/aws-services.html</x:v>
      </x:c>
      <x:c r="K203" s="32" t="str">
        <x:v>https://azure.microsoft.com/en-gb/products/</x:v>
      </x:c>
      <x:c r="L203" s="32" t="str">
        <x:v>https://docs.cloud.google.com/docs/product-list</x:v>
      </x:c>
      <x:c r="M203" s="32" t="str">
        <x:v>2026-07-12</x:v>
      </x:c>
    </x:row>
    <x:row r="204">
      <x:c r="A204" s="32" t="str">
        <x:v>Application Integration</x:v>
      </x:c>
      <x:c r="B204" s="32" t="str">
        <x:v>Workflow</x:v>
      </x:c>
      <x:c r="C204" s="32" t="str">
        <x:v>Serverless workflow orchestration</x:v>
      </x:c>
      <x:c r="D204" s="32" t="str">
        <x:v>Coordinate services and application steps using durable stateful workflows.</x:v>
      </x:c>
      <x:c r="E204" s="32" t="str">
        <x:v>AWS Step Functions</x:v>
      </x:c>
      <x:c r="F204" s="32" t="str">
        <x:v>Azure Logic Apps
Durable Functions</x:v>
      </x:c>
      <x:c r="G204" s="32" t="str">
        <x:v>Workflows</x:v>
      </x:c>
      <x:c r="H204" s="32" t="str">
        <x:v>Close</x:v>
      </x:c>
      <x:c r="I204" s="32"/>
      <x:c r="J204" s="32" t="str">
        <x:v>https://docs.aws.amazon.com/whitepapers/latest/aws-overview/aws-services.html</x:v>
      </x:c>
      <x:c r="K204" s="32" t="str">
        <x:v>https://azure.microsoft.com/en-gb/products/</x:v>
      </x:c>
      <x:c r="L204" s="32" t="str">
        <x:v>https://docs.cloud.google.com/docs/product-list</x:v>
      </x:c>
      <x:c r="M204" s="32" t="str">
        <x:v>2026-07-12</x:v>
      </x:c>
    </x:row>
    <x:row r="205">
      <x:c r="A205" s="32" t="str">
        <x:v>Application Integration</x:v>
      </x:c>
      <x:c r="B205" s="32" t="str">
        <x:v>Integration platform</x:v>
      </x:c>
      <x:c r="C205" s="32" t="str">
        <x:v>Integration platform as a service</x:v>
      </x:c>
      <x:c r="D205" s="32" t="str">
        <x:v>Connect SaaS, cloud and on-premises systems through managed connectors and workflows.</x:v>
      </x:c>
      <x:c r="E205" s="32" t="str">
        <x:v>Amazon AppFlow
Amazon EventBridge</x:v>
      </x:c>
      <x:c r="F205" s="32" t="str">
        <x:v>Azure Logic Apps
Azure Integration Services</x:v>
      </x:c>
      <x:c r="G205" s="32" t="str">
        <x:v>Application Integration
Integration Connectors</x:v>
      </x:c>
      <x:c r="H205" s="32" t="str">
        <x:v>Close</x:v>
      </x:c>
      <x:c r="I205" s="32"/>
      <x:c r="J205" s="32" t="str">
        <x:v>https://docs.aws.amazon.com/whitepapers/latest/aws-overview/aws-services.html</x:v>
      </x:c>
      <x:c r="K205" s="32" t="str">
        <x:v>https://azure.microsoft.com/en-gb/products/</x:v>
      </x:c>
      <x:c r="L205" s="32" t="str">
        <x:v>https://docs.cloud.google.com/docs/product-list</x:v>
      </x:c>
      <x:c r="M205" s="32" t="str">
        <x:v>2026-07-12</x:v>
      </x:c>
    </x:row>
    <x:row r="206">
      <x:c r="A206" s="32" t="str">
        <x:v>Application Integration</x:v>
      </x:c>
      <x:c r="B206" s="32" t="str">
        <x:v>Managed MQ</x:v>
      </x:c>
      <x:c r="C206" s="32" t="str">
        <x:v>Managed message broker</x:v>
      </x:c>
      <x:c r="D206" s="32" t="str">
        <x:v>Run managed enterprise message brokers using familiar protocols.</x:v>
      </x:c>
      <x:c r="E206" s="32" t="str">
        <x:v>Amazon MQ</x:v>
      </x:c>
      <x:c r="F206" s="32" t="str">
        <x:v>Azure Service Bus</x:v>
      </x:c>
      <x:c r="G206" s="32" t="str">
        <x:v>Pub/Sub / partner managed brokers</x:v>
      </x:c>
      <x:c r="H206" s="32" t="str">
        <x:v>Partial</x:v>
      </x:c>
      <x:c r="I206" s="32"/>
      <x:c r="J206" s="32" t="str">
        <x:v>https://docs.aws.amazon.com/whitepapers/latest/aws-overview/aws-services.html</x:v>
      </x:c>
      <x:c r="K206" s="32" t="str">
        <x:v>https://azure.microsoft.com/en-gb/products/</x:v>
      </x:c>
      <x:c r="L206" s="32" t="str">
        <x:v>https://docs.cloud.google.com/docs/product-list</x:v>
      </x:c>
      <x:c r="M206" s="32" t="str">
        <x:v>2026-07-12</x:v>
      </x:c>
    </x:row>
    <x:row r="207">
      <x:c r="A207" s="32" t="str">
        <x:v>Application Integration</x:v>
      </x:c>
      <x:c r="B207" s="32" t="str">
        <x:v>B2B integration</x:v>
      </x:c>
      <x:c r="C207" s="32" t="str">
        <x:v>B2B and EDI integration</x:v>
      </x:c>
      <x:c r="D207" s="32" t="str">
        <x:v>Exchange and transform business documents with trading partners.</x:v>
      </x:c>
      <x:c r="E207" s="32" t="str">
        <x:v>AWS B2B Data Interchange</x:v>
      </x:c>
      <x:c r="F207" s="32" t="str">
        <x:v>Azure Logic Apps Integration Account</x:v>
      </x:c>
      <x:c r="G207" s="32" t="str">
        <x:v>Application Integration / partner EDI</x:v>
      </x:c>
      <x:c r="H207" s="32" t="str">
        <x:v>Partial</x:v>
      </x:c>
      <x:c r="I207" s="32"/>
      <x:c r="J207" s="32" t="str">
        <x:v>https://docs.aws.amazon.com/whitepapers/latest/aws-overview/aws-services.html</x:v>
      </x:c>
      <x:c r="K207" s="32" t="str">
        <x:v>https://azure.microsoft.com/en-gb/products/</x:v>
      </x:c>
      <x:c r="L207" s="32" t="str">
        <x:v>https://docs.cloud.google.com/docs/product-list</x:v>
      </x:c>
      <x:c r="M207" s="32" t="str">
        <x:v>2026-07-12</x:v>
      </x:c>
    </x:row>
    <x:row r="208">
      <x:c r="A208" s="32" t="str">
        <x:v>Application Integration</x:v>
      </x:c>
      <x:c r="B208" s="32" t="str">
        <x:v>Workflow scheduling</x:v>
      </x:c>
      <x:c r="C208" s="32" t="str">
        <x:v>Cloud task scheduler</x:v>
      </x:c>
      <x:c r="D208" s="32" t="str">
        <x:v>Trigger jobs and HTTP targets according to cron-like schedules.</x:v>
      </x:c>
      <x:c r="E208" s="32" t="str">
        <x:v>Amazon EventBridge Scheduler</x:v>
      </x:c>
      <x:c r="F208" s="32" t="str">
        <x:v>Azure Logic Apps
Azure Functions timer triggers</x:v>
      </x:c>
      <x:c r="G208" s="32" t="str">
        <x:v>Cloud Scheduler</x:v>
      </x:c>
      <x:c r="H208" s="32" t="str">
        <x:v>Close</x:v>
      </x:c>
      <x:c r="I208" s="32"/>
      <x:c r="J208" s="32" t="str">
        <x:v>https://docs.aws.amazon.com/whitepapers/latest/aws-overview/aws-services.html</x:v>
      </x:c>
      <x:c r="K208" s="32" t="str">
        <x:v>https://azure.microsoft.com/en-gb/products/</x:v>
      </x:c>
      <x:c r="L208" s="32" t="str">
        <x:v>https://docs.cloud.google.com/docs/product-list</x:v>
      </x:c>
      <x:c r="M208" s="32" t="str">
        <x:v>2026-07-12</x:v>
      </x:c>
    </x:row>
    <x:row r="209">
      <x:c r="A209" s="32" t="str">
        <x:v>Application Integration</x:v>
      </x:c>
      <x:c r="B209" s="32" t="str">
        <x:v>Task queue</x:v>
      </x:c>
      <x:c r="C209" s="32" t="str">
        <x:v>Application task queue</x:v>
      </x:c>
      <x:c r="D209" s="32" t="str">
        <x:v>Dispatch and control asynchronous application tasks with retries and rate limits.</x:v>
      </x:c>
      <x:c r="E209" s="32" t="str">
        <x:v>Amazon SQS</x:v>
      </x:c>
      <x:c r="F209" s="32" t="str">
        <x:v>Azure Queue Storage
Azure Service Bus</x:v>
      </x:c>
      <x:c r="G209" s="32" t="str">
        <x:v>Cloud Tasks</x:v>
      </x:c>
      <x:c r="H209" s="32" t="str">
        <x:v>Close</x:v>
      </x:c>
      <x:c r="I209" s="32"/>
      <x:c r="J209" s="32" t="str">
        <x:v>https://docs.aws.amazon.com/whitepapers/latest/aws-overview/aws-services.html</x:v>
      </x:c>
      <x:c r="K209" s="32" t="str">
        <x:v>https://azure.microsoft.com/en-gb/products/</x:v>
      </x:c>
      <x:c r="L209" s="32" t="str">
        <x:v>https://docs.cloud.google.com/docs/product-list</x:v>
      </x:c>
      <x:c r="M209" s="32" t="str">
        <x:v>2026-07-12</x:v>
      </x:c>
    </x:row>
    <x:row r="210">
      <x:c r="A210" s="32" t="str">
        <x:v>Application Integration</x:v>
      </x:c>
      <x:c r="B210" s="32" t="str">
        <x:v>Email</x:v>
      </x:c>
      <x:c r="C210" s="32" t="str">
        <x:v>Transactional email</x:v>
      </x:c>
      <x:c r="D210" s="32" t="str">
        <x:v>Send application-generated transactional and bulk email.</x:v>
      </x:c>
      <x:c r="E210" s="32" t="str">
        <x:v>Amazon Simple Email Service</x:v>
      </x:c>
      <x:c r="F210" s="32" t="str">
        <x:v>Azure Communication Services Email</x:v>
      </x:c>
      <x:c r="G210" s="32" t="str">
        <x:v>partner email services</x:v>
      </x:c>
      <x:c r="H210" s="32" t="str">
        <x:v>Partial</x:v>
      </x:c>
      <x:c r="I210" s="32"/>
      <x:c r="J210" s="32" t="str">
        <x:v>https://docs.aws.amazon.com/whitepapers/latest/aws-overview/aws-services.html</x:v>
      </x:c>
      <x:c r="K210" s="32" t="str">
        <x:v>https://azure.microsoft.com/en-gb/products/</x:v>
      </x:c>
      <x:c r="L210" s="32" t="str">
        <x:v>https://docs.cloud.google.com/docs/product-list</x:v>
      </x:c>
      <x:c r="M210" s="32" t="str">
        <x:v>2026-07-12</x:v>
      </x:c>
    </x:row>
    <x:row r="211">
      <x:c r="A211" s="32" t="str">
        <x:v>Application Integration</x:v>
      </x:c>
      <x:c r="B211" s="32" t="str">
        <x:v>Push notifications</x:v>
      </x:c>
      <x:c r="C211" s="32" t="str">
        <x:v>Mobile push notifications</x:v>
      </x:c>
      <x:c r="D211" s="32" t="str">
        <x:v>Send push messages and notifications to mobile devices and applications.</x:v>
      </x:c>
      <x:c r="E211" s="32" t="str">
        <x:v>Amazon SNS
Amazon Pinpoint</x:v>
      </x:c>
      <x:c r="F211" s="32" t="str">
        <x:v>Azure Notification Hubs</x:v>
      </x:c>
      <x:c r="G211" s="32" t="str">
        <x:v>Firebase Cloud Messaging</x:v>
      </x:c>
      <x:c r="H211" s="32" t="str">
        <x:v>Close</x:v>
      </x:c>
      <x:c r="I211" s="32"/>
      <x:c r="J211" s="32" t="str">
        <x:v>https://docs.aws.amazon.com/whitepapers/latest/aws-overview/aws-services.html</x:v>
      </x:c>
      <x:c r="K211" s="32" t="str">
        <x:v>https://azure.microsoft.com/en-gb/products/</x:v>
      </x:c>
      <x:c r="L211" s="32" t="str">
        <x:v>https://docs.cloud.google.com/docs/product-list</x:v>
      </x:c>
      <x:c r="M211" s="32" t="str">
        <x:v>2026-07-12</x:v>
      </x:c>
    </x:row>
    <x:row r="212">
      <x:c r="A212" s="32" t="str">
        <x:v>Application Integration</x:v>
      </x:c>
      <x:c r="B212" s="32" t="str">
        <x:v>Real-time messaging</x:v>
      </x:c>
      <x:c r="C212" s="32" t="str">
        <x:v>Managed real-time web messaging</x:v>
      </x:c>
      <x:c r="D212" s="32" t="str">
        <x:v>Deliver low-latency bidirectional messages to connected web and mobile clients.</x:v>
      </x:c>
      <x:c r="E212" s="32" t="str">
        <x:v>AWS AppSync subscriptions
Amazon API Gateway WebSocket APIs</x:v>
      </x:c>
      <x:c r="F212" s="32" t="str">
        <x:v>Azure SignalR Service
Azure Web PubSub</x:v>
      </x:c>
      <x:c r="G212" s="32" t="str">
        <x:v>Firebase Realtime Database
Cloud Run WebSockets</x:v>
      </x:c>
      <x:c r="H212" s="32" t="str">
        <x:v>Partial</x:v>
      </x:c>
      <x:c r="I212" s="32"/>
      <x:c r="J212" s="32" t="str">
        <x:v>https://docs.aws.amazon.com/whitepapers/latest/aws-overview/aws-services.html</x:v>
      </x:c>
      <x:c r="K212" s="32" t="str">
        <x:v>https://azure.microsoft.com/en-gb/products/</x:v>
      </x:c>
      <x:c r="L212" s="32" t="str">
        <x:v>https://docs.cloud.google.com/docs/product-list</x:v>
      </x:c>
      <x:c r="M212" s="32" t="str">
        <x:v>2026-07-12</x:v>
      </x:c>
    </x:row>
    <x:row r="213">
      <x:c r="A213" s="32" t="str">
        <x:v>Developer Tools &amp; DevOps</x:v>
      </x:c>
      <x:c r="B213" s="32" t="str">
        <x:v>Source control</x:v>
      </x:c>
      <x:c r="C213" s="32" t="str">
        <x:v>Managed Git repositories</x:v>
      </x:c>
      <x:c r="D213" s="32" t="str">
        <x:v>Host private Git repositories with access control and development integrations.</x:v>
      </x:c>
      <x:c r="E213" s="32" t="str">
        <x:v>AWS CodeCommit</x:v>
      </x:c>
      <x:c r="F213" s="32" t="str">
        <x:v>Azure Repos
GitHub Enterprise</x:v>
      </x:c>
      <x:c r="G213" s="32" t="str">
        <x:v>Secure Source Manager</x:v>
      </x:c>
      <x:c r="H213" s="32" t="str">
        <x:v>Close</x:v>
      </x:c>
      <x:c r="I213" s="32"/>
      <x:c r="J213" s="32" t="str">
        <x:v>https://docs.aws.amazon.com/whitepapers/latest/aws-overview/aws-services.html</x:v>
      </x:c>
      <x:c r="K213" s="32" t="str">
        <x:v>https://azure.microsoft.com/en-gb/products/</x:v>
      </x:c>
      <x:c r="L213" s="32" t="str">
        <x:v>https://docs.cloud.google.com/docs/product-list</x:v>
      </x:c>
      <x:c r="M213" s="32" t="str">
        <x:v>2026-07-12</x:v>
      </x:c>
    </x:row>
    <x:row r="214">
      <x:c r="A214" s="32" t="str">
        <x:v>Developer Tools &amp; DevOps</x:v>
      </x:c>
      <x:c r="B214" s="32" t="str">
        <x:v>Continuous integration</x:v>
      </x:c>
      <x:c r="C214" s="32" t="str">
        <x:v>Managed continuous integration</x:v>
      </x:c>
      <x:c r="D214" s="32" t="str">
        <x:v>Build and test source code in automated pipelines.</x:v>
      </x:c>
      <x:c r="E214" s="32" t="str">
        <x:v>AWS CodeBuild
AWS CodeCatalyst</x:v>
      </x:c>
      <x:c r="F214" s="32" t="str">
        <x:v>Azure Pipelines
GitHub Actions</x:v>
      </x:c>
      <x:c r="G214" s="32" t="str">
        <x:v>Cloud Build</x:v>
      </x:c>
      <x:c r="H214" s="32" t="str">
        <x:v>Close</x:v>
      </x:c>
      <x:c r="I214" s="32"/>
      <x:c r="J214" s="32" t="str">
        <x:v>https://docs.aws.amazon.com/whitepapers/latest/aws-overview/aws-services.html</x:v>
      </x:c>
      <x:c r="K214" s="32" t="str">
        <x:v>https://azure.microsoft.com/en-gb/products/</x:v>
      </x:c>
      <x:c r="L214" s="32" t="str">
        <x:v>https://docs.cloud.google.com/docs/product-list</x:v>
      </x:c>
      <x:c r="M214" s="32" t="str">
        <x:v>2026-07-12</x:v>
      </x:c>
    </x:row>
    <x:row r="215">
      <x:c r="A215" s="32" t="str">
        <x:v>Developer Tools &amp; DevOps</x:v>
      </x:c>
      <x:c r="B215" s="32" t="str">
        <x:v>Continuous delivery</x:v>
      </x:c>
      <x:c r="C215" s="32" t="str">
        <x:v>Managed continuous delivery</x:v>
      </x:c>
      <x:c r="D215" s="32" t="str">
        <x:v>Deploy application and infrastructure changes through controlled release pipelines.</x:v>
      </x:c>
      <x:c r="E215" s="32" t="str">
        <x:v>AWS CodePipeline
AWS CodeDeploy</x:v>
      </x:c>
      <x:c r="F215" s="32" t="str">
        <x:v>Azure Pipelines
GitHub Actions</x:v>
      </x:c>
      <x:c r="G215" s="32" t="str">
        <x:v>Cloud Deploy</x:v>
      </x:c>
      <x:c r="H215" s="32" t="str">
        <x:v>Close</x:v>
      </x:c>
      <x:c r="I215" s="32"/>
      <x:c r="J215" s="32" t="str">
        <x:v>https://docs.aws.amazon.com/whitepapers/latest/aws-overview/aws-services.html</x:v>
      </x:c>
      <x:c r="K215" s="32" t="str">
        <x:v>https://azure.microsoft.com/en-gb/products/</x:v>
      </x:c>
      <x:c r="L215" s="32" t="str">
        <x:v>https://docs.cloud.google.com/docs/product-list</x:v>
      </x:c>
      <x:c r="M215" s="32" t="str">
        <x:v>2026-07-12</x:v>
      </x:c>
    </x:row>
    <x:row r="216">
      <x:c r="A216" s="32" t="str">
        <x:v>Developer Tools &amp; DevOps</x:v>
      </x:c>
      <x:c r="B216" s="32" t="str">
        <x:v>Artifacts</x:v>
      </x:c>
      <x:c r="C216" s="32" t="str">
        <x:v>Artifact and package repository</x:v>
      </x:c>
      <x:c r="D216" s="32" t="str">
        <x:v>Store application packages, dependencies and build artifacts.</x:v>
      </x:c>
      <x:c r="E216" s="32" t="str">
        <x:v>AWS CodeArtifact
Amazon ECR</x:v>
      </x:c>
      <x:c r="F216" s="32" t="str">
        <x:v>Azure Artifacts
Azure Container Registry</x:v>
      </x:c>
      <x:c r="G216" s="32" t="str">
        <x:v>Artifact Registry</x:v>
      </x:c>
      <x:c r="H216" s="32" t="str">
        <x:v>Close</x:v>
      </x:c>
      <x:c r="I216" s="32"/>
      <x:c r="J216" s="32" t="str">
        <x:v>https://docs.aws.amazon.com/whitepapers/latest/aws-overview/aws-services.html</x:v>
      </x:c>
      <x:c r="K216" s="32" t="str">
        <x:v>https://azure.microsoft.com/en-gb/products/</x:v>
      </x:c>
      <x:c r="L216" s="32" t="str">
        <x:v>https://docs.cloud.google.com/docs/product-list</x:v>
      </x:c>
      <x:c r="M216" s="32" t="str">
        <x:v>2026-07-12</x:v>
      </x:c>
    </x:row>
    <x:row r="217">
      <x:c r="A217" s="32" t="str">
        <x:v>Developer Tools &amp; DevOps</x:v>
      </x:c>
      <x:c r="B217" s="32" t="str">
        <x:v>Artifact security</x:v>
      </x:c>
      <x:c r="C217" s="32" t="str">
        <x:v>Software artifact analysis</x:v>
      </x:c>
      <x:c r="D217" s="32" t="str">
        <x:v>Scan packages and container images for vulnerabilities and supply-chain risk.</x:v>
      </x:c>
      <x:c r="E217" s="32" t="str">
        <x:v>Amazon Inspector
Amazon ECR enhanced scanning</x:v>
      </x:c>
      <x:c r="F217" s="32" t="str">
        <x:v>Microsoft Defender for Cloud
GitHub Advanced Security</x:v>
      </x:c>
      <x:c r="G217" s="32" t="str">
        <x:v>Artifact Analysis
Software supply chain security</x:v>
      </x:c>
      <x:c r="H217" s="32" t="str">
        <x:v>Close</x:v>
      </x:c>
      <x:c r="I217" s="32"/>
      <x:c r="J217" s="32" t="str">
        <x:v>https://docs.aws.amazon.com/whitepapers/latest/aws-overview/aws-services.html</x:v>
      </x:c>
      <x:c r="K217" s="32" t="str">
        <x:v>https://azure.microsoft.com/en-gb/products/</x:v>
      </x:c>
      <x:c r="L217" s="32" t="str">
        <x:v>https://docs.cloud.google.com/docs/product-list</x:v>
      </x:c>
      <x:c r="M217" s="32" t="str">
        <x:v>2026-07-12</x:v>
      </x:c>
    </x:row>
    <x:row r="218">
      <x:c r="A218" s="32" t="str">
        <x:v>Developer Tools &amp; DevOps</x:v>
      </x:c>
      <x:c r="B218" s="32" t="str">
        <x:v>Developer portal</x:v>
      </x:c>
      <x:c r="C218" s="32" t="str">
        <x:v>Internal developer platform</x:v>
      </x:c>
      <x:c r="D218" s="32" t="str">
        <x:v>Standardise approved application templates, environments and developer self-service.</x:v>
      </x:c>
      <x:c r="E218" s="32" t="str">
        <x:v>AWS Proton
AWS Service Catalog</x:v>
      </x:c>
      <x:c r="F218" s="32" t="str">
        <x:v>Azure Deployment Environments
Azure Dev Center</x:v>
      </x:c>
      <x:c r="G218" s="32" t="str">
        <x:v>Application Design Center
App Hub</x:v>
      </x:c>
      <x:c r="H218" s="32" t="str">
        <x:v>Close</x:v>
      </x:c>
      <x:c r="I218" s="32"/>
      <x:c r="J218" s="32" t="str">
        <x:v>https://docs.aws.amazon.com/whitepapers/latest/aws-overview/aws-services.html</x:v>
      </x:c>
      <x:c r="K218" s="32" t="str">
        <x:v>https://azure.microsoft.com/en-gb/products/</x:v>
      </x:c>
      <x:c r="L218" s="32" t="str">
        <x:v>https://docs.cloud.google.com/docs/product-list</x:v>
      </x:c>
      <x:c r="M218" s="32" t="str">
        <x:v>2026-07-12</x:v>
      </x:c>
    </x:row>
    <x:row r="219">
      <x:c r="A219" s="32" t="str">
        <x:v>Developer Tools &amp; DevOps</x:v>
      </x:c>
      <x:c r="B219" s="32" t="str">
        <x:v>Cloud IDE</x:v>
      </x:c>
      <x:c r="C219" s="32" t="str">
        <x:v>Browser-based cloud development environment</x:v>
      </x:c>
      <x:c r="D219" s="32" t="str">
        <x:v>Provide managed browser-accessible development environments connected to cloud resources.</x:v>
      </x:c>
      <x:c r="E219" s="32" t="str">
        <x:v>AWS Cloud9
AWS CloudShell</x:v>
      </x:c>
      <x:c r="F219" s="32" t="str">
        <x:v>Microsoft Dev Box
Azure Cloud Shell</x:v>
      </x:c>
      <x:c r="G219" s="32" t="str">
        <x:v>Cloud Workstations
Cloud Shell</x:v>
      </x:c>
      <x:c r="H219" s="32" t="str">
        <x:v>Close</x:v>
      </x:c>
      <x:c r="I219" s="32"/>
      <x:c r="J219" s="32" t="str">
        <x:v>https://docs.aws.amazon.com/whitepapers/latest/aws-overview/aws-services.html</x:v>
      </x:c>
      <x:c r="K219" s="32" t="str">
        <x:v>https://azure.microsoft.com/en-gb/products/</x:v>
      </x:c>
      <x:c r="L219" s="32" t="str">
        <x:v>https://docs.cloud.google.com/docs/product-list</x:v>
      </x:c>
      <x:c r="M219" s="32" t="str">
        <x:v>2026-07-12</x:v>
      </x:c>
    </x:row>
    <x:row r="220">
      <x:c r="A220" s="32" t="str">
        <x:v>Developer Tools &amp; DevOps</x:v>
      </x:c>
      <x:c r="B220" s="32" t="str">
        <x:v>SDK and CLI</x:v>
      </x:c>
      <x:c r="C220" s="32" t="str">
        <x:v>Cloud command-line and SDK tools</x:v>
      </x:c>
      <x:c r="D220" s="32" t="str">
        <x:v>Manage cloud resources and build applications through command-line tools and language SDKs.</x:v>
      </x:c>
      <x:c r="E220" s="32" t="str">
        <x:v>AWS CLI
AWS SDKs</x:v>
      </x:c>
      <x:c r="F220" s="32" t="str">
        <x:v>Azure CLI
Azure PowerShell
Azure SDKs</x:v>
      </x:c>
      <x:c r="G220" s="32" t="str">
        <x:v>gcloud CLI
Google Cloud SDK</x:v>
      </x:c>
      <x:c r="H220" s="32" t="str">
        <x:v>Exact</x:v>
      </x:c>
      <x:c r="I220" s="32"/>
      <x:c r="J220" s="32" t="str">
        <x:v>https://docs.aws.amazon.com/whitepapers/latest/aws-overview/aws-services.html</x:v>
      </x:c>
      <x:c r="K220" s="32" t="str">
        <x:v>https://azure.microsoft.com/en-gb/products/</x:v>
      </x:c>
      <x:c r="L220" s="32" t="str">
        <x:v>https://docs.cloud.google.com/docs/product-list</x:v>
      </x:c>
      <x:c r="M220" s="32" t="str">
        <x:v>2026-07-12</x:v>
      </x:c>
    </x:row>
    <x:row r="221">
      <x:c r="A221" s="32" t="str">
        <x:v>Developer Tools &amp; DevOps</x:v>
      </x:c>
      <x:c r="B221" s="32" t="str">
        <x:v>Application configuration</x:v>
      </x:c>
      <x:c r="C221" s="32" t="str">
        <x:v>Central application configuration</x:v>
      </x:c>
      <x:c r="D221" s="32" t="str">
        <x:v>Store and distribute application configuration and feature settings.</x:v>
      </x:c>
      <x:c r="E221" s="32" t="str">
        <x:v>AWS AppConfig
Systems Manager Parameter Store</x:v>
      </x:c>
      <x:c r="F221" s="32" t="str">
        <x:v>Azure App Configuration</x:v>
      </x:c>
      <x:c r="G221" s="32" t="str">
        <x:v>Runtime Configurator legacy / Secret Manager / Firestore patterns</x:v>
      </x:c>
      <x:c r="H221" s="32" t="str">
        <x:v>Partial</x:v>
      </x:c>
      <x:c r="I221" s="32"/>
      <x:c r="J221" s="32" t="str">
        <x:v>https://docs.aws.amazon.com/whitepapers/latest/aws-overview/aws-services.html</x:v>
      </x:c>
      <x:c r="K221" s="32" t="str">
        <x:v>https://azure.microsoft.com/en-gb/products/</x:v>
      </x:c>
      <x:c r="L221" s="32" t="str">
        <x:v>https://docs.cloud.google.com/docs/product-list</x:v>
      </x:c>
      <x:c r="M221" s="32" t="str">
        <x:v>2026-07-12</x:v>
      </x:c>
    </x:row>
    <x:row r="222">
      <x:c r="A222" s="32" t="str">
        <x:v>Developer Tools &amp; DevOps</x:v>
      </x:c>
      <x:c r="B222" s="32" t="str">
        <x:v>Testing</x:v>
      </x:c>
      <x:c r="C222" s="32" t="str">
        <x:v>Cloud application testing</x:v>
      </x:c>
      <x:c r="D222" s="32" t="str">
        <x:v>Run browser, mobile or load tests through managed infrastructure.</x:v>
      </x:c>
      <x:c r="E222" s="32" t="str">
        <x:v>AWS Device Farm</x:v>
      </x:c>
      <x:c r="F222" s="32" t="str">
        <x:v>Azure App Testing
Microsoft Playwright Testing</x:v>
      </x:c>
      <x:c r="G222" s="32" t="str">
        <x:v>Firebase Test Lab</x:v>
      </x:c>
      <x:c r="H222" s="32" t="str">
        <x:v>Close</x:v>
      </x:c>
      <x:c r="I222" s="32"/>
      <x:c r="J222" s="32" t="str">
        <x:v>https://docs.aws.amazon.com/whitepapers/latest/aws-overview/aws-services.html</x:v>
      </x:c>
      <x:c r="K222" s="32" t="str">
        <x:v>https://azure.microsoft.com/en-gb/products/</x:v>
      </x:c>
      <x:c r="L222" s="32" t="str">
        <x:v>https://docs.cloud.google.com/docs/product-list</x:v>
      </x:c>
      <x:c r="M222" s="32" t="str">
        <x:v>2026-07-12</x:v>
      </x:c>
    </x:row>
    <x:row r="223">
      <x:c r="A223" s="32" t="str">
        <x:v>Developer Tools &amp; DevOps</x:v>
      </x:c>
      <x:c r="B223" s="32" t="str">
        <x:v>Chaos engineering</x:v>
      </x:c>
      <x:c r="C223" s="32" t="str">
        <x:v>Fault-injection testing</x:v>
      </x:c>
      <x:c r="D223" s="32" t="str">
        <x:v>Inject controlled failures to validate resilience and recovery behaviour.</x:v>
      </x:c>
      <x:c r="E223" s="32" t="str">
        <x:v>AWS Fault Injection Service</x:v>
      </x:c>
      <x:c r="F223" s="32" t="str">
        <x:v>Azure Chaos Studio</x:v>
      </x:c>
      <x:c r="G223" s="32" t="str">
        <x:v>Fault Injection / Chaos Mesh on GKE</x:v>
      </x:c>
      <x:c r="H223" s="32" t="str">
        <x:v>Partial</x:v>
      </x:c>
      <x:c r="I223" s="32"/>
      <x:c r="J223" s="32" t="str">
        <x:v>https://docs.aws.amazon.com/whitepapers/latest/aws-overview/aws-services.html</x:v>
      </x:c>
      <x:c r="K223" s="32" t="str">
        <x:v>https://azure.microsoft.com/en-gb/products/</x:v>
      </x:c>
      <x:c r="L223" s="32" t="str">
        <x:v>https://docs.cloud.google.com/docs/product-list</x:v>
      </x:c>
      <x:c r="M223" s="32" t="str">
        <x:v>2026-07-12</x:v>
      </x:c>
    </x:row>
    <x:row r="224">
      <x:c r="A224" s="32" t="str">
        <x:v>Developer Tools &amp; DevOps</x:v>
      </x:c>
      <x:c r="B224" s="32" t="str">
        <x:v>Code signing</x:v>
      </x:c>
      <x:c r="C224" s="32" t="str">
        <x:v>Artifact and code signing</x:v>
      </x:c>
      <x:c r="D224" s="32" t="str">
        <x:v>Sign software artifacts to verify publisher identity and integrity.</x:v>
      </x:c>
      <x:c r="E224" s="32" t="str">
        <x:v>AWS Signer</x:v>
      </x:c>
      <x:c r="F224" s="32" t="str">
        <x:v>Azure Artifact Signing</x:v>
      </x:c>
      <x:c r="G224" s="32" t="str">
        <x:v>Binary Authorization
Cloud KMS signing</x:v>
      </x:c>
      <x:c r="H224" s="32" t="str">
        <x:v>Close</x:v>
      </x:c>
      <x:c r="I224" s="32"/>
      <x:c r="J224" s="32" t="str">
        <x:v>https://docs.aws.amazon.com/whitepapers/latest/aws-overview/aws-services.html</x:v>
      </x:c>
      <x:c r="K224" s="32" t="str">
        <x:v>https://azure.microsoft.com/en-gb/products/</x:v>
      </x:c>
      <x:c r="L224" s="32" t="str">
        <x:v>https://docs.cloud.google.com/docs/product-list</x:v>
      </x:c>
      <x:c r="M224" s="32" t="str">
        <x:v>2026-07-12</x:v>
      </x:c>
    </x:row>
    <x:row r="225">
      <x:c r="A225" s="32" t="str">
        <x:v>Developer Tools &amp; DevOps</x:v>
      </x:c>
      <x:c r="B225" s="32" t="str">
        <x:v>Application lifecycle</x:v>
      </x:c>
      <x:c r="C225" s="32" t="str">
        <x:v>Application portfolio hub</x:v>
      </x:c>
      <x:c r="D225" s="32" t="str">
        <x:v>Model applications and dependencies across cloud resources for operational ownership.</x:v>
      </x:c>
      <x:c r="E225" s="32" t="str">
        <x:v>AWS Systems Manager Application Manager
AWS Migration Hub</x:v>
      </x:c>
      <x:c r="F225" s="32" t="str">
        <x:v>Azure Application Insights / Azure Resource Groups</x:v>
      </x:c>
      <x:c r="G225" s="32" t="str">
        <x:v>App Hub</x:v>
      </x:c>
      <x:c r="H225" s="32" t="str">
        <x:v>Partial</x:v>
      </x:c>
      <x:c r="I225" s="32"/>
      <x:c r="J225" s="32" t="str">
        <x:v>https://docs.aws.amazon.com/whitepapers/latest/aws-overview/aws-services.html</x:v>
      </x:c>
      <x:c r="K225" s="32" t="str">
        <x:v>https://azure.microsoft.com/en-gb/products/</x:v>
      </x:c>
      <x:c r="L225" s="32" t="str">
        <x:v>https://docs.cloud.google.com/docs/product-list</x:v>
      </x:c>
      <x:c r="M225" s="32" t="str">
        <x:v>2026-07-12</x:v>
      </x:c>
    </x:row>
    <x:row r="226">
      <x:c r="A226" s="32" t="str">
        <x:v>Observability &amp; Reliability</x:v>
      </x:c>
      <x:c r="B226" s="32" t="str">
        <x:v>Unified monitoring</x:v>
      </x:c>
      <x:c r="C226" s="32" t="str">
        <x:v>Cloud monitoring</x:v>
      </x:c>
      <x:c r="D226" s="32" t="str">
        <x:v>Collect metrics, create dashboards and alert on infrastructure and application health.</x:v>
      </x:c>
      <x:c r="E226" s="32" t="str">
        <x:v>Amazon CloudWatch</x:v>
      </x:c>
      <x:c r="F226" s="32" t="str">
        <x:v>Azure Monitor</x:v>
      </x:c>
      <x:c r="G226" s="32" t="str">
        <x:v>Cloud Monitoring
Google Cloud Observability</x:v>
      </x:c>
      <x:c r="H226" s="32" t="str">
        <x:v>Exact</x:v>
      </x:c>
      <x:c r="I226" s="32"/>
      <x:c r="J226" s="32" t="str">
        <x:v>https://docs.aws.amazon.com/whitepapers/latest/aws-overview/aws-services.html</x:v>
      </x:c>
      <x:c r="K226" s="32" t="str">
        <x:v>https://azure.microsoft.com/en-gb/products/</x:v>
      </x:c>
      <x:c r="L226" s="32" t="str">
        <x:v>https://docs.cloud.google.com/docs/product-list</x:v>
      </x:c>
      <x:c r="M226" s="32" t="str">
        <x:v>2026-07-12</x:v>
      </x:c>
    </x:row>
    <x:row r="227">
      <x:c r="A227" s="32" t="str">
        <x:v>Observability &amp; Reliability</x:v>
      </x:c>
      <x:c r="B227" s="32" t="str">
        <x:v>Logging</x:v>
      </x:c>
      <x:c r="C227" s="32" t="str">
        <x:v>Central log management</x:v>
      </x:c>
      <x:c r="D227" s="32" t="str">
        <x:v>Collect, search, retain and route cloud and application logs.</x:v>
      </x:c>
      <x:c r="E227" s="32" t="str">
        <x:v>Amazon CloudWatch Logs</x:v>
      </x:c>
      <x:c r="F227" s="32" t="str">
        <x:v>Azure Monitor Logs
Log Analytics</x:v>
      </x:c>
      <x:c r="G227" s="32" t="str">
        <x:v>Cloud Logging</x:v>
      </x:c>
      <x:c r="H227" s="32" t="str">
        <x:v>Exact</x:v>
      </x:c>
      <x:c r="I227" s="32"/>
      <x:c r="J227" s="32" t="str">
        <x:v>https://docs.aws.amazon.com/whitepapers/latest/aws-overview/aws-services.html</x:v>
      </x:c>
      <x:c r="K227" s="32" t="str">
        <x:v>https://azure.microsoft.com/en-gb/products/</x:v>
      </x:c>
      <x:c r="L227" s="32" t="str">
        <x:v>https://docs.cloud.google.com/docs/product-list</x:v>
      </x:c>
      <x:c r="M227" s="32" t="str">
        <x:v>2026-07-12</x:v>
      </x:c>
    </x:row>
    <x:row r="228">
      <x:c r="A228" s="32" t="str">
        <x:v>Observability &amp; Reliability</x:v>
      </x:c>
      <x:c r="B228" s="32" t="str">
        <x:v>Tracing</x:v>
      </x:c>
      <x:c r="C228" s="32" t="str">
        <x:v>Distributed tracing</x:v>
      </x:c>
      <x:c r="D228" s="32" t="str">
        <x:v>Trace requests across distributed services to diagnose latency and failures.</x:v>
      </x:c>
      <x:c r="E228" s="32" t="str">
        <x:v>AWS X-Ray
Amazon CloudWatch Application Signals</x:v>
      </x:c>
      <x:c r="F228" s="32" t="str">
        <x:v>Azure Application Insights</x:v>
      </x:c>
      <x:c r="G228" s="32" t="str">
        <x:v>Cloud Trace</x:v>
      </x:c>
      <x:c r="H228" s="32" t="str">
        <x:v>Exact</x:v>
      </x:c>
      <x:c r="I228" s="32"/>
      <x:c r="J228" s="32" t="str">
        <x:v>https://docs.aws.amazon.com/whitepapers/latest/aws-overview/aws-services.html</x:v>
      </x:c>
      <x:c r="K228" s="32" t="str">
        <x:v>https://azure.microsoft.com/en-gb/products/</x:v>
      </x:c>
      <x:c r="L228" s="32" t="str">
        <x:v>https://docs.cloud.google.com/docs/product-list</x:v>
      </x:c>
      <x:c r="M228" s="32" t="str">
        <x:v>2026-07-12</x:v>
      </x:c>
    </x:row>
    <x:row r="229">
      <x:c r="A229" s="32" t="str">
        <x:v>Observability &amp; Reliability</x:v>
      </x:c>
      <x:c r="B229" s="32" t="str">
        <x:v>APM</x:v>
      </x:c>
      <x:c r="C229" s="32" t="str">
        <x:v>Application performance monitoring</x:v>
      </x:c>
      <x:c r="D229" s="32" t="str">
        <x:v>Measure application dependencies, requests, errors and user-facing performance.</x:v>
      </x:c>
      <x:c r="E229" s="32" t="str">
        <x:v>Amazon CloudWatch Application Signals
AWS X-Ray</x:v>
      </x:c>
      <x:c r="F229" s="32" t="str">
        <x:v>Azure Application Insights</x:v>
      </x:c>
      <x:c r="G229" s="32" t="str">
        <x:v>Google Cloud Observability</x:v>
      </x:c>
      <x:c r="H229" s="32" t="str">
        <x:v>Close</x:v>
      </x:c>
      <x:c r="I229" s="32"/>
      <x:c r="J229" s="32" t="str">
        <x:v>https://docs.aws.amazon.com/whitepapers/latest/aws-overview/aws-services.html</x:v>
      </x:c>
      <x:c r="K229" s="32" t="str">
        <x:v>https://azure.microsoft.com/en-gb/products/</x:v>
      </x:c>
      <x:c r="L229" s="32" t="str">
        <x:v>https://docs.cloud.google.com/docs/product-list</x:v>
      </x:c>
      <x:c r="M229" s="32" t="str">
        <x:v>2026-07-12</x:v>
      </x:c>
    </x:row>
    <x:row r="230">
      <x:c r="A230" s="32" t="str">
        <x:v>Observability &amp; Reliability</x:v>
      </x:c>
      <x:c r="B230" s="32" t="str">
        <x:v>Prometheus</x:v>
      </x:c>
      <x:c r="C230" s="32" t="str">
        <x:v>Managed Prometheus</x:v>
      </x:c>
      <x:c r="D230" s="32" t="str">
        <x:v>Collect and query Prometheus-compatible metrics without operating the backend.</x:v>
      </x:c>
      <x:c r="E230" s="32" t="str">
        <x:v>Amazon Managed Service for Prometheus</x:v>
      </x:c>
      <x:c r="F230" s="32" t="str">
        <x:v>Azure Monitor managed service for Prometheus</x:v>
      </x:c>
      <x:c r="G230" s="32" t="str">
        <x:v>Managed Service for Prometheus</x:v>
      </x:c>
      <x:c r="H230" s="32" t="str">
        <x:v>Exact</x:v>
      </x:c>
      <x:c r="I230" s="32"/>
      <x:c r="J230" s="32" t="str">
        <x:v>https://docs.aws.amazon.com/whitepapers/latest/aws-overview/aws-services.html</x:v>
      </x:c>
      <x:c r="K230" s="32" t="str">
        <x:v>https://azure.microsoft.com/en-gb/products/</x:v>
      </x:c>
      <x:c r="L230" s="32" t="str">
        <x:v>https://docs.cloud.google.com/docs/product-list</x:v>
      </x:c>
      <x:c r="M230" s="32" t="str">
        <x:v>2026-07-12</x:v>
      </x:c>
    </x:row>
    <x:row r="231">
      <x:c r="A231" s="32" t="str">
        <x:v>Observability &amp; Reliability</x:v>
      </x:c>
      <x:c r="B231" s="32" t="str">
        <x:v>Grafana</x:v>
      </x:c>
      <x:c r="C231" s="32" t="str">
        <x:v>Managed Grafana</x:v>
      </x:c>
      <x:c r="D231" s="32" t="str">
        <x:v>Operate hosted Grafana workspaces for visualising metrics, logs and traces.</x:v>
      </x:c>
      <x:c r="E231" s="32" t="str">
        <x:v>Amazon Managed Grafana</x:v>
      </x:c>
      <x:c r="F231" s="32" t="str">
        <x:v>Azure Managed Grafana</x:v>
      </x:c>
      <x:c r="G231" s="32" t="str">
        <x:v>Managed Service for Grafana / partner Grafana Cloud</x:v>
      </x:c>
      <x:c r="H231" s="32" t="str">
        <x:v>Partial</x:v>
      </x:c>
      <x:c r="I231" s="32"/>
      <x:c r="J231" s="32" t="str">
        <x:v>https://docs.aws.amazon.com/whitepapers/latest/aws-overview/aws-services.html</x:v>
      </x:c>
      <x:c r="K231" s="32" t="str">
        <x:v>https://azure.microsoft.com/en-gb/products/</x:v>
      </x:c>
      <x:c r="L231" s="32" t="str">
        <x:v>https://docs.cloud.google.com/docs/product-list</x:v>
      </x:c>
      <x:c r="M231" s="32" t="str">
        <x:v>2026-07-12</x:v>
      </x:c>
    </x:row>
    <x:row r="232">
      <x:c r="A232" s="32" t="str">
        <x:v>Observability &amp; Reliability</x:v>
      </x:c>
      <x:c r="B232" s="32" t="str">
        <x:v>Error tracking</x:v>
      </x:c>
      <x:c r="C232" s="32" t="str">
        <x:v>Application error reporting</x:v>
      </x:c>
      <x:c r="D232" s="32" t="str">
        <x:v>Aggregate and analyse application exceptions and crashes.</x:v>
      </x:c>
      <x:c r="E232" s="32" t="str">
        <x:v>Amazon CloudWatch Logs Insights
AWS X-Ray</x:v>
      </x:c>
      <x:c r="F232" s="32" t="str">
        <x:v>Azure Application Insights</x:v>
      </x:c>
      <x:c r="G232" s="32" t="str">
        <x:v>Error Reporting</x:v>
      </x:c>
      <x:c r="H232" s="32" t="str">
        <x:v>Close</x:v>
      </x:c>
      <x:c r="I232" s="32"/>
      <x:c r="J232" s="32" t="str">
        <x:v>https://docs.aws.amazon.com/whitepapers/latest/aws-overview/aws-services.html</x:v>
      </x:c>
      <x:c r="K232" s="32" t="str">
        <x:v>https://azure.microsoft.com/en-gb/products/</x:v>
      </x:c>
      <x:c r="L232" s="32" t="str">
        <x:v>https://docs.cloud.google.com/docs/product-list</x:v>
      </x:c>
      <x:c r="M232" s="32" t="str">
        <x:v>2026-07-12</x:v>
      </x:c>
    </x:row>
    <x:row r="233">
      <x:c r="A233" s="32" t="str">
        <x:v>Observability &amp; Reliability</x:v>
      </x:c>
      <x:c r="B233" s="32" t="str">
        <x:v>Profiling</x:v>
      </x:c>
      <x:c r="C233" s="32" t="str">
        <x:v>Production code profiling</x:v>
      </x:c>
      <x:c r="D233" s="32" t="str">
        <x:v>Identify CPU and memory hot spots in running applications.</x:v>
      </x:c>
      <x:c r="E233" s="32" t="str">
        <x:v>Amazon CodeGuru Profiler</x:v>
      </x:c>
      <x:c r="F233" s="32" t="str">
        <x:v>Azure Application Insights Profiler</x:v>
      </x:c>
      <x:c r="G233" s="32" t="str">
        <x:v>Cloud Profiler</x:v>
      </x:c>
      <x:c r="H233" s="32" t="str">
        <x:v>Exact</x:v>
      </x:c>
      <x:c r="I233" s="32"/>
      <x:c r="J233" s="32" t="str">
        <x:v>https://docs.aws.amazon.com/whitepapers/latest/aws-overview/aws-services.html</x:v>
      </x:c>
      <x:c r="K233" s="32" t="str">
        <x:v>https://azure.microsoft.com/en-gb/products/</x:v>
      </x:c>
      <x:c r="L233" s="32" t="str">
        <x:v>https://docs.cloud.google.com/docs/product-list</x:v>
      </x:c>
      <x:c r="M233" s="32" t="str">
        <x:v>2026-07-12</x:v>
      </x:c>
    </x:row>
    <x:row r="234">
      <x:c r="A234" s="32" t="str">
        <x:v>Observability &amp; Reliability</x:v>
      </x:c>
      <x:c r="B234" s="32" t="str">
        <x:v>SRE automation</x:v>
      </x:c>
      <x:c r="C234" s="32" t="str">
        <x:v>AI-assisted reliability engineering</x:v>
      </x:c>
      <x:c r="D234" s="32" t="str">
        <x:v>Investigate incidents, propose remediation and automate reliability workflows.</x:v>
      </x:c>
      <x:c r="E234" s="32" t="str">
        <x:v>Amazon DevOps Guru
Amazon Q Developer</x:v>
      </x:c>
      <x:c r="F234" s="32" t="str">
        <x:v>Azure SRE Agent</x:v>
      </x:c>
      <x:c r="G234" s="32" t="str">
        <x:v>Gemini Cloud Assist
Google Cloud Observability</x:v>
      </x:c>
      <x:c r="H234" s="32" t="str">
        <x:v>Close</x:v>
      </x:c>
      <x:c r="I234" s="32"/>
      <x:c r="J234" s="32" t="str">
        <x:v>https://docs.aws.amazon.com/whitepapers/latest/aws-overview/aws-services.html</x:v>
      </x:c>
      <x:c r="K234" s="32" t="str">
        <x:v>https://azure.microsoft.com/en-gb/products/</x:v>
      </x:c>
      <x:c r="L234" s="32" t="str">
        <x:v>https://docs.cloud.google.com/docs/product-list</x:v>
      </x:c>
      <x:c r="M234" s="32" t="str">
        <x:v>2026-07-12</x:v>
      </x:c>
    </x:row>
    <x:row r="235">
      <x:c r="A235" s="32" t="str">
        <x:v>Observability &amp; Reliability</x:v>
      </x:c>
      <x:c r="B235" s="32" t="str">
        <x:v>Status and maintenance</x:v>
      </x:c>
      <x:c r="C235" s="32" t="str">
        <x:v>Maintenance coordination</x:v>
      </x:c>
      <x:c r="D235" s="32" t="str">
        <x:v>Coordinate provider maintenance and workload updates to reduce disruption.</x:v>
      </x:c>
      <x:c r="E235" s="32" t="str">
        <x:v>AWS Health
AWS Systems Manager Maintenance Windows</x:v>
      </x:c>
      <x:c r="F235" s="32" t="str">
        <x:v>Azure Service Health
Azure Update Manager</x:v>
      </x:c>
      <x:c r="G235" s="32" t="str">
        <x:v>Unified Maintenance
Personalized Service Health</x:v>
      </x:c>
      <x:c r="H235" s="32" t="str">
        <x:v>Close</x:v>
      </x:c>
      <x:c r="I235" s="32"/>
      <x:c r="J235" s="32" t="str">
        <x:v>https://docs.aws.amazon.com/whitepapers/latest/aws-overview/aws-services.html</x:v>
      </x:c>
      <x:c r="K235" s="32" t="str">
        <x:v>https://azure.microsoft.com/en-gb/products/</x:v>
      </x:c>
      <x:c r="L235" s="32" t="str">
        <x:v>https://docs.cloud.google.com/docs/product-list</x:v>
      </x:c>
      <x:c r="M235" s="32" t="str">
        <x:v>2026-07-12</x:v>
      </x:c>
    </x:row>
    <x:row r="236">
      <x:c r="A236" s="32" t="str">
        <x:v>Migration &amp; Modernisation</x:v>
      </x:c>
      <x:c r="B236" s="32" t="str">
        <x:v>Discovery</x:v>
      </x:c>
      <x:c r="C236" s="32" t="str">
        <x:v>Migration discovery and assessment</x:v>
      </x:c>
      <x:c r="D236" s="32" t="str">
        <x:v>Discover servers, dependencies and utilisation to build migration plans and business cases.</x:v>
      </x:c>
      <x:c r="E236" s="32" t="str">
        <x:v>AWS Application Discovery Service
AWS Migration Hub</x:v>
      </x:c>
      <x:c r="F236" s="32" t="str">
        <x:v>Azure Migrate</x:v>
      </x:c>
      <x:c r="G236" s="32" t="str">
        <x:v>Migration Center</x:v>
      </x:c>
      <x:c r="H236" s="32" t="str">
        <x:v>Close</x:v>
      </x:c>
      <x:c r="I236" s="32"/>
      <x:c r="J236" s="32" t="str">
        <x:v>https://docs.aws.amazon.com/whitepapers/latest/aws-overview/aws-services.html</x:v>
      </x:c>
      <x:c r="K236" s="32" t="str">
        <x:v>https://azure.microsoft.com/en-gb/products/</x:v>
      </x:c>
      <x:c r="L236" s="32" t="str">
        <x:v>https://docs.cloud.google.com/docs/product-list</x:v>
      </x:c>
      <x:c r="M236" s="32" t="str">
        <x:v>2026-07-12</x:v>
      </x:c>
    </x:row>
    <x:row r="237">
      <x:c r="A237" s="32" t="str">
        <x:v>Migration &amp; Modernisation</x:v>
      </x:c>
      <x:c r="B237" s="32" t="str">
        <x:v>Migration portfolio</x:v>
      </x:c>
      <x:c r="C237" s="32" t="str">
        <x:v>Migration programme hub</x:v>
      </x:c>
      <x:c r="D237" s="32" t="str">
        <x:v>Track migration waves, applications, servers and progress from a central workspace.</x:v>
      </x:c>
      <x:c r="E237" s="32" t="str">
        <x:v>AWS Migration Hub</x:v>
      </x:c>
      <x:c r="F237" s="32" t="str">
        <x:v>Azure Migrate</x:v>
      </x:c>
      <x:c r="G237" s="32" t="str">
        <x:v>Migration Center</x:v>
      </x:c>
      <x:c r="H237" s="32" t="str">
        <x:v>Close</x:v>
      </x:c>
      <x:c r="I237" s="32"/>
      <x:c r="J237" s="32" t="str">
        <x:v>https://docs.aws.amazon.com/whitepapers/latest/aws-overview/aws-services.html</x:v>
      </x:c>
      <x:c r="K237" s="32" t="str">
        <x:v>https://azure.microsoft.com/en-gb/products/</x:v>
      </x:c>
      <x:c r="L237" s="32" t="str">
        <x:v>https://docs.cloud.google.com/docs/product-list</x:v>
      </x:c>
      <x:c r="M237" s="32" t="str">
        <x:v>2026-07-12</x:v>
      </x:c>
    </x:row>
    <x:row r="238">
      <x:c r="A238" s="32" t="str">
        <x:v>Migration &amp; Modernisation</x:v>
      </x:c>
      <x:c r="B238" s="32" t="str">
        <x:v>VM migration</x:v>
      </x:c>
      <x:c r="C238" s="32" t="str">
        <x:v>Virtual-machine migration</x:v>
      </x:c>
      <x:c r="D238" s="32" t="str">
        <x:v>Replicate and migrate physical or virtual servers into cloud virtual machines.</x:v>
      </x:c>
      <x:c r="E238" s="32" t="str">
        <x:v>AWS Application Migration Service / AWS Transform MGN</x:v>
      </x:c>
      <x:c r="F238" s="32" t="str">
        <x:v>Azure Migrate: Server Migration</x:v>
      </x:c>
      <x:c r="G238" s="32" t="str">
        <x:v>Migrate to Virtual Machines</x:v>
      </x:c>
      <x:c r="H238" s="32" t="str">
        <x:v>Exact</x:v>
      </x:c>
      <x:c r="I238" s="32"/>
      <x:c r="J238" s="32" t="str">
        <x:v>https://docs.aws.amazon.com/whitepapers/latest/aws-overview/aws-services.html</x:v>
      </x:c>
      <x:c r="K238" s="32" t="str">
        <x:v>https://azure.microsoft.com/en-gb/products/</x:v>
      </x:c>
      <x:c r="L238" s="32" t="str">
        <x:v>https://docs.cloud.google.com/docs/product-list</x:v>
      </x:c>
      <x:c r="M238" s="32" t="str">
        <x:v>2026-07-12</x:v>
      </x:c>
    </x:row>
    <x:row r="239">
      <x:c r="A239" s="32" t="str">
        <x:v>Migration &amp; Modernisation</x:v>
      </x:c>
      <x:c r="B239" s="32" t="str">
        <x:v>Application modernisation</x:v>
      </x:c>
      <x:c r="C239" s="32" t="str">
        <x:v>Application modernisation</x:v>
      </x:c>
      <x:c r="D239" s="32" t="str">
        <x:v>Assess and transform legacy applications into cloud-native architectures.</x:v>
      </x:c>
      <x:c r="E239" s="32" t="str">
        <x:v>AWS Transform
AWS App2Container</x:v>
      </x:c>
      <x:c r="F239" s="32" t="str">
        <x:v>Azure Migrate
Azure App Service migration tools</x:v>
      </x:c>
      <x:c r="G239" s="32" t="str">
        <x:v>Migrate to Containers</x:v>
      </x:c>
      <x:c r="H239" s="32" t="str">
        <x:v>Close</x:v>
      </x:c>
      <x:c r="I239" s="32"/>
      <x:c r="J239" s="32" t="str">
        <x:v>https://docs.aws.amazon.com/whitepapers/latest/aws-overview/aws-services.html</x:v>
      </x:c>
      <x:c r="K239" s="32" t="str">
        <x:v>https://azure.microsoft.com/en-gb/products/</x:v>
      </x:c>
      <x:c r="L239" s="32" t="str">
        <x:v>https://docs.cloud.google.com/docs/product-list</x:v>
      </x:c>
      <x:c r="M239" s="32" t="str">
        <x:v>2026-07-12</x:v>
      </x:c>
    </x:row>
    <x:row r="240">
      <x:c r="A240" s="32" t="str">
        <x:v>Migration &amp; Modernisation</x:v>
      </x:c>
      <x:c r="B240" s="32" t="str">
        <x:v>Mainframe</x:v>
      </x:c>
      <x:c r="C240" s="32" t="str">
        <x:v>Mainframe modernisation</x:v>
      </x:c>
      <x:c r="D240" s="32" t="str">
        <x:v>Assess, replatform, refactor or incrementally modernise mainframe workloads.</x:v>
      </x:c>
      <x:c r="E240" s="32" t="str">
        <x:v>AWS Mainframe Modernization Service
AWS Transform</x:v>
      </x:c>
      <x:c r="F240" s="32" t="str">
        <x:v>Azure Logic Apps mainframe connectors
partner mainframe services</x:v>
      </x:c>
      <x:c r="G240" s="32" t="str">
        <x:v>Mainframe Assessment Tool
Mainframe Connector
Dual Run</x:v>
      </x:c>
      <x:c r="H240" s="32" t="str">
        <x:v>Partial</x:v>
      </x:c>
      <x:c r="I240" s="32"/>
      <x:c r="J240" s="32" t="str">
        <x:v>https://docs.aws.amazon.com/whitepapers/latest/aws-overview/aws-services.html</x:v>
      </x:c>
      <x:c r="K240" s="32" t="str">
        <x:v>https://azure.microsoft.com/en-gb/products/</x:v>
      </x:c>
      <x:c r="L240" s="32" t="str">
        <x:v>https://docs.cloud.google.com/docs/product-list</x:v>
      </x:c>
      <x:c r="M240" s="32" t="str">
        <x:v>2026-07-12</x:v>
      </x:c>
    </x:row>
    <x:row r="241">
      <x:c r="A241" s="32" t="str">
        <x:v>Migration &amp; Modernisation</x:v>
      </x:c>
      <x:c r="B241" s="32" t="str">
        <x:v>File transfer</x:v>
      </x:c>
      <x:c r="C241" s="32" t="str">
        <x:v>Managed file transfer</x:v>
      </x:c>
      <x:c r="D241" s="32" t="str">
        <x:v>Transfer files using managed SFTP, FTPS or FTP endpoints.</x:v>
      </x:c>
      <x:c r="E241" s="32" t="str">
        <x:v>AWS Transfer Family</x:v>
      </x:c>
      <x:c r="F241" s="32" t="str">
        <x:v>Azure Storage SFTP</x:v>
      </x:c>
      <x:c r="G241" s="32" t="str">
        <x:v>Storage Transfer Service / partner SFTP</x:v>
      </x:c>
      <x:c r="H241" s="32" t="str">
        <x:v>Partial</x:v>
      </x:c>
      <x:c r="I241" s="32"/>
      <x:c r="J241" s="32" t="str">
        <x:v>https://docs.aws.amazon.com/whitepapers/latest/aws-overview/aws-services.html</x:v>
      </x:c>
      <x:c r="K241" s="32" t="str">
        <x:v>https://azure.microsoft.com/en-gb/products/</x:v>
      </x:c>
      <x:c r="L241" s="32" t="str">
        <x:v>https://docs.cloud.google.com/docs/product-list</x:v>
      </x:c>
      <x:c r="M241" s="32" t="str">
        <x:v>2026-07-12</x:v>
      </x:c>
    </x:row>
    <x:row r="242">
      <x:c r="A242" s="32" t="str">
        <x:v>Migration &amp; Modernisation</x:v>
      </x:c>
      <x:c r="B242" s="32" t="str">
        <x:v>Cross-cloud data transfer</x:v>
      </x:c>
      <x:c r="C242" s="32" t="str">
        <x:v>Cross-cloud data movement</x:v>
      </x:c>
      <x:c r="D242" s="32" t="str">
        <x:v>Move data efficiently between cloud providers and storage services.</x:v>
      </x:c>
      <x:c r="E242" s="32" t="str">
        <x:v>AWS DataSync</x:v>
      </x:c>
      <x:c r="F242" s="32" t="str">
        <x:v>Azure Data Factory
Azure Storage Mover</x:v>
      </x:c>
      <x:c r="G242" s="32" t="str">
        <x:v>Storage Transfer Service
Data Transfer Essentials</x:v>
      </x:c>
      <x:c r="H242" s="32" t="str">
        <x:v>Close</x:v>
      </x:c>
      <x:c r="I242" s="32"/>
      <x:c r="J242" s="32" t="str">
        <x:v>https://docs.aws.amazon.com/whitepapers/latest/aws-overview/aws-services.html</x:v>
      </x:c>
      <x:c r="K242" s="32" t="str">
        <x:v>https://azure.microsoft.com/en-gb/products/</x:v>
      </x:c>
      <x:c r="L242" s="32" t="str">
        <x:v>https://docs.cloud.google.com/docs/product-list</x:v>
      </x:c>
      <x:c r="M242" s="32" t="str">
        <x:v>2026-07-12</x:v>
      </x:c>
    </x:row>
    <x:row r="243">
      <x:c r="A243" s="32" t="str">
        <x:v>Migration &amp; Modernisation</x:v>
      </x:c>
      <x:c r="B243" s="32" t="str">
        <x:v>Resource relocation</x:v>
      </x:c>
      <x:c r="C243" s="32" t="str">
        <x:v>Cloud resource relocation</x:v>
      </x:c>
      <x:c r="D243" s="32" t="str">
        <x:v>Move supported resources between regions, subscriptions or projects.</x:v>
      </x:c>
      <x:c r="E243" s="32" t="str">
        <x:v>AWS Application Migration Service / service-specific replication</x:v>
      </x:c>
      <x:c r="F243" s="32" t="str">
        <x:v>Azure Resource Mover</x:v>
      </x:c>
      <x:c r="G243" s="32" t="str">
        <x:v>Migrate to Virtual Machines / service-specific replication</x:v>
      </x:c>
      <x:c r="H243" s="32" t="str">
        <x:v>Partial</x:v>
      </x:c>
      <x:c r="I243" s="32"/>
      <x:c r="J243" s="32" t="str">
        <x:v>https://docs.aws.amazon.com/whitepapers/latest/aws-overview/aws-services.html</x:v>
      </x:c>
      <x:c r="K243" s="32" t="str">
        <x:v>https://azure.microsoft.com/en-gb/products/</x:v>
      </x:c>
      <x:c r="L243" s="32" t="str">
        <x:v>https://docs.cloud.google.com/docs/product-list</x:v>
      </x:c>
      <x:c r="M243" s="32" t="str">
        <x:v>2026-07-12</x:v>
      </x:c>
    </x:row>
    <x:row r="244">
      <x:c r="A244" s="32" t="str">
        <x:v>IoT &amp; Edge</x:v>
      </x:c>
      <x:c r="B244" s="32" t="str">
        <x:v>IoT connectivity</x:v>
      </x:c>
      <x:c r="C244" s="32" t="str">
        <x:v>Managed IoT messaging</x:v>
      </x:c>
      <x:c r="D244" s="32" t="str">
        <x:v>Securely connect devices and exchange telemetry and commands at scale.</x:v>
      </x:c>
      <x:c r="E244" s="32" t="str">
        <x:v>AWS IoT Core</x:v>
      </x:c>
      <x:c r="F244" s="32" t="str">
        <x:v>Azure IoT Hub</x:v>
      </x:c>
      <x:c r="G244" s="32" t="str">
        <x:v>Google Cloud partner IoT platforms
Pub/Sub</x:v>
      </x:c>
      <x:c r="H244" s="32" t="str">
        <x:v>Partial</x:v>
      </x:c>
      <x:c r="I244" s="32" t="str">
        <x:v>Google Cloud retired its first-party IoT Core; current implementations use partners and core platform services.</x:v>
      </x:c>
      <x:c r="J244" s="32" t="str">
        <x:v>https://docs.aws.amazon.com/whitepapers/latest/aws-overview/aws-services.html</x:v>
      </x:c>
      <x:c r="K244" s="32" t="str">
        <x:v>https://azure.microsoft.com/en-gb/products/</x:v>
      </x:c>
      <x:c r="L244" s="32" t="str">
        <x:v>https://docs.cloud.google.com/docs/product-list</x:v>
      </x:c>
      <x:c r="M244" s="32" t="str">
        <x:v>2026-07-12</x:v>
      </x:c>
    </x:row>
    <x:row r="245">
      <x:c r="A245" s="32" t="str">
        <x:v>IoT &amp; Edge</x:v>
      </x:c>
      <x:c r="B245" s="32" t="str">
        <x:v>Device management</x:v>
      </x:c>
      <x:c r="C245" s="32" t="str">
        <x:v>IoT device management</x:v>
      </x:c>
      <x:c r="D245" s="32" t="str">
        <x:v>Register, organise, monitor and remotely manage device fleets.</x:v>
      </x:c>
      <x:c r="E245" s="32" t="str">
        <x:v>AWS IoT Device Management</x:v>
      </x:c>
      <x:c r="F245" s="32" t="str">
        <x:v>Azure IoT Hub Device Provisioning Service</x:v>
      </x:c>
      <x:c r="G245" s="32" t="str">
        <x:v>Google Cloud partner IoT platforms</x:v>
      </x:c>
      <x:c r="H245" s="32" t="str">
        <x:v>Partial</x:v>
      </x:c>
      <x:c r="I245" s="32"/>
      <x:c r="J245" s="32" t="str">
        <x:v>https://docs.aws.amazon.com/whitepapers/latest/aws-overview/aws-services.html</x:v>
      </x:c>
      <x:c r="K245" s="32" t="str">
        <x:v>https://azure.microsoft.com/en-gb/products/</x:v>
      </x:c>
      <x:c r="L245" s="32" t="str">
        <x:v>https://docs.cloud.google.com/docs/product-list</x:v>
      </x:c>
      <x:c r="M245" s="32" t="str">
        <x:v>2026-07-12</x:v>
      </x:c>
    </x:row>
    <x:row r="246">
      <x:c r="A246" s="32" t="str">
        <x:v>IoT &amp; Edge</x:v>
      </x:c>
      <x:c r="B246" s="32" t="str">
        <x:v>IoT security</x:v>
      </x:c>
      <x:c r="C246" s="32" t="str">
        <x:v>IoT security monitoring</x:v>
      </x:c>
      <x:c r="D246" s="32" t="str">
        <x:v>Audit device configurations and detect anomalous IoT behaviour.</x:v>
      </x:c>
      <x:c r="E246" s="32" t="str">
        <x:v>AWS IoT Device Defender</x:v>
      </x:c>
      <x:c r="F246" s="32" t="str">
        <x:v>Microsoft Defender for IoT</x:v>
      </x:c>
      <x:c r="G246" s="32" t="str">
        <x:v>Security Command Center / partner IoT security</x:v>
      </x:c>
      <x:c r="H246" s="32" t="str">
        <x:v>Partial</x:v>
      </x:c>
      <x:c r="I246" s="32"/>
      <x:c r="J246" s="32" t="str">
        <x:v>https://docs.aws.amazon.com/whitepapers/latest/aws-overview/aws-services.html</x:v>
      </x:c>
      <x:c r="K246" s="32" t="str">
        <x:v>https://azure.microsoft.com/en-gb/products/</x:v>
      </x:c>
      <x:c r="L246" s="32" t="str">
        <x:v>https://docs.cloud.google.com/docs/product-list</x:v>
      </x:c>
      <x:c r="M246" s="32" t="str">
        <x:v>2026-07-12</x:v>
      </x:c>
    </x:row>
    <x:row r="247">
      <x:c r="A247" s="32" t="str">
        <x:v>IoT &amp; Edge</x:v>
      </x:c>
      <x:c r="B247" s="32" t="str">
        <x:v>Edge runtime</x:v>
      </x:c>
      <x:c r="C247" s="32" t="str">
        <x:v>IoT edge runtime</x:v>
      </x:c>
      <x:c r="D247" s="32" t="str">
        <x:v>Run local messaging, compute and ML inference on edge devices.</x:v>
      </x:c>
      <x:c r="E247" s="32" t="str">
        <x:v>AWS IoT Greengrass</x:v>
      </x:c>
      <x:c r="F247" s="32" t="str">
        <x:v>Azure IoT Edge</x:v>
      </x:c>
      <x:c r="G247" s="32" t="str">
        <x:v>Google Distributed Cloud Edge / partner runtimes</x:v>
      </x:c>
      <x:c r="H247" s="32" t="str">
        <x:v>Partial</x:v>
      </x:c>
      <x:c r="I247" s="32"/>
      <x:c r="J247" s="32" t="str">
        <x:v>https://docs.aws.amazon.com/whitepapers/latest/aws-overview/aws-services.html</x:v>
      </x:c>
      <x:c r="K247" s="32" t="str">
        <x:v>https://azure.microsoft.com/en-gb/products/</x:v>
      </x:c>
      <x:c r="L247" s="32" t="str">
        <x:v>https://docs.cloud.google.com/docs/product-list</x:v>
      </x:c>
      <x:c r="M247" s="32" t="str">
        <x:v>2026-07-12</x:v>
      </x:c>
    </x:row>
    <x:row r="248">
      <x:c r="A248" s="32" t="str">
        <x:v>IoT &amp; Edge</x:v>
      </x:c>
      <x:c r="B248" s="32" t="str">
        <x:v>Digital twins</x:v>
      </x:c>
      <x:c r="C248" s="32" t="str">
        <x:v>Digital twin platform</x:v>
      </x:c>
      <x:c r="D248" s="32" t="str">
        <x:v>Model physical environments, assets and relationships using digital representations.</x:v>
      </x:c>
      <x:c r="E248" s="32" t="str">
        <x:v>AWS IoT TwinMaker</x:v>
      </x:c>
      <x:c r="F248" s="32" t="str">
        <x:v>Azure Digital Twins</x:v>
      </x:c>
      <x:c r="G248" s="32" t="str">
        <x:v>Manufacturing Data Engine / partner digital twins</x:v>
      </x:c>
      <x:c r="H248" s="32" t="str">
        <x:v>Partial</x:v>
      </x:c>
      <x:c r="I248" s="32"/>
      <x:c r="J248" s="32" t="str">
        <x:v>https://docs.aws.amazon.com/whitepapers/latest/aws-overview/aws-services.html</x:v>
      </x:c>
      <x:c r="K248" s="32" t="str">
        <x:v>https://azure.microsoft.com/en-gb/products/</x:v>
      </x:c>
      <x:c r="L248" s="32" t="str">
        <x:v>https://docs.cloud.google.com/docs/product-list</x:v>
      </x:c>
      <x:c r="M248" s="32" t="str">
        <x:v>2026-07-12</x:v>
      </x:c>
    </x:row>
    <x:row r="249">
      <x:c r="A249" s="32" t="str">
        <x:v>IoT &amp; Edge</x:v>
      </x:c>
      <x:c r="B249" s="32" t="str">
        <x:v>Industrial IoT</x:v>
      </x:c>
      <x:c r="C249" s="32" t="str">
        <x:v>Industrial equipment data platform</x:v>
      </x:c>
      <x:c r="D249" s="32" t="str">
        <x:v>Collect, contextualise and monitor industrial equipment and process data.</x:v>
      </x:c>
      <x:c r="E249" s="32" t="str">
        <x:v>AWS IoT SiteWise
Amazon Monitron</x:v>
      </x:c>
      <x:c r="F249" s="32" t="str">
        <x:v>Azure IoT Operations</x:v>
      </x:c>
      <x:c r="G249" s="32" t="str">
        <x:v>Manufacturing Data Engine</x:v>
      </x:c>
      <x:c r="H249" s="32" t="str">
        <x:v>Close</x:v>
      </x:c>
      <x:c r="I249" s="32"/>
      <x:c r="J249" s="32" t="str">
        <x:v>https://docs.aws.amazon.com/whitepapers/latest/aws-overview/aws-services.html</x:v>
      </x:c>
      <x:c r="K249" s="32" t="str">
        <x:v>https://azure.microsoft.com/en-gb/products/</x:v>
      </x:c>
      <x:c r="L249" s="32" t="str">
        <x:v>https://docs.cloud.google.com/docs/product-list</x:v>
      </x:c>
      <x:c r="M249" s="32" t="str">
        <x:v>2026-07-12</x:v>
      </x:c>
    </x:row>
    <x:row r="250">
      <x:c r="A250" s="32" t="str">
        <x:v>IoT &amp; Edge</x:v>
      </x:c>
      <x:c r="B250" s="32" t="str">
        <x:v>Vehicle telemetry</x:v>
      </x:c>
      <x:c r="C250" s="32" t="str">
        <x:v>Connected vehicle data</x:v>
      </x:c>
      <x:c r="D250" s="32" t="str">
        <x:v>Collect and process vehicle telemetry and fleet data.</x:v>
      </x:c>
      <x:c r="E250" s="32" t="str">
        <x:v>AWS IoT FleetWise</x:v>
      </x:c>
      <x:c r="F250" s="32" t="str">
        <x:v>Azure Data Manager for Agriculture / mobility partner solutions</x:v>
      </x:c>
      <x:c r="G250" s="32" t="str">
        <x:v>Fleet Routing / partner automotive solutions</x:v>
      </x:c>
      <x:c r="H250" s="32" t="str">
        <x:v>Partial</x:v>
      </x:c>
      <x:c r="I250" s="32"/>
      <x:c r="J250" s="32" t="str">
        <x:v>https://docs.aws.amazon.com/whitepapers/latest/aws-overview/aws-services.html</x:v>
      </x:c>
      <x:c r="K250" s="32" t="str">
        <x:v>https://azure.microsoft.com/en-gb/products/</x:v>
      </x:c>
      <x:c r="L250" s="32" t="str">
        <x:v>https://docs.cloud.google.com/docs/product-list</x:v>
      </x:c>
      <x:c r="M250" s="32" t="str">
        <x:v>2026-07-12</x:v>
      </x:c>
    </x:row>
    <x:row r="251">
      <x:c r="A251" s="32" t="str">
        <x:v>IoT &amp; Edge</x:v>
      </x:c>
      <x:c r="B251" s="32" t="str">
        <x:v>Event detection</x:v>
      </x:c>
      <x:c r="C251" s="32" t="str">
        <x:v>IoT event detection</x:v>
      </x:c>
      <x:c r="D251" s="32" t="str">
        <x:v>Detect operational states and events from IoT telemetry.</x:v>
      </x:c>
      <x:c r="E251" s="32" t="str">
        <x:v>AWS IoT Events</x:v>
      </x:c>
      <x:c r="F251" s="32" t="str">
        <x:v>Azure Stream Analytics
Azure IoT Operations</x:v>
      </x:c>
      <x:c r="G251" s="32" t="str">
        <x:v>Dataflow
Pub/Sub</x:v>
      </x:c>
      <x:c r="H251" s="32" t="str">
        <x:v>Partial</x:v>
      </x:c>
      <x:c r="I251" s="32"/>
      <x:c r="J251" s="32" t="str">
        <x:v>https://docs.aws.amazon.com/whitepapers/latest/aws-overview/aws-services.html</x:v>
      </x:c>
      <x:c r="K251" s="32" t="str">
        <x:v>https://azure.microsoft.com/en-gb/products/</x:v>
      </x:c>
      <x:c r="L251" s="32" t="str">
        <x:v>https://docs.cloud.google.com/docs/product-list</x:v>
      </x:c>
      <x:c r="M251" s="32" t="str">
        <x:v>2026-07-12</x:v>
      </x:c>
    </x:row>
    <x:row r="252">
      <x:c r="A252" s="32" t="str">
        <x:v>IoT &amp; Edge</x:v>
      </x:c>
      <x:c r="B252" s="32" t="str">
        <x:v>Embedded OS</x:v>
      </x:c>
      <x:c r="C252" s="32" t="str">
        <x:v>Embedded real-time operating system</x:v>
      </x:c>
      <x:c r="D252" s="32" t="str">
        <x:v>Provide an open real-time operating system and cloud integration for microcontrollers.</x:v>
      </x:c>
      <x:c r="E252" s="32" t="str">
        <x:v>FreeRTOS</x:v>
      </x:c>
      <x:c r="F252" s="32" t="str">
        <x:v>Azure RTOS / Eclipse ThreadX ecosystem</x:v>
      </x:c>
      <x:c r="G252" s="32" t="str">
        <x:v>Zephyr / partner ecosystem</x:v>
      </x:c>
      <x:c r="H252" s="32" t="str">
        <x:v>Partial</x:v>
      </x:c>
      <x:c r="I252" s="32"/>
      <x:c r="J252" s="32" t="str">
        <x:v>https://docs.aws.amazon.com/whitepapers/latest/aws-overview/aws-services.html</x:v>
      </x:c>
      <x:c r="K252" s="32" t="str">
        <x:v>https://azure.microsoft.com/en-gb/products/</x:v>
      </x:c>
      <x:c r="L252" s="32" t="str">
        <x:v>https://docs.cloud.google.com/docs/product-list</x:v>
      </x:c>
      <x:c r="M252" s="32" t="str">
        <x:v>2026-07-12</x:v>
      </x:c>
    </x:row>
    <x:row r="253">
      <x:c r="A253" s="32" t="str">
        <x:v>Media &amp; Communications</x:v>
      </x:c>
      <x:c r="B253" s="32" t="str">
        <x:v>Media transcoding</x:v>
      </x:c>
      <x:c r="C253" s="32" t="str">
        <x:v>File-based media transcoding</x:v>
      </x:c>
      <x:c r="D253" s="32" t="str">
        <x:v>Convert stored audio and video into delivery-ready formats and renditions.</x:v>
      </x:c>
      <x:c r="E253" s="32" t="str">
        <x:v>AWS Elemental MediaConvert
Amazon Elastic Transcoder</x:v>
      </x:c>
      <x:c r="F253" s="32" t="str">
        <x:v>Azure Media Services migration partners
Azure Functions / partner encoders</x:v>
      </x:c>
      <x:c r="G253" s="32" t="str">
        <x:v>Transcoder API</x:v>
      </x:c>
      <x:c r="H253" s="32" t="str">
        <x:v>Partial</x:v>
      </x:c>
      <x:c r="I253" s="32" t="str">
        <x:v>Azure Media Services was retired; current Azure architectures use partner solutions and general compute/services.</x:v>
      </x:c>
      <x:c r="J253" s="32" t="str">
        <x:v>https://docs.aws.amazon.com/whitepapers/latest/aws-overview/aws-services.html</x:v>
      </x:c>
      <x:c r="K253" s="32" t="str">
        <x:v>https://azure.microsoft.com/en-gb/products/</x:v>
      </x:c>
      <x:c r="L253" s="32" t="str">
        <x:v>https://docs.cloud.google.com/docs/product-list</x:v>
      </x:c>
      <x:c r="M253" s="32" t="str">
        <x:v>2026-07-12</x:v>
      </x:c>
    </x:row>
    <x:row r="254">
      <x:c r="A254" s="32" t="str">
        <x:v>Media &amp; Communications</x:v>
      </x:c>
      <x:c r="B254" s="32" t="str">
        <x:v>Live video processing</x:v>
      </x:c>
      <x:c r="C254" s="32" t="str">
        <x:v>Live video encoding</x:v>
      </x:c>
      <x:c r="D254" s="32" t="str">
        <x:v>Encode and transform live video streams for broadcast and online distribution.</x:v>
      </x:c>
      <x:c r="E254" s="32" t="str">
        <x:v>AWS Elemental MediaLive</x:v>
      </x:c>
      <x:c r="F254" s="32" t="str">
        <x:v>partner live-video services on Azure</x:v>
      </x:c>
      <x:c r="G254" s="32" t="str">
        <x:v>Live Stream API</x:v>
      </x:c>
      <x:c r="H254" s="32" t="str">
        <x:v>Partial</x:v>
      </x:c>
      <x:c r="I254" s="32"/>
      <x:c r="J254" s="32" t="str">
        <x:v>https://docs.aws.amazon.com/whitepapers/latest/aws-overview/aws-services.html</x:v>
      </x:c>
      <x:c r="K254" s="32" t="str">
        <x:v>https://azure.microsoft.com/en-gb/products/</x:v>
      </x:c>
      <x:c r="L254" s="32" t="str">
        <x:v>https://docs.cloud.google.com/docs/product-list</x:v>
      </x:c>
      <x:c r="M254" s="32" t="str">
        <x:v>2026-07-12</x:v>
      </x:c>
    </x:row>
    <x:row r="255">
      <x:c r="A255" s="32" t="str">
        <x:v>Media &amp; Communications</x:v>
      </x:c>
      <x:c r="B255" s="32" t="str">
        <x:v>Video packaging</x:v>
      </x:c>
      <x:c r="C255" s="32" t="str">
        <x:v>Video packaging and origin</x:v>
      </x:c>
      <x:c r="D255" s="32" t="str">
        <x:v>Package live or on-demand video into streaming formats and serve manifests.</x:v>
      </x:c>
      <x:c r="E255" s="32" t="str">
        <x:v>AWS Elemental MediaPackage
AWS Elemental MediaStore</x:v>
      </x:c>
      <x:c r="F255" s="32" t="str">
        <x:v>Azure Storage
Azure Front Door
partner packaging</x:v>
      </x:c>
      <x:c r="G255" s="32" t="str">
        <x:v>Transcoder API
Cloud Storage
Media CDN</x:v>
      </x:c>
      <x:c r="H255" s="32" t="str">
        <x:v>Partial</x:v>
      </x:c>
      <x:c r="I255" s="32"/>
      <x:c r="J255" s="32" t="str">
        <x:v>https://docs.aws.amazon.com/whitepapers/latest/aws-overview/aws-services.html</x:v>
      </x:c>
      <x:c r="K255" s="32" t="str">
        <x:v>https://azure.microsoft.com/en-gb/products/</x:v>
      </x:c>
      <x:c r="L255" s="32" t="str">
        <x:v>https://docs.cloud.google.com/docs/product-list</x:v>
      </x:c>
      <x:c r="M255" s="32" t="str">
        <x:v>2026-07-12</x:v>
      </x:c>
    </x:row>
    <x:row r="256">
      <x:c r="A256" s="32" t="str">
        <x:v>Media &amp; Communications</x:v>
      </x:c>
      <x:c r="B256" s="32" t="str">
        <x:v>Video transport</x:v>
      </x:c>
      <x:c r="C256" s="32" t="str">
        <x:v>Live video transport</x:v>
      </x:c>
      <x:c r="D256" s="32" t="str">
        <x:v>Reliably transport high-quality live video between sites, partners and cloud workflows.</x:v>
      </x:c>
      <x:c r="E256" s="32" t="str">
        <x:v>AWS Elemental MediaConnect</x:v>
      </x:c>
      <x:c r="F256" s="32" t="str">
        <x:v>Azure ExpressRoute / partner media transport</x:v>
      </x:c>
      <x:c r="G256" s="32" t="str">
        <x:v>Cloud Interconnect / partner media transport</x:v>
      </x:c>
      <x:c r="H256" s="32" t="str">
        <x:v>Partial</x:v>
      </x:c>
      <x:c r="I256" s="32"/>
      <x:c r="J256" s="32" t="str">
        <x:v>https://docs.aws.amazon.com/whitepapers/latest/aws-overview/aws-services.html</x:v>
      </x:c>
      <x:c r="K256" s="32" t="str">
        <x:v>https://azure.microsoft.com/en-gb/products/</x:v>
      </x:c>
      <x:c r="L256" s="32" t="str">
        <x:v>https://docs.cloud.google.com/docs/product-list</x:v>
      </x:c>
      <x:c r="M256" s="32" t="str">
        <x:v>2026-07-12</x:v>
      </x:c>
    </x:row>
    <x:row r="257">
      <x:c r="A257" s="32" t="str">
        <x:v>Media &amp; Communications</x:v>
      </x:c>
      <x:c r="B257" s="32" t="str">
        <x:v>Interactive streaming</x:v>
      </x:c>
      <x:c r="C257" s="32" t="str">
        <x:v>Interactive low-latency streaming</x:v>
      </x:c>
      <x:c r="D257" s="32" t="str">
        <x:v>Build low-latency live video experiences with interactive application features.</x:v>
      </x:c>
      <x:c r="E257" s="32" t="str">
        <x:v>Amazon Interactive Video Service</x:v>
      </x:c>
      <x:c r="F257" s="32" t="str">
        <x:v>Azure Communication Services / partner video platforms</x:v>
      </x:c>
      <x:c r="G257" s="32" t="str">
        <x:v>WebRTC on Google Cloud / partner platforms</x:v>
      </x:c>
      <x:c r="H257" s="32" t="str">
        <x:v>Partial</x:v>
      </x:c>
      <x:c r="I257" s="32"/>
      <x:c r="J257" s="32" t="str">
        <x:v>https://docs.aws.amazon.com/whitepapers/latest/aws-overview/aws-services.html</x:v>
      </x:c>
      <x:c r="K257" s="32" t="str">
        <x:v>https://azure.microsoft.com/en-gb/products/</x:v>
      </x:c>
      <x:c r="L257" s="32" t="str">
        <x:v>https://docs.cloud.google.com/docs/product-list</x:v>
      </x:c>
      <x:c r="M257" s="32" t="str">
        <x:v>2026-07-12</x:v>
      </x:c>
    </x:row>
    <x:row r="258">
      <x:c r="A258" s="32" t="str">
        <x:v>Media &amp; Communications</x:v>
      </x:c>
      <x:c r="B258" s="32" t="str">
        <x:v>Ad insertion</x:v>
      </x:c>
      <x:c r="C258" s="32" t="str">
        <x:v>Server-side ad insertion</x:v>
      </x:c>
      <x:c r="D258" s="32" t="str">
        <x:v>Personalise and insert advertising into streaming video on the server side.</x:v>
      </x:c>
      <x:c r="E258" s="32" t="str">
        <x:v>AWS Elemental MediaTailor</x:v>
      </x:c>
      <x:c r="F258" s="32" t="str">
        <x:v>partner ad-insertion services on Azure</x:v>
      </x:c>
      <x:c r="G258" s="32" t="str">
        <x:v>Video Stitcher API</x:v>
      </x:c>
      <x:c r="H258" s="32" t="str">
        <x:v>Partial</x:v>
      </x:c>
      <x:c r="I258" s="32"/>
      <x:c r="J258" s="32" t="str">
        <x:v>https://docs.aws.amazon.com/whitepapers/latest/aws-overview/aws-services.html</x:v>
      </x:c>
      <x:c r="K258" s="32" t="str">
        <x:v>https://azure.microsoft.com/en-gb/products/</x:v>
      </x:c>
      <x:c r="L258" s="32" t="str">
        <x:v>https://docs.cloud.google.com/docs/product-list</x:v>
      </x:c>
      <x:c r="M258" s="32" t="str">
        <x:v>2026-07-12</x:v>
      </x:c>
    </x:row>
    <x:row r="259">
      <x:c r="A259" s="32" t="str">
        <x:v>Media &amp; Communications</x:v>
      </x:c>
      <x:c r="B259" s="32" t="str">
        <x:v>Communications APIs</x:v>
      </x:c>
      <x:c r="C259" s="32" t="str">
        <x:v>Programmable communications</x:v>
      </x:c>
      <x:c r="D259" s="32" t="str">
        <x:v>Add voice, video, chat, SMS or email communications to applications.</x:v>
      </x:c>
      <x:c r="E259" s="32" t="str">
        <x:v>Amazon Chime SDK
Amazon Connect</x:v>
      </x:c>
      <x:c r="F259" s="32" t="str">
        <x:v>Azure Communication Services</x:v>
      </x:c>
      <x:c r="G259" s="32" t="str">
        <x:v>Google Cloud CCaaS / partner communications APIs</x:v>
      </x:c>
      <x:c r="H259" s="32" t="str">
        <x:v>Partial</x:v>
      </x:c>
      <x:c r="I259" s="32"/>
      <x:c r="J259" s="32" t="str">
        <x:v>https://docs.aws.amazon.com/whitepapers/latest/aws-overview/aws-services.html</x:v>
      </x:c>
      <x:c r="K259" s="32" t="str">
        <x:v>https://azure.microsoft.com/en-gb/products/</x:v>
      </x:c>
      <x:c r="L259" s="32" t="str">
        <x:v>https://docs.cloud.google.com/docs/product-list</x:v>
      </x:c>
      <x:c r="M259" s="32" t="str">
        <x:v>2026-07-12</x:v>
      </x:c>
    </x:row>
    <x:row r="260">
      <x:c r="A260" s="32" t="str">
        <x:v>Media &amp; Communications</x:v>
      </x:c>
      <x:c r="B260" s="32" t="str">
        <x:v>Maps</x:v>
      </x:c>
      <x:c r="C260" s="32" t="str">
        <x:v>Maps and geospatial APIs</x:v>
      </x:c>
      <x:c r="D260" s="32" t="str">
        <x:v>Add maps, geocoding, routing and location features to applications.</x:v>
      </x:c>
      <x:c r="E260" s="32" t="str">
        <x:v>Amazon Location Service</x:v>
      </x:c>
      <x:c r="F260" s="32" t="str">
        <x:v>Azure Maps</x:v>
      </x:c>
      <x:c r="G260" s="32" t="str">
        <x:v>Google Maps Platform</x:v>
      </x:c>
      <x:c r="H260" s="32" t="str">
        <x:v>Close</x:v>
      </x:c>
      <x:c r="I260" s="32"/>
      <x:c r="J260" s="32" t="str">
        <x:v>https://docs.aws.amazon.com/whitepapers/latest/aws-overview/aws-services.html</x:v>
      </x:c>
      <x:c r="K260" s="32" t="str">
        <x:v>https://azure.microsoft.com/en-gb/products/</x:v>
      </x:c>
      <x:c r="L260" s="32" t="str">
        <x:v>https://docs.cloud.google.com/docs/product-list</x:v>
      </x:c>
      <x:c r="M260" s="32" t="str">
        <x:v>2026-07-12</x:v>
      </x:c>
    </x:row>
    <x:row r="261">
      <x:c r="A261" s="32" t="str">
        <x:v>Media &amp; Communications</x:v>
      </x:c>
      <x:c r="B261" s="32" t="str">
        <x:v>Game servers</x:v>
      </x:c>
      <x:c r="C261" s="32" t="str">
        <x:v>Managed multiplayer game servers</x:v>
      </x:c>
      <x:c r="D261" s="32" t="str">
        <x:v>Deploy, scale and operate session-based multiplayer game server fleets.</x:v>
      </x:c>
      <x:c r="E261" s="32" t="str">
        <x:v>Amazon GameLift Servers</x:v>
      </x:c>
      <x:c r="F261" s="32" t="str">
        <x:v>PlayFab Multiplayer Servers</x:v>
      </x:c>
      <x:c r="G261" s="32" t="str">
        <x:v>Agones on Google Kubernetes Engine</x:v>
      </x:c>
      <x:c r="H261" s="32" t="str">
        <x:v>Close</x:v>
      </x:c>
      <x:c r="I261" s="32"/>
      <x:c r="J261" s="32" t="str">
        <x:v>https://docs.aws.amazon.com/whitepapers/latest/aws-overview/aws-services.html</x:v>
      </x:c>
      <x:c r="K261" s="32" t="str">
        <x:v>https://azure.microsoft.com/en-gb/products/</x:v>
      </x:c>
      <x:c r="L261" s="32" t="str">
        <x:v>https://docs.cloud.google.com/docs/product-list</x:v>
      </x:c>
      <x:c r="M261" s="32" t="str">
        <x:v>2026-07-12</x:v>
      </x:c>
    </x:row>
    <x:row r="262">
      <x:c r="A262" s="32" t="str">
        <x:v>End-User Computing &amp; Business Apps</x:v>
      </x:c>
      <x:c r="B262" s="32" t="str">
        <x:v>Virtual desktops</x:v>
      </x:c>
      <x:c r="C262" s="32" t="str">
        <x:v>Managed virtual desktop</x:v>
      </x:c>
      <x:c r="D262" s="32" t="str">
        <x:v>Deliver cloud-hosted desktops and applications to end users.</x:v>
      </x:c>
      <x:c r="E262" s="32" t="str">
        <x:v>Amazon WorkSpaces</x:v>
      </x:c>
      <x:c r="F262" s="32" t="str">
        <x:v>Azure Virtual Desktop
Windows 365</x:v>
      </x:c>
      <x:c r="G262" s="32" t="str">
        <x:v>partner virtual desktop solutions on Google Cloud</x:v>
      </x:c>
      <x:c r="H262" s="32" t="str">
        <x:v>Partial</x:v>
      </x:c>
      <x:c r="I262" s="32"/>
      <x:c r="J262" s="32" t="str">
        <x:v>https://docs.aws.amazon.com/whitepapers/latest/aws-overview/aws-services.html</x:v>
      </x:c>
      <x:c r="K262" s="32" t="str">
        <x:v>https://azure.microsoft.com/en-gb/products/</x:v>
      </x:c>
      <x:c r="L262" s="32" t="str">
        <x:v>https://docs.cloud.google.com/docs/product-list</x:v>
      </x:c>
      <x:c r="M262" s="32" t="str">
        <x:v>2026-07-12</x:v>
      </x:c>
    </x:row>
    <x:row r="263">
      <x:c r="A263" s="32" t="str">
        <x:v>End-User Computing &amp; Business Apps</x:v>
      </x:c>
      <x:c r="B263" s="32" t="str">
        <x:v>Application streaming</x:v>
      </x:c>
      <x:c r="C263" s="32" t="str">
        <x:v>Application streaming</x:v>
      </x:c>
      <x:c r="D263" s="32" t="str">
        <x:v>Stream centrally managed desktop applications to users without full local installation.</x:v>
      </x:c>
      <x:c r="E263" s="32" t="str">
        <x:v>Amazon WorkSpaces Applications</x:v>
      </x:c>
      <x:c r="F263" s="32" t="str">
        <x:v>Azure Virtual Desktop RemoteApp</x:v>
      </x:c>
      <x:c r="G263" s="32" t="str">
        <x:v>partner application streaming on Google Cloud</x:v>
      </x:c>
      <x:c r="H263" s="32" t="str">
        <x:v>Close</x:v>
      </x:c>
      <x:c r="I263" s="32"/>
      <x:c r="J263" s="32" t="str">
        <x:v>https://docs.aws.amazon.com/whitepapers/latest/aws-overview/aws-services.html</x:v>
      </x:c>
      <x:c r="K263" s="32" t="str">
        <x:v>https://azure.microsoft.com/en-gb/products/</x:v>
      </x:c>
      <x:c r="L263" s="32" t="str">
        <x:v>https://docs.cloud.google.com/docs/product-list</x:v>
      </x:c>
      <x:c r="M263" s="32" t="str">
        <x:v>2026-07-12</x:v>
      </x:c>
    </x:row>
    <x:row r="264">
      <x:c r="A264" s="32" t="str">
        <x:v>End-User Computing &amp; Business Apps</x:v>
      </x:c>
      <x:c r="B264" s="32" t="str">
        <x:v>Contact centre</x:v>
      </x:c>
      <x:c r="C264" s="32" t="str">
        <x:v>Cloud contact centre</x:v>
      </x:c>
      <x:c r="D264" s="32" t="str">
        <x:v>Provide omnichannel routing, agent desktops, analytics and automation for customer service.</x:v>
      </x:c>
      <x:c r="E264" s="32" t="str">
        <x:v>Amazon Connect</x:v>
      </x:c>
      <x:c r="F264" s="32" t="str">
        <x:v>Dynamics 365 Contact Center
Azure Communication Services</x:v>
      </x:c>
      <x:c r="G264" s="32" t="str">
        <x:v>Google Cloud CCaaS</x:v>
      </x:c>
      <x:c r="H264" s="32" t="str">
        <x:v>Close</x:v>
      </x:c>
      <x:c r="I264" s="32"/>
      <x:c r="J264" s="32" t="str">
        <x:v>https://docs.aws.amazon.com/whitepapers/latest/aws-overview/aws-services.html</x:v>
      </x:c>
      <x:c r="K264" s="32" t="str">
        <x:v>https://azure.microsoft.com/en-gb/products/</x:v>
      </x:c>
      <x:c r="L264" s="32" t="str">
        <x:v>https://docs.cloud.google.com/docs/product-list</x:v>
      </x:c>
      <x:c r="M264" s="32" t="str">
        <x:v>2026-07-12</x:v>
      </x:c>
    </x:row>
    <x:row r="265">
      <x:c r="A265" s="32" t="str">
        <x:v>End-User Computing &amp; Business Apps</x:v>
      </x:c>
      <x:c r="B265" s="32" t="str">
        <x:v>Business email</x:v>
      </x:c>
      <x:c r="C265" s="32" t="str">
        <x:v>Managed business email</x:v>
      </x:c>
      <x:c r="D265" s="32" t="str">
        <x:v>Host managed organisational email and calendaring.</x:v>
      </x:c>
      <x:c r="E265" s="32" t="str">
        <x:v>Amazon WorkMail</x:v>
      </x:c>
      <x:c r="F265" s="32" t="str">
        <x:v>Microsoft Exchange Online</x:v>
      </x:c>
      <x:c r="G265" s="32" t="str">
        <x:v>Google Workspace Gmail</x:v>
      </x:c>
      <x:c r="H265" s="32" t="str">
        <x:v>Exact</x:v>
      </x:c>
      <x:c r="I265" s="32" t="str">
        <x:v>Microsoft 365 and Google Workspace sit outside the core Azure/GCP infrastructure catalogues but are the closest provider alternatives.</x:v>
      </x:c>
      <x:c r="J265" s="32" t="str">
        <x:v>https://docs.aws.amazon.com/whitepapers/latest/aws-overview/aws-services.html</x:v>
      </x:c>
      <x:c r="K265" s="32" t="str">
        <x:v>https://azure.microsoft.com/en-gb/products/</x:v>
      </x:c>
      <x:c r="L265" s="32" t="str">
        <x:v>https://docs.cloud.google.com/docs/product-list</x:v>
      </x:c>
      <x:c r="M265" s="32" t="str">
        <x:v>2026-07-12</x:v>
      </x:c>
    </x:row>
    <x:row r="266">
      <x:c r="A266" s="32" t="str">
        <x:v>End-User Computing &amp; Business Apps</x:v>
      </x:c>
      <x:c r="B266" s="32" t="str">
        <x:v>Collaboration</x:v>
      </x:c>
      <x:c r="C266" s="32" t="str">
        <x:v>Business collaboration</x:v>
      </x:c>
      <x:c r="D266" s="32" t="str">
        <x:v>Provide meetings, chat, content collaboration and productivity capabilities.</x:v>
      </x:c>
      <x:c r="E266" s="32" t="str">
        <x:v>Amazon Chime
Amazon WorkDocs</x:v>
      </x:c>
      <x:c r="F266" s="32" t="str">
        <x:v>Microsoft Teams
SharePoint Online</x:v>
      </x:c>
      <x:c r="G266" s="32" t="str">
        <x:v>Google Workspace</x:v>
      </x:c>
      <x:c r="H266" s="32" t="str">
        <x:v>Partial</x:v>
      </x:c>
      <x:c r="I266" s="32"/>
      <x:c r="J266" s="32" t="str">
        <x:v>https://docs.aws.amazon.com/whitepapers/latest/aws-overview/aws-services.html</x:v>
      </x:c>
      <x:c r="K266" s="32" t="str">
        <x:v>https://azure.microsoft.com/en-gb/products/</x:v>
      </x:c>
      <x:c r="L266" s="32" t="str">
        <x:v>https://docs.cloud.google.com/docs/product-list</x:v>
      </x:c>
      <x:c r="M266" s="32" t="str">
        <x:v>2026-07-12</x:v>
      </x:c>
    </x:row>
    <x:row r="267">
      <x:c r="A267" s="32" t="str">
        <x:v>Industry &amp; Specialist</x:v>
      </x:c>
      <x:c r="B267" s="32" t="str">
        <x:v>Satellite</x:v>
      </x:c>
      <x:c r="C267" s="32" t="str">
        <x:v>Ground-station as a service</x:v>
      </x:c>
      <x:c r="D267" s="32" t="str">
        <x:v>Schedule satellite contacts and downlink data through managed ground-station infrastructure.</x:v>
      </x:c>
      <x:c r="E267" s="32" t="str">
        <x:v>AWS Ground Station</x:v>
      </x:c>
      <x:c r="F267" s="32" t="str">
        <x:v>Azure Orbital Ground Station</x:v>
      </x:c>
      <x:c r="G267" s="32" t="str">
        <x:v>Google Cloud Ground Station partner ecosystem</x:v>
      </x:c>
      <x:c r="H267" s="32" t="str">
        <x:v>Close</x:v>
      </x:c>
      <x:c r="I267" s="32"/>
      <x:c r="J267" s="32" t="str">
        <x:v>https://docs.aws.amazon.com/whitepapers/latest/aws-overview/aws-services.html</x:v>
      </x:c>
      <x:c r="K267" s="32" t="str">
        <x:v>https://azure.microsoft.com/en-gb/products/</x:v>
      </x:c>
      <x:c r="L267" s="32" t="str">
        <x:v>https://docs.cloud.google.com/docs/product-list</x:v>
      </x:c>
      <x:c r="M267" s="32" t="str">
        <x:v>2026-07-12</x:v>
      </x:c>
    </x:row>
    <x:row r="268">
      <x:c r="A268" s="32" t="str">
        <x:v>Industry &amp; Specialist</x:v>
      </x:c>
      <x:c r="B268" s="32" t="str">
        <x:v>Financial crime</x:v>
      </x:c>
      <x:c r="C268" s="32" t="str">
        <x:v>Anti-money-laundering AI</x:v>
      </x:c>
      <x:c r="D268" s="32" t="str">
        <x:v>Detect suspicious financial activity using specialised data and AI capabilities.</x:v>
      </x:c>
      <x:c r="E268" s="32" t="str">
        <x:v>Amazon Fraud Detector
SageMaker AI</x:v>
      </x:c>
      <x:c r="F268" s="32" t="str">
        <x:v>Microsoft Cloud for Financial Services
Azure Machine Learning</x:v>
      </x:c>
      <x:c r="G268" s="32" t="str">
        <x:v>Anti Money Laundering AI</x:v>
      </x:c>
      <x:c r="H268" s="32" t="str">
        <x:v>Partial</x:v>
      </x:c>
      <x:c r="I268" s="32"/>
      <x:c r="J268" s="32" t="str">
        <x:v>https://docs.aws.amazon.com/whitepapers/latest/aws-overview/aws-services.html</x:v>
      </x:c>
      <x:c r="K268" s="32" t="str">
        <x:v>https://azure.microsoft.com/en-gb/products/</x:v>
      </x:c>
      <x:c r="L268" s="32" t="str">
        <x:v>https://docs.cloud.google.com/docs/product-list</x:v>
      </x:c>
      <x:c r="M268" s="32" t="str">
        <x:v>2026-07-12</x:v>
      </x:c>
    </x:row>
    <x:row r="269">
      <x:c r="A269" s="32" t="str">
        <x:v>Industry &amp; Specialist</x:v>
      </x:c>
      <x:c r="B269" s="32" t="str">
        <x:v>Retail search</x:v>
      </x:c>
      <x:c r="C269" s="32" t="str">
        <x:v>Retail product search and discovery</x:v>
      </x:c>
      <x:c r="D269" s="32" t="str">
        <x:v>Provide semantic product search, recommendations and retail discovery.</x:v>
      </x:c>
      <x:c r="E269" s="32" t="str">
        <x:v>Amazon Personalize
Amazon OpenSearch Service</x:v>
      </x:c>
      <x:c r="F269" s="32" t="str">
        <x:v>Azure AI Search
Dynamics 365 Commerce</x:v>
      </x:c>
      <x:c r="G269" s="32" t="str">
        <x:v>AI Commerce Search
Vision API Product Search</x:v>
      </x:c>
      <x:c r="H269" s="32" t="str">
        <x:v>Close</x:v>
      </x:c>
      <x:c r="I269" s="32"/>
      <x:c r="J269" s="32" t="str">
        <x:v>https://docs.aws.amazon.com/whitepapers/latest/aws-overview/aws-services.html</x:v>
      </x:c>
      <x:c r="K269" s="32" t="str">
        <x:v>https://azure.microsoft.com/en-gb/products/</x:v>
      </x:c>
      <x:c r="L269" s="32" t="str">
        <x:v>https://docs.cloud.google.com/docs/product-list</x:v>
      </x:c>
      <x:c r="M269" s="32" t="str">
        <x:v>2026-07-12</x:v>
      </x:c>
    </x:row>
    <x:row r="270">
      <x:c r="A270" s="32" t="str">
        <x:v>Industry &amp; Specialist</x:v>
      </x:c>
      <x:c r="B270" s="32" t="str">
        <x:v>Talent matching</x:v>
      </x:c>
      <x:c r="C270" s="32" t="str">
        <x:v>Talent and job matching</x:v>
      </x:c>
      <x:c r="D270" s="32" t="str">
        <x:v>Match candidates and jobs using specialised search and machine learning.</x:v>
      </x:c>
      <x:c r="E270" s="32" t="str">
        <x:v>Amazon Kendra
SageMaker AI</x:v>
      </x:c>
      <x:c r="F270" s="32" t="str">
        <x:v>Azure AI Search
Azure Machine Learning</x:v>
      </x:c>
      <x:c r="G270" s="32" t="str">
        <x:v>Cloud Talent Solution</x:v>
      </x:c>
      <x:c r="H270" s="32" t="str">
        <x:v>Partial</x:v>
      </x:c>
      <x:c r="I270" s="32"/>
      <x:c r="J270" s="32" t="str">
        <x:v>https://docs.aws.amazon.com/whitepapers/latest/aws-overview/aws-services.html</x:v>
      </x:c>
      <x:c r="K270" s="32" t="str">
        <x:v>https://azure.microsoft.com/en-gb/products/</x:v>
      </x:c>
      <x:c r="L270" s="32" t="str">
        <x:v>https://docs.cloud.google.com/docs/product-list</x:v>
      </x:c>
      <x:c r="M270" s="32" t="str">
        <x:v>2026-07-12</x:v>
      </x:c>
    </x:row>
    <x:row r="271">
      <x:c r="A271" s="32" t="str">
        <x:v>Industry &amp; Specialist</x:v>
      </x:c>
      <x:c r="B271" s="32" t="str">
        <x:v>Telecommunications</x:v>
      </x:c>
      <x:c r="C271" s="32" t="str">
        <x:v>Telecom network automation</x:v>
      </x:c>
      <x:c r="D271" s="32" t="str">
        <x:v>Automate and optimise telecom network operations using cloud-native capabilities.</x:v>
      </x:c>
      <x:c r="E271" s="32" t="str">
        <x:v>AWS Telco Network Builder
AWS Wavelength</x:v>
      </x:c>
      <x:c r="F271" s="32" t="str">
        <x:v>Azure Operator Nexus
Azure Operator Service Manager</x:v>
      </x:c>
      <x:c r="G271" s="32" t="str">
        <x:v>Telecom Network Automation</x:v>
      </x:c>
      <x:c r="H271" s="32" t="str">
        <x:v>Close</x:v>
      </x:c>
      <x:c r="I271" s="32"/>
      <x:c r="J271" s="32" t="str">
        <x:v>https://docs.aws.amazon.com/whitepapers/latest/aws-overview/aws-services.html</x:v>
      </x:c>
      <x:c r="K271" s="32" t="str">
        <x:v>https://azure.microsoft.com/en-gb/products/</x:v>
      </x:c>
      <x:c r="L271" s="32" t="str">
        <x:v>https://docs.cloud.google.com/docs/product-list</x:v>
      </x:c>
      <x:c r="M271" s="32" t="str">
        <x:v>2026-07-12</x:v>
      </x:c>
    </x:row>
    <x:row r="272">
      <x:c r="A272" s="32" t="str">
        <x:v>Industry &amp; Specialist</x:v>
      </x:c>
      <x:c r="B272" s="32" t="str">
        <x:v>Sovereign cloud</x:v>
      </x:c>
      <x:c r="C272" s="32" t="str">
        <x:v>Sovereign and regulated cloud controls</x:v>
      </x:c>
      <x:c r="D272" s="32" t="str">
        <x:v>Meet residency, operational sovereignty and regulated-industry control requirements.</x:v>
      </x:c>
      <x:c r="E272" s="32" t="str">
        <x:v>AWS European Sovereign Cloud / AWS Dedicated Local Zones</x:v>
      </x:c>
      <x:c r="F272" s="32" t="str">
        <x:v>Microsoft Cloud for Sovereignty</x:v>
      </x:c>
      <x:c r="G272" s="32" t="str">
        <x:v>Assured Workloads
Sovereign Controls by Partners</x:v>
      </x:c>
      <x:c r="H272" s="32" t="str">
        <x:v>Close</x:v>
      </x:c>
      <x:c r="I272" s="32"/>
      <x:c r="J272" s="32" t="str">
        <x:v>https://docs.aws.amazon.com/whitepapers/latest/aws-overview/aws-services.html</x:v>
      </x:c>
      <x:c r="K272" s="32" t="str">
        <x:v>https://azure.microsoft.com/en-gb/products/</x:v>
      </x:c>
      <x:c r="L272" s="32" t="str">
        <x:v>https://docs.cloud.google.com/docs/product-list</x:v>
      </x:c>
      <x:c r="M272" s="32" t="str">
        <x:v>2026-07-12</x:v>
      </x:c>
    </x:row>
  </x:sheetData>
  <x:mergeCells>
    <x:mergeCell ref="A1:M1"/>
    <x:mergeCell ref="A2:M2"/>
  </x:mergeCells>
  <x:conditionalFormatting sqref="H5:H272">
    <x:cfRule type="expression" dxfId="6" priority="1">
      <x:formula>H5="Exact"</x:formula>
    </x:cfRule>
    <x:cfRule type="expression" dxfId="7" priority="2">
      <x:formula>H5="Partial"</x:formula>
    </x:cfRule>
  </x:conditionalFormatting>
  <x:pageMargins left="0.7" right="0.7" top="0.75" bottom="0.75" header="0.3" footer="0.3"/>
  <x:tableParts count="1">
    <x:tablePart xmlns:r="http://schemas.openxmlformats.org/officeDocument/2006/relationships" r:id="Rd8d748d7246d4f5f"/>
  </x:tableParts>
</x:worksheet>
</file>

<file path=xl/worksheets/sheet9.xml><?xml version="1.0" encoding="utf-8"?>
<x:worksheet xmlns:x="http://schemas.openxmlformats.org/spreadsheetml/2006/main">
  <x:sheetFormatPr defaultRowHeight="15"/>
  <x:cols>
    <x:col min="1" max="1" width="18" hidden="0" customWidth="1"/>
    <x:col min="2" max="2" width="40" hidden="0" customWidth="1"/>
    <x:col min="3" max="3" width="28" hidden="0" customWidth="1"/>
    <x:col min="4" max="4" width="30" hidden="0" customWidth="1"/>
    <x:col min="5" max="5" width="30" hidden="0" customWidth="1"/>
    <x:col min="6" max="6" width="45" hidden="0" customWidth="1"/>
    <x:col min="7" max="7" width="48" hidden="0" customWidth="1"/>
    <x:col min="8" max="8" width="18" hidden="0" customWidth="1"/>
    <x:col min="9" max="9" width="42" hidden="0" customWidth="1"/>
    <x:col min="10" max="10" width="48" hidden="0" customWidth="1"/>
    <x:col min="11" max="11" width="14" hidden="0" customWidth="1"/>
  </x:cols>
  <x:sheetData>
    <x:row r="1" ht="30" customHeight="1">
      <x:c r="A1" s="5" t="str">
        <x:v>AWS Catalogue</x:v>
      </x:c>
      <x:c r="B1" s="5"/>
      <x:c r="C1" s="5"/>
      <x:c r="D1" s="5"/>
      <x:c r="E1" s="5"/>
      <x:c r="F1" s="5"/>
      <x:c r="G1" s="5"/>
      <x:c r="H1" s="5"/>
      <x:c r="I1" s="5"/>
      <x:c r="J1" s="5"/>
      <x:c r="K1" s="5"/>
    </x:row>
    <x:row r="2" ht="34" customHeight="1">
      <x:c r="A2" s="14" t="str">
        <x:v>Provider catalogue retained for A–Z service lookup and traceability.</x:v>
      </x:c>
      <x:c r="B2" s="14"/>
      <x:c r="C2" s="14"/>
      <x:c r="D2" s="14"/>
      <x:c r="E2" s="14"/>
      <x:c r="F2" s="14"/>
      <x:c r="G2" s="14"/>
      <x:c r="H2" s="14"/>
      <x:c r="I2" s="14"/>
      <x:c r="J2" s="14"/>
      <x:c r="K2" s="14"/>
    </x:row>
    <x:row r="4" ht="34" customHeight="1">
      <x:c r="A4" s="24" t="str">
        <x:v>Provider</x:v>
      </x:c>
      <x:c r="B4" s="24" t="str">
        <x:v>Service or product family</x:v>
      </x:c>
      <x:c r="C4" s="24" t="str">
        <x:v>Entry type</x:v>
      </x:c>
      <x:c r="D4" s="24" t="str">
        <x:v>Domain(s)</x:v>
      </x:c>
      <x:c r="E4" s="24" t="str">
        <x:v>Category / categories</x:v>
      </x:c>
      <x:c r="F4" s="24" t="str">
        <x:v>Mapped generic capability / capabilities</x:v>
      </x:c>
      <x:c r="G4" s="24" t="str">
        <x:v>Short description</x:v>
      </x:c>
      <x:c r="H4" s="24" t="str">
        <x:v>Mapping confidence</x:v>
      </x:c>
      <x:c r="I4" s="24" t="str">
        <x:v>Notes</x:v>
      </x:c>
      <x:c r="J4" s="24" t="str">
        <x:v>Official catalogue</x:v>
      </x:c>
      <x:c r="K4" s="24" t="str">
        <x:v>Verified date</x:v>
      </x:c>
    </x:row>
    <x:row r="5">
      <x:c r="A5" s="32" t="str">
        <x:v>AWS</x:v>
      </x:c>
      <x:c r="B5" s="32" t="str">
        <x:v>Agents for Amazon Bedrock</x:v>
      </x:c>
      <x:c r="C5" s="32" t="str">
        <x:v>Named service / product family</x:v>
      </x:c>
      <x:c r="D5" s="32" t="str">
        <x:v>AI &amp; Machine Learning</x:v>
      </x:c>
      <x:c r="E5" s="32" t="str">
        <x:v>Agents</x:v>
      </x:c>
      <x:c r="F5" s="32" t="str">
        <x:v>Managed AI agent platform</x:v>
      </x:c>
      <x:c r="G5" s="32" t="str">
        <x:v>Build, deploy and operate agents that reason, retrieve information and invoke tools.</x:v>
      </x:c>
      <x:c r="H5" s="32" t="str">
        <x:v>Close</x:v>
      </x:c>
      <x:c r="I5" s="32"/>
      <x:c r="J5" s="32" t="str">
        <x:v>https://docs.aws.amazon.com/whitepapers/latest/aws-overview/aws-services.html</x:v>
      </x:c>
      <x:c r="K5" s="32" t="str">
        <x:v>2026-07-12</x:v>
      </x:c>
    </x:row>
    <x:row r="6">
      <x:c r="A6" s="32" t="str">
        <x:v>AWS</x:v>
      </x:c>
      <x:c r="B6" s="32" t="str">
        <x:v>Amazon API Gateway</x:v>
      </x:c>
      <x:c r="C6" s="32" t="str">
        <x:v>Named service / product family</x:v>
      </x:c>
      <x:c r="D6" s="32" t="str">
        <x:v>Networking</x:v>
      </x:c>
      <x:c r="E6" s="32" t="str">
        <x:v>API networking</x:v>
      </x:c>
      <x:c r="F6" s="32" t="str">
        <x:v>API gateway</x:v>
      </x:c>
      <x:c r="G6" s="32" t="str">
        <x:v>Publish, secure, throttle, transform and monitor APIs.</x:v>
      </x:c>
      <x:c r="H6" s="32" t="str">
        <x:v>Close</x:v>
      </x:c>
      <x:c r="I6" s="32"/>
      <x:c r="J6" s="32" t="str">
        <x:v>https://docs.aws.amazon.com/whitepapers/latest/aws-overview/aws-services.html</x:v>
      </x:c>
      <x:c r="K6" s="32" t="str">
        <x:v>2026-07-12</x:v>
      </x:c>
    </x:row>
    <x:row r="7">
      <x:c r="A7" s="32" t="str">
        <x:v>AWS</x:v>
      </x:c>
      <x:c r="B7" s="32" t="str">
        <x:v>Amazon API Gateway WebSocket APIs</x:v>
      </x:c>
      <x:c r="C7" s="32" t="str">
        <x:v>Named service / product family</x:v>
      </x:c>
      <x:c r="D7" s="32" t="str">
        <x:v>Application Integration</x:v>
      </x:c>
      <x:c r="E7" s="32" t="str">
        <x:v>Real-time messaging</x:v>
      </x:c>
      <x:c r="F7" s="32" t="str">
        <x:v>Managed real-time web messaging</x:v>
      </x:c>
      <x:c r="G7" s="32" t="str">
        <x:v>Deliver low-latency bidirectional messages to connected web and mobile clients.</x:v>
      </x:c>
      <x:c r="H7" s="32" t="str">
        <x:v>Partial</x:v>
      </x:c>
      <x:c r="I7" s="32"/>
      <x:c r="J7" s="32" t="str">
        <x:v>https://docs.aws.amazon.com/whitepapers/latest/aws-overview/aws-services.html</x:v>
      </x:c>
      <x:c r="K7" s="32" t="str">
        <x:v>2026-07-12</x:v>
      </x:c>
    </x:row>
    <x:row r="8">
      <x:c r="A8" s="32" t="str">
        <x:v>AWS</x:v>
      </x:c>
      <x:c r="B8" s="32" t="str">
        <x:v>Amazon AppFlow</x:v>
      </x:c>
      <x:c r="C8" s="32" t="str">
        <x:v>Named service / product family</x:v>
      </x:c>
      <x:c r="D8" s="32" t="str">
        <x:v>Application Integration</x:v>
      </x:c>
      <x:c r="E8" s="32" t="str">
        <x:v>Integration platform</x:v>
      </x:c>
      <x:c r="F8" s="32" t="str">
        <x:v>Integration platform as a service</x:v>
      </x:c>
      <x:c r="G8" s="32" t="str">
        <x:v>Connect SaaS, cloud and on-premises systems through managed connectors and workflows.</x:v>
      </x:c>
      <x:c r="H8" s="32" t="str">
        <x:v>Close</x:v>
      </x:c>
      <x:c r="I8" s="32"/>
      <x:c r="J8" s="32" t="str">
        <x:v>https://docs.aws.amazon.com/whitepapers/latest/aws-overview/aws-services.html</x:v>
      </x:c>
      <x:c r="K8" s="32" t="str">
        <x:v>2026-07-12</x:v>
      </x:c>
    </x:row>
    <x:row r="9">
      <x:c r="A9" s="32" t="str">
        <x:v>AWS</x:v>
      </x:c>
      <x:c r="B9" s="32" t="str">
        <x:v>Amazon Athena</x:v>
      </x:c>
      <x:c r="C9" s="32" t="str">
        <x:v>Named service / product family</x:v>
      </x:c>
      <x:c r="D9" s="32" t="str">
        <x:v>Data, Analytics &amp; BI</x:v>
      </x:c>
      <x:c r="E9" s="32" t="str">
        <x:v>Serverless SQL</x:v>
      </x:c>
      <x:c r="F9" s="32" t="str">
        <x:v>Serverless query over data lake</x:v>
      </x:c>
      <x:c r="G9" s="32" t="str">
        <x:v>Query files in object storage using SQL without managing database servers.</x:v>
      </x:c>
      <x:c r="H9" s="32" t="str">
        <x:v>Close</x:v>
      </x:c>
      <x:c r="I9" s="32"/>
      <x:c r="J9" s="32" t="str">
        <x:v>https://docs.aws.amazon.com/whitepapers/latest/aws-overview/aws-services.html</x:v>
      </x:c>
      <x:c r="K9" s="32" t="str">
        <x:v>2026-07-12</x:v>
      </x:c>
    </x:row>
    <x:row r="10">
      <x:c r="A10" s="32" t="str">
        <x:v>AWS</x:v>
      </x:c>
      <x:c r="B10" s="32" t="str">
        <x:v>Amazon Aurora</x:v>
      </x:c>
      <x:c r="C10" s="32" t="str">
        <x:v>Named service / product family</x:v>
      </x:c>
      <x:c r="D10" s="32" t="str">
        <x:v>Databases</x:v>
      </x:c>
      <x:c r="E10" s="32" t="str">
        <x:v>Cloud-native relational</x:v>
      </x:c>
      <x:c r="F10" s="32" t="str">
        <x:v>Cloud-native relational database</x:v>
      </x:c>
      <x:c r="G10" s="32" t="str">
        <x:v>Run a highly available cloud-native relational database optimised for scale and resilience.</x:v>
      </x:c>
      <x:c r="H10" s="32" t="str">
        <x:v>Close</x:v>
      </x:c>
      <x:c r="I10" s="32"/>
      <x:c r="J10" s="32" t="str">
        <x:v>https://docs.aws.amazon.com/whitepapers/latest/aws-overview/aws-services.html</x:v>
      </x:c>
      <x:c r="K10" s="32" t="str">
        <x:v>2026-07-12</x:v>
      </x:c>
    </x:row>
    <x:row r="11">
      <x:c r="A11" s="32" t="str">
        <x:v>AWS</x:v>
      </x:c>
      <x:c r="B11" s="32" t="str">
        <x:v>Amazon Aurora DSQL</x:v>
      </x:c>
      <x:c r="C11" s="32" t="str">
        <x:v>Named service / product family</x:v>
      </x:c>
      <x:c r="D11" s="32" t="str">
        <x:v>Databases</x:v>
      </x:c>
      <x:c r="E11" s="32" t="str">
        <x:v>Distributed SQL</x:v>
      </x:c>
      <x:c r="F11" s="32" t="str">
        <x:v>Globally distributed relational database</x:v>
      </x:c>
      <x:c r="G11" s="32" t="str">
        <x:v>Provide strongly consistent relational transactions across regions at horizontal scale.</x:v>
      </x:c>
      <x:c r="H11" s="32" t="str">
        <x:v>Partial</x:v>
      </x:c>
      <x:c r="I11" s="32"/>
      <x:c r="J11" s="32" t="str">
        <x:v>https://docs.aws.amazon.com/whitepapers/latest/aws-overview/aws-services.html</x:v>
      </x:c>
      <x:c r="K11" s="32" t="str">
        <x:v>2026-07-12</x:v>
      </x:c>
    </x:row>
    <x:row r="12">
      <x:c r="A12" s="32" t="str">
        <x:v>AWS</x:v>
      </x:c>
      <x:c r="B12" s="32" t="str">
        <x:v>Amazon Aurora MySQL</x:v>
      </x:c>
      <x:c r="C12" s="32" t="str">
        <x:v>Named service / product family</x:v>
      </x:c>
      <x:c r="D12" s="32" t="str">
        <x:v>Databases</x:v>
      </x:c>
      <x:c r="E12" s="32" t="str">
        <x:v>MySQL</x:v>
      </x:c>
      <x:c r="F12" s="32" t="str">
        <x:v>Managed MySQL</x:v>
      </x:c>
      <x:c r="G12" s="32" t="str">
        <x:v>Operate MySQL databases with managed backups, patching and high availability.</x:v>
      </x:c>
      <x:c r="H12" s="32" t="str">
        <x:v>Exact</x:v>
      </x:c>
      <x:c r="I12" s="32"/>
      <x:c r="J12" s="32" t="str">
        <x:v>https://docs.aws.amazon.com/whitepapers/latest/aws-overview/aws-services.html</x:v>
      </x:c>
      <x:c r="K12" s="32" t="str">
        <x:v>2026-07-12</x:v>
      </x:c>
    </x:row>
    <x:row r="13">
      <x:c r="A13" s="32" t="str">
        <x:v>AWS</x:v>
      </x:c>
      <x:c r="B13" s="32" t="str">
        <x:v>Amazon Aurora PostgreSQL</x:v>
      </x:c>
      <x:c r="C13" s="32" t="str">
        <x:v>Named service / product family</x:v>
      </x:c>
      <x:c r="D13" s="32" t="str">
        <x:v>Databases</x:v>
      </x:c>
      <x:c r="E13" s="32" t="str">
        <x:v>PostgreSQL</x:v>
      </x:c>
      <x:c r="F13" s="32" t="str">
        <x:v>High-performance PostgreSQL-compatible database</x:v>
      </x:c>
      <x:c r="G13" s="32" t="str">
        <x:v>Deliver PostgreSQL compatibility with cloud-native performance and availability.</x:v>
      </x:c>
      <x:c r="H13" s="32" t="str">
        <x:v>Close</x:v>
      </x:c>
      <x:c r="I13" s="32"/>
      <x:c r="J13" s="32" t="str">
        <x:v>https://docs.aws.amazon.com/whitepapers/latest/aws-overview/aws-services.html</x:v>
      </x:c>
      <x:c r="K13" s="32" t="str">
        <x:v>2026-07-12</x:v>
      </x:c>
    </x:row>
    <x:row r="14">
      <x:c r="A14" s="32" t="str">
        <x:v>AWS</x:v>
      </x:c>
      <x:c r="B14" s="32" t="str">
        <x:v>Amazon Aurora PostgreSQL pgvector</x:v>
      </x:c>
      <x:c r="C14" s="32" t="str">
        <x:v>Named service / product family</x:v>
      </x:c>
      <x:c r="D14" s="32" t="str">
        <x:v>AI &amp; Machine Learning</x:v>
      </x:c>
      <x:c r="E14" s="32" t="str">
        <x:v>Vector search</x:v>
      </x:c>
      <x:c r="F14" s="32" t="str">
        <x:v>Managed vector search</x:v>
      </x:c>
      <x:c r="G14" s="32" t="str">
        <x:v>Store embeddings and run similarity search for RAG and recommendation workloads.</x:v>
      </x:c>
      <x:c r="H14" s="32" t="str">
        <x:v>Close</x:v>
      </x:c>
      <x:c r="I14" s="32"/>
      <x:c r="J14" s="32" t="str">
        <x:v>https://docs.aws.amazon.com/whitepapers/latest/aws-overview/aws-services.html</x:v>
      </x:c>
      <x:c r="K14" s="32" t="str">
        <x:v>2026-07-12</x:v>
      </x:c>
    </x:row>
    <x:row r="15">
      <x:c r="A15" s="32" t="str">
        <x:v>AWS</x:v>
      </x:c>
      <x:c r="B15" s="32" t="str">
        <x:v>Amazon Bedrock</x:v>
      </x:c>
      <x:c r="C15" s="32" t="str">
        <x:v>Named service / product family</x:v>
      </x:c>
      <x:c r="D15" s="32" t="str">
        <x:v>AI &amp; Machine Learning</x:v>
      </x:c>
      <x:c r="E15" s="32" t="str">
        <x:v>Foundation models</x:v>
      </x:c>
      <x:c r="F15" s="32" t="str">
        <x:v>Managed foundation-model platform</x:v>
      </x:c>
      <x:c r="G15" s="32" t="str">
        <x:v>Access, customise and govern foundation models through managed APIs and tooling.</x:v>
      </x:c>
      <x:c r="H15" s="32" t="str">
        <x:v>Close</x:v>
      </x:c>
      <x:c r="I15" s="32"/>
      <x:c r="J15" s="32" t="str">
        <x:v>https://docs.aws.amazon.com/whitepapers/latest/aws-overview/aws-services.html</x:v>
      </x:c>
      <x:c r="K15" s="32" t="str">
        <x:v>2026-07-12</x:v>
      </x:c>
    </x:row>
    <x:row r="16">
      <x:c r="A16" s="32" t="str">
        <x:v>AWS</x:v>
      </x:c>
      <x:c r="B16" s="32" t="str">
        <x:v>Amazon Bedrock AgentCore</x:v>
      </x:c>
      <x:c r="C16" s="32" t="str">
        <x:v>Named service / product family</x:v>
      </x:c>
      <x:c r="D16" s="32" t="str">
        <x:v>AI &amp; Machine Learning</x:v>
      </x:c>
      <x:c r="E16" s="32" t="str">
        <x:v>Agents</x:v>
      </x:c>
      <x:c r="F16" s="32" t="str">
        <x:v>Managed AI agent platform</x:v>
      </x:c>
      <x:c r="G16" s="32" t="str">
        <x:v>Build, deploy and operate agents that reason, retrieve information and invoke tools.</x:v>
      </x:c>
      <x:c r="H16" s="32" t="str">
        <x:v>Close</x:v>
      </x:c>
      <x:c r="I16" s="32"/>
      <x:c r="J16" s="32" t="str">
        <x:v>https://docs.aws.amazon.com/whitepapers/latest/aws-overview/aws-services.html</x:v>
      </x:c>
      <x:c r="K16" s="32" t="str">
        <x:v>2026-07-12</x:v>
      </x:c>
    </x:row>
    <x:row r="17">
      <x:c r="A17" s="32" t="str">
        <x:v>AWS</x:v>
      </x:c>
      <x:c r="B17" s="32" t="str">
        <x:v>Amazon Bedrock AgentCore Observability</x:v>
      </x:c>
      <x:c r="C17" s="32" t="str">
        <x:v>Named service / product family</x:v>
      </x:c>
      <x:c r="D17" s="32" t="str">
        <x:v>AI &amp; Machine Learning</x:v>
      </x:c>
      <x:c r="E17" s="32" t="str">
        <x:v>AI observability</x:v>
      </x:c>
      <x:c r="F17" s="32" t="str">
        <x:v>AI application observability</x:v>
      </x:c>
      <x:c r="G17" s="32" t="str">
        <x:v>Trace prompts, agents, tools, latency, quality and token usage in AI applications.</x:v>
      </x:c>
      <x:c r="H17" s="32" t="str">
        <x:v>Close</x:v>
      </x:c>
      <x:c r="I17" s="32"/>
      <x:c r="J17" s="32" t="str">
        <x:v>https://docs.aws.amazon.com/whitepapers/latest/aws-overview/aws-services.html</x:v>
      </x:c>
      <x:c r="K17" s="32" t="str">
        <x:v>2026-07-12</x:v>
      </x:c>
    </x:row>
    <x:row r="18">
      <x:c r="A18" s="32" t="str">
        <x:v>AWS</x:v>
      </x:c>
      <x:c r="B18" s="32" t="str">
        <x:v>Amazon Bedrock Evaluations</x:v>
      </x:c>
      <x:c r="C18" s="32" t="str">
        <x:v>Named service / product family</x:v>
      </x:c>
      <x:c r="D18" s="32" t="str">
        <x:v>AI &amp; Machine Learning</x:v>
      </x:c>
      <x:c r="E18" s="32" t="str">
        <x:v>AI evaluation</x:v>
      </x:c>
      <x:c r="F18" s="32" t="str">
        <x:v>Foundation-model evaluation</x:v>
      </x:c>
      <x:c r="G18" s="32" t="str">
        <x:v>Measure quality, safety, groundedness and task performance of generative-AI systems.</x:v>
      </x:c>
      <x:c r="H18" s="32" t="str">
        <x:v>Close</x:v>
      </x:c>
      <x:c r="I18" s="32"/>
      <x:c r="J18" s="32" t="str">
        <x:v>https://docs.aws.amazon.com/whitepapers/latest/aws-overview/aws-services.html</x:v>
      </x:c>
      <x:c r="K18" s="32" t="str">
        <x:v>2026-07-12</x:v>
      </x:c>
    </x:row>
    <x:row r="19">
      <x:c r="A19" s="32" t="str">
        <x:v>AWS</x:v>
      </x:c>
      <x:c r="B19" s="32" t="str">
        <x:v>Amazon Bedrock Flows</x:v>
      </x:c>
      <x:c r="C19" s="32" t="str">
        <x:v>Named service / product family</x:v>
      </x:c>
      <x:c r="D19" s="32" t="str">
        <x:v>AI &amp; Machine Learning</x:v>
      </x:c>
      <x:c r="E19" s="32" t="str">
        <x:v>Prompt engineering</x:v>
      </x:c>
      <x:c r="F19" s="32" t="str">
        <x:v>Prompt development and orchestration</x:v>
      </x:c>
      <x:c r="G19" s="32" t="str">
        <x:v>Design, test, version and connect prompts into AI workflows.</x:v>
      </x:c>
      <x:c r="H19" s="32" t="str">
        <x:v>Close</x:v>
      </x:c>
      <x:c r="I19" s="32"/>
      <x:c r="J19" s="32" t="str">
        <x:v>https://docs.aws.amazon.com/whitepapers/latest/aws-overview/aws-services.html</x:v>
      </x:c>
      <x:c r="K19" s="32" t="str">
        <x:v>2026-07-12</x:v>
      </x:c>
    </x:row>
    <x:row r="20">
      <x:c r="A20" s="32" t="str">
        <x:v>AWS</x:v>
      </x:c>
      <x:c r="B20" s="32" t="str">
        <x:v>Amazon Bedrock model catalog</x:v>
      </x:c>
      <x:c r="C20" s="32" t="str">
        <x:v>Named service / product family</x:v>
      </x:c>
      <x:c r="D20" s="32" t="str">
        <x:v>AI &amp; Machine Learning</x:v>
      </x:c>
      <x:c r="E20" s="32" t="str">
        <x:v>Model catalogue</x:v>
      </x:c>
      <x:c r="F20" s="32" t="str">
        <x:v>Foundation-model catalogue</x:v>
      </x:c>
      <x:c r="G20" s="32" t="str">
        <x:v>Discover and deploy first-party and partner models from a managed catalogue.</x:v>
      </x:c>
      <x:c r="H20" s="32" t="str">
        <x:v>Close</x:v>
      </x:c>
      <x:c r="I20" s="32"/>
      <x:c r="J20" s="32" t="str">
        <x:v>https://docs.aws.amazon.com/whitepapers/latest/aws-overview/aws-services.html</x:v>
      </x:c>
      <x:c r="K20" s="32" t="str">
        <x:v>2026-07-12</x:v>
      </x:c>
    </x:row>
    <x:row r="21">
      <x:c r="A21" s="32" t="str">
        <x:v>AWS</x:v>
      </x:c>
      <x:c r="B21" s="32" t="str">
        <x:v>Amazon Bedrock model customization</x:v>
      </x:c>
      <x:c r="C21" s="32" t="str">
        <x:v>Named service / product family</x:v>
      </x:c>
      <x:c r="D21" s="32" t="str">
        <x:v>AI &amp; Machine Learning</x:v>
      </x:c>
      <x:c r="E21" s="32" t="str">
        <x:v>Model customisation</x:v>
      </x:c>
      <x:c r="F21" s="32" t="str">
        <x:v>Foundation-model customisation</x:v>
      </x:c>
      <x:c r="G21" s="32" t="str">
        <x:v>Adapt a foundation model using fine-tuning, continued pre-training or customisation techniques.</x:v>
      </x:c>
      <x:c r="H21" s="32" t="str">
        <x:v>Close</x:v>
      </x:c>
      <x:c r="I21" s="32"/>
      <x:c r="J21" s="32" t="str">
        <x:v>https://docs.aws.amazon.com/whitepapers/latest/aws-overview/aws-services.html</x:v>
      </x:c>
      <x:c r="K21" s="32" t="str">
        <x:v>2026-07-12</x:v>
      </x:c>
    </x:row>
    <x:row r="22">
      <x:c r="A22" s="32" t="str">
        <x:v>AWS</x:v>
      </x:c>
      <x:c r="B22" s="32" t="str">
        <x:v>Amazon Bedrock multi-agent collaboration</x:v>
      </x:c>
      <x:c r="C22" s="32" t="str">
        <x:v>Named service / product family</x:v>
      </x:c>
      <x:c r="D22" s="32" t="str">
        <x:v>AI &amp; Machine Learning</x:v>
      </x:c>
      <x:c r="E22" s="32" t="str">
        <x:v>Agents</x:v>
      </x:c>
      <x:c r="F22" s="32" t="str">
        <x:v>Multi-agent orchestration</x:v>
      </x:c>
      <x:c r="G22" s="32" t="str">
        <x:v>Coordinate specialised AI agents, workflows and tools to complete complex tasks.</x:v>
      </x:c>
      <x:c r="H22" s="32" t="str">
        <x:v>Close</x:v>
      </x:c>
      <x:c r="I22" s="32"/>
      <x:c r="J22" s="32" t="str">
        <x:v>https://docs.aws.amazon.com/whitepapers/latest/aws-overview/aws-services.html</x:v>
      </x:c>
      <x:c r="K22" s="32" t="str">
        <x:v>2026-07-12</x:v>
      </x:c>
    </x:row>
    <x:row r="23">
      <x:c r="A23" s="32" t="str">
        <x:v>AWS</x:v>
      </x:c>
      <x:c r="B23" s="32" t="str">
        <x:v>Amazon Bedrock Prompt management</x:v>
      </x:c>
      <x:c r="C23" s="32" t="str">
        <x:v>Named service / product family</x:v>
      </x:c>
      <x:c r="D23" s="32" t="str">
        <x:v>AI &amp; Machine Learning</x:v>
      </x:c>
      <x:c r="E23" s="32" t="str">
        <x:v>Prompt engineering</x:v>
      </x:c>
      <x:c r="F23" s="32" t="str">
        <x:v>Prompt development and orchestration</x:v>
      </x:c>
      <x:c r="G23" s="32" t="str">
        <x:v>Design, test, version and connect prompts into AI workflows.</x:v>
      </x:c>
      <x:c r="H23" s="32" t="str">
        <x:v>Close</x:v>
      </x:c>
      <x:c r="I23" s="32"/>
      <x:c r="J23" s="32" t="str">
        <x:v>https://docs.aws.amazon.com/whitepapers/latest/aws-overview/aws-services.html</x:v>
      </x:c>
      <x:c r="K23" s="32" t="str">
        <x:v>2026-07-12</x:v>
      </x:c>
    </x:row>
    <x:row r="24">
      <x:c r="A24" s="32" t="str">
        <x:v>AWS</x:v>
      </x:c>
      <x:c r="B24" s="32" t="str">
        <x:v>Amazon Braket</x:v>
      </x:c>
      <x:c r="C24" s="32" t="str">
        <x:v>Named service / product family</x:v>
      </x:c>
      <x:c r="D24" s="32" t="str">
        <x:v>Compute &amp; Application Hosting</x:v>
      </x:c>
      <x:c r="E24" s="32" t="str">
        <x:v>Quantum</x:v>
      </x:c>
      <x:c r="F24" s="32" t="str">
        <x:v>Managed quantum computing</x:v>
      </x:c>
      <x:c r="G24" s="32" t="str">
        <x:v>Develop, simulate and execute quantum algorithms using cloud-accessible hardware.</x:v>
      </x:c>
      <x:c r="H24" s="32" t="str">
        <x:v>Partial</x:v>
      </x:c>
      <x:c r="I24" s="32"/>
      <x:c r="J24" s="32" t="str">
        <x:v>https://docs.aws.amazon.com/whitepapers/latest/aws-overview/aws-services.html</x:v>
      </x:c>
      <x:c r="K24" s="32" t="str">
        <x:v>2026-07-12</x:v>
      </x:c>
    </x:row>
    <x:row r="25">
      <x:c r="A25" s="32" t="str">
        <x:v>AWS</x:v>
      </x:c>
      <x:c r="B25" s="32" t="str">
        <x:v>Amazon Chime</x:v>
      </x:c>
      <x:c r="C25" s="32" t="str">
        <x:v>Named service / product family</x:v>
      </x:c>
      <x:c r="D25" s="32" t="str">
        <x:v>End-User Computing &amp; Business Apps</x:v>
      </x:c>
      <x:c r="E25" s="32" t="str">
        <x:v>Collaboration</x:v>
      </x:c>
      <x:c r="F25" s="32" t="str">
        <x:v>Business collaboration</x:v>
      </x:c>
      <x:c r="G25" s="32" t="str">
        <x:v>Provide meetings, chat, content collaboration and productivity capabilities.</x:v>
      </x:c>
      <x:c r="H25" s="32" t="str">
        <x:v>Partial</x:v>
      </x:c>
      <x:c r="I25" s="32"/>
      <x:c r="J25" s="32" t="str">
        <x:v>https://docs.aws.amazon.com/whitepapers/latest/aws-overview/aws-services.html</x:v>
      </x:c>
      <x:c r="K25" s="32" t="str">
        <x:v>2026-07-12</x:v>
      </x:c>
    </x:row>
    <x:row r="26">
      <x:c r="A26" s="32" t="str">
        <x:v>AWS</x:v>
      </x:c>
      <x:c r="B26" s="32" t="str">
        <x:v>Amazon Chime SDK</x:v>
      </x:c>
      <x:c r="C26" s="32" t="str">
        <x:v>Named service / product family</x:v>
      </x:c>
      <x:c r="D26" s="32" t="str">
        <x:v>Media &amp; Communications</x:v>
      </x:c>
      <x:c r="E26" s="32" t="str">
        <x:v>Communications APIs</x:v>
      </x:c>
      <x:c r="F26" s="32" t="str">
        <x:v>Programmable communications</x:v>
      </x:c>
      <x:c r="G26" s="32" t="str">
        <x:v>Add voice, video, chat, SMS or email communications to applications.</x:v>
      </x:c>
      <x:c r="H26" s="32" t="str">
        <x:v>Partial</x:v>
      </x:c>
      <x:c r="I26" s="32"/>
      <x:c r="J26" s="32" t="str">
        <x:v>https://docs.aws.amazon.com/whitepapers/latest/aws-overview/aws-services.html</x:v>
      </x:c>
      <x:c r="K26" s="32" t="str">
        <x:v>2026-07-12</x:v>
      </x:c>
    </x:row>
    <x:row r="27">
      <x:c r="A27" s="32" t="str">
        <x:v>AWS</x:v>
      </x:c>
      <x:c r="B27" s="32" t="str">
        <x:v>Amazon CloudFront</x:v>
      </x:c>
      <x:c r="C27" s="32" t="str">
        <x:v>Named service / product family</x:v>
      </x:c>
      <x:c r="D27" s="32" t="str">
        <x:v>Compute &amp; Application Hosting
Networking</x:v>
      </x:c>
      <x:c r="E27" s="32" t="str">
        <x:v>CDN
Media CDN
Static web</x:v>
      </x:c>
      <x:c r="F27" s="32" t="str">
        <x:v>Content delivery network
High-capacity media CDN
Static web application hosting</x:v>
      </x:c>
      <x:c r="G27" s="32" t="str">
        <x:v>Host globally delivered static sites with integrated deployment workflows.</x:v>
      </x:c>
      <x:c r="H27" s="32" t="str">
        <x:v>Close, Partial</x:v>
      </x:c>
      <x:c r="I27" s="32"/>
      <x:c r="J27" s="32" t="str">
        <x:v>https://docs.aws.amazon.com/whitepapers/latest/aws-overview/aws-services.html</x:v>
      </x:c>
      <x:c r="K27" s="32" t="str">
        <x:v>2026-07-12</x:v>
      </x:c>
    </x:row>
    <x:row r="28">
      <x:c r="A28" s="32" t="str">
        <x:v>AWS</x:v>
      </x:c>
      <x:c r="B28" s="32" t="str">
        <x:v>Amazon CloudWatch</x:v>
      </x:c>
      <x:c r="C28" s="32" t="str">
        <x:v>Named service / product family</x:v>
      </x:c>
      <x:c r="D28" s="32" t="str">
        <x:v>AI &amp; Machine Learning
Observability &amp; Reliability</x:v>
      </x:c>
      <x:c r="E28" s="32" t="str">
        <x:v>AI observability
Unified monitoring</x:v>
      </x:c>
      <x:c r="F28" s="32" t="str">
        <x:v>AI application observability
Cloud monitoring</x:v>
      </x:c>
      <x:c r="G28" s="32" t="str">
        <x:v>Trace prompts, agents, tools, latency, quality and token usage in AI applications.</x:v>
      </x:c>
      <x:c r="H28" s="32" t="str">
        <x:v>Close, Exact</x:v>
      </x:c>
      <x:c r="I28" s="32"/>
      <x:c r="J28" s="32" t="str">
        <x:v>https://docs.aws.amazon.com/whitepapers/latest/aws-overview/aws-services.html</x:v>
      </x:c>
      <x:c r="K28" s="32" t="str">
        <x:v>2026-07-12</x:v>
      </x:c>
    </x:row>
    <x:row r="29">
      <x:c r="A29" s="32" t="str">
        <x:v>AWS</x:v>
      </x:c>
      <x:c r="B29" s="32" t="str">
        <x:v>Amazon CloudWatch Application Signals</x:v>
      </x:c>
      <x:c r="C29" s="32" t="str">
        <x:v>Named service / product family</x:v>
      </x:c>
      <x:c r="D29" s="32" t="str">
        <x:v>Observability &amp; Reliability</x:v>
      </x:c>
      <x:c r="E29" s="32" t="str">
        <x:v>APM
Tracing</x:v>
      </x:c>
      <x:c r="F29" s="32" t="str">
        <x:v>Application performance monitoring
Distributed tracing</x:v>
      </x:c>
      <x:c r="G29" s="32" t="str">
        <x:v>Trace requests across distributed services to diagnose latency and failures.</x:v>
      </x:c>
      <x:c r="H29" s="32" t="str">
        <x:v>Close, Exact</x:v>
      </x:c>
      <x:c r="I29" s="32"/>
      <x:c r="J29" s="32" t="str">
        <x:v>https://docs.aws.amazon.com/whitepapers/latest/aws-overview/aws-services.html</x:v>
      </x:c>
      <x:c r="K29" s="32" t="str">
        <x:v>2026-07-12</x:v>
      </x:c>
    </x:row>
    <x:row r="30">
      <x:c r="A30" s="32" t="str">
        <x:v>AWS</x:v>
      </x:c>
      <x:c r="B30" s="32" t="str">
        <x:v>Amazon CloudWatch Logs</x:v>
      </x:c>
      <x:c r="C30" s="32" t="str">
        <x:v>Named service / product family</x:v>
      </x:c>
      <x:c r="D30" s="32" t="str">
        <x:v>Observability &amp; Reliability</x:v>
      </x:c>
      <x:c r="E30" s="32" t="str">
        <x:v>Logging</x:v>
      </x:c>
      <x:c r="F30" s="32" t="str">
        <x:v>Central log management</x:v>
      </x:c>
      <x:c r="G30" s="32" t="str">
        <x:v>Collect, search, retain and route cloud and application logs.</x:v>
      </x:c>
      <x:c r="H30" s="32" t="str">
        <x:v>Exact</x:v>
      </x:c>
      <x:c r="I30" s="32"/>
      <x:c r="J30" s="32" t="str">
        <x:v>https://docs.aws.amazon.com/whitepapers/latest/aws-overview/aws-services.html</x:v>
      </x:c>
      <x:c r="K30" s="32" t="str">
        <x:v>2026-07-12</x:v>
      </x:c>
    </x:row>
    <x:row r="31">
      <x:c r="A31" s="32" t="str">
        <x:v>AWS</x:v>
      </x:c>
      <x:c r="B31" s="32" t="str">
        <x:v>Amazon CloudWatch Logs Insights</x:v>
      </x:c>
      <x:c r="C31" s="32" t="str">
        <x:v>Named service / product family</x:v>
      </x:c>
      <x:c r="D31" s="32" t="str">
        <x:v>Observability &amp; Reliability</x:v>
      </x:c>
      <x:c r="E31" s="32" t="str">
        <x:v>Error tracking</x:v>
      </x:c>
      <x:c r="F31" s="32" t="str">
        <x:v>Application error reporting</x:v>
      </x:c>
      <x:c r="G31" s="32" t="str">
        <x:v>Aggregate and analyse application exceptions and crashes.</x:v>
      </x:c>
      <x:c r="H31" s="32" t="str">
        <x:v>Close</x:v>
      </x:c>
      <x:c r="I31" s="32"/>
      <x:c r="J31" s="32" t="str">
        <x:v>https://docs.aws.amazon.com/whitepapers/latest/aws-overview/aws-services.html</x:v>
      </x:c>
      <x:c r="K31" s="32" t="str">
        <x:v>2026-07-12</x:v>
      </x:c>
    </x:row>
    <x:row r="32">
      <x:c r="A32" s="32" t="str">
        <x:v>AWS</x:v>
      </x:c>
      <x:c r="B32" s="32" t="str">
        <x:v>Amazon CodeGuru Profiler</x:v>
      </x:c>
      <x:c r="C32" s="32" t="str">
        <x:v>Named service / product family</x:v>
      </x:c>
      <x:c r="D32" s="32" t="str">
        <x:v>Observability &amp; Reliability</x:v>
      </x:c>
      <x:c r="E32" s="32" t="str">
        <x:v>Profiling</x:v>
      </x:c>
      <x:c r="F32" s="32" t="str">
        <x:v>Production code profiling</x:v>
      </x:c>
      <x:c r="G32" s="32" t="str">
        <x:v>Identify CPU and memory hot spots in running applications.</x:v>
      </x:c>
      <x:c r="H32" s="32" t="str">
        <x:v>Exact</x:v>
      </x:c>
      <x:c r="I32" s="32"/>
      <x:c r="J32" s="32" t="str">
        <x:v>https://docs.aws.amazon.com/whitepapers/latest/aws-overview/aws-services.html</x:v>
      </x:c>
      <x:c r="K32" s="32" t="str">
        <x:v>2026-07-12</x:v>
      </x:c>
    </x:row>
    <x:row r="33">
      <x:c r="A33" s="32" t="str">
        <x:v>AWS</x:v>
      </x:c>
      <x:c r="B33" s="32" t="str">
        <x:v>Amazon Cognito</x:v>
      </x:c>
      <x:c r="C33" s="32" t="str">
        <x:v>Named service / product family</x:v>
      </x:c>
      <x:c r="D33" s="32" t="str">
        <x:v>Security, Identity &amp; Compliance</x:v>
      </x:c>
      <x:c r="E33" s="32" t="str">
        <x:v>Customer identity</x:v>
      </x:c>
      <x:c r="F33" s="32" t="str">
        <x:v>Customer identity platform</x:v>
      </x:c>
      <x:c r="G33" s="32" t="str">
        <x:v>Add sign-up, sign-in, federation and access controls to customer-facing applications.</x:v>
      </x:c>
      <x:c r="H33" s="32" t="str">
        <x:v>Exact</x:v>
      </x:c>
      <x:c r="I33" s="32"/>
      <x:c r="J33" s="32" t="str">
        <x:v>https://docs.aws.amazon.com/whitepapers/latest/aws-overview/aws-services.html</x:v>
      </x:c>
      <x:c r="K33" s="32" t="str">
        <x:v>2026-07-12</x:v>
      </x:c>
    </x:row>
    <x:row r="34">
      <x:c r="A34" s="32" t="str">
        <x:v>AWS</x:v>
      </x:c>
      <x:c r="B34" s="32" t="str">
        <x:v>Amazon Comprehend</x:v>
      </x:c>
      <x:c r="C34" s="32" t="str">
        <x:v>Named service / product family</x:v>
      </x:c>
      <x:c r="D34" s="32" t="str">
        <x:v>AI &amp; Machine Learning</x:v>
      </x:c>
      <x:c r="E34" s="32" t="str">
        <x:v>NLP</x:v>
      </x:c>
      <x:c r="F34" s="32" t="str">
        <x:v>Natural-language analysis</x:v>
      </x:c>
      <x:c r="G34" s="32" t="str">
        <x:v>Extract entities, sentiment, classifications and insights from text.</x:v>
      </x:c>
      <x:c r="H34" s="32" t="str">
        <x:v>Exact</x:v>
      </x:c>
      <x:c r="I34" s="32"/>
      <x:c r="J34" s="32" t="str">
        <x:v>https://docs.aws.amazon.com/whitepapers/latest/aws-overview/aws-services.html</x:v>
      </x:c>
      <x:c r="K34" s="32" t="str">
        <x:v>2026-07-12</x:v>
      </x:c>
    </x:row>
    <x:row r="35">
      <x:c r="A35" s="32" t="str">
        <x:v>AWS</x:v>
      </x:c>
      <x:c r="B35" s="32" t="str">
        <x:v>Amazon Comprehend Medical</x:v>
      </x:c>
      <x:c r="C35" s="32" t="str">
        <x:v>Named service / product family</x:v>
      </x:c>
      <x:c r="D35" s="32" t="str">
        <x:v>AI &amp; Machine Learning</x:v>
      </x:c>
      <x:c r="E35" s="32" t="str">
        <x:v>Healthcare AI</x:v>
      </x:c>
      <x:c r="F35" s="32" t="str">
        <x:v>Healthcare data and AI</x:v>
      </x:c>
      <x:c r="G35" s="32" t="str">
        <x:v>Ingest, normalise, search and apply AI to healthcare information.</x:v>
      </x:c>
      <x:c r="H35" s="32" t="str">
        <x:v>Close</x:v>
      </x:c>
      <x:c r="I35" s="32"/>
      <x:c r="J35" s="32" t="str">
        <x:v>https://docs.aws.amazon.com/whitepapers/latest/aws-overview/aws-services.html</x:v>
      </x:c>
      <x:c r="K35" s="32" t="str">
        <x:v>2026-07-12</x:v>
      </x:c>
    </x:row>
    <x:row r="36">
      <x:c r="A36" s="32" t="str">
        <x:v>AWS</x:v>
      </x:c>
      <x:c r="B36" s="32" t="str">
        <x:v>Amazon Connect</x:v>
      </x:c>
      <x:c r="C36" s="32" t="str">
        <x:v>Named service / product family</x:v>
      </x:c>
      <x:c r="D36" s="32" t="str">
        <x:v>AI &amp; Machine Learning
End-User Computing &amp; Business Apps
Media &amp; Communications</x:v>
      </x:c>
      <x:c r="E36" s="32" t="str">
        <x:v>Communications APIs
Contact centre
Contact-centre AI</x:v>
      </x:c>
      <x:c r="F36" s="32" t="str">
        <x:v>Agent assistance and conversation analytics
Cloud contact centre
Programmable communications</x:v>
      </x:c>
      <x:c r="G36" s="32" t="str">
        <x:v>Assist human contact-centre agents and analyse customer interactions.</x:v>
      </x:c>
      <x:c r="H36" s="32" t="str">
        <x:v>Close, Partial</x:v>
      </x:c>
      <x:c r="I36" s="32"/>
      <x:c r="J36" s="32" t="str">
        <x:v>https://docs.aws.amazon.com/whitepapers/latest/aws-overview/aws-services.html</x:v>
      </x:c>
      <x:c r="K36" s="32" t="str">
        <x:v>2026-07-12</x:v>
      </x:c>
    </x:row>
    <x:row r="37">
      <x:c r="A37" s="32" t="str">
        <x:v>AWS</x:v>
      </x:c>
      <x:c r="B37" s="32" t="str">
        <x:v>Amazon Data Firehose</x:v>
      </x:c>
      <x:c r="C37" s="32" t="str">
        <x:v>Named service / product family</x:v>
      </x:c>
      <x:c r="D37" s="32" t="str">
        <x:v>Data, Analytics &amp; BI</x:v>
      </x:c>
      <x:c r="E37" s="32" t="str">
        <x:v>Data replication
Streaming ingestion</x:v>
      </x:c>
      <x:c r="F37" s="32" t="str">
        <x:v>Change data capture and replication
Streaming event ingestion</x:v>
      </x:c>
      <x:c r="G37" s="32" t="str">
        <x:v>Ingest high-volume event streams for near-real-time processing.</x:v>
      </x:c>
      <x:c r="H37" s="32" t="str">
        <x:v>Close</x:v>
      </x:c>
      <x:c r="I37" s="32"/>
      <x:c r="J37" s="32" t="str">
        <x:v>https://docs.aws.amazon.com/whitepapers/latest/aws-overview/aws-services.html</x:v>
      </x:c>
      <x:c r="K37" s="32" t="str">
        <x:v>2026-07-12</x:v>
      </x:c>
    </x:row>
    <x:row r="38">
      <x:c r="A38" s="32" t="str">
        <x:v>AWS</x:v>
      </x:c>
      <x:c r="B38" s="32" t="str">
        <x:v>Amazon DataZone</x:v>
      </x:c>
      <x:c r="C38" s="32" t="str">
        <x:v>Named service / product family</x:v>
      </x:c>
      <x:c r="D38" s="32" t="str">
        <x:v>Data, Analytics &amp; BI</x:v>
      </x:c>
      <x:c r="E38" s="32" t="str">
        <x:v>Data catalogue
Data governance</x:v>
      </x:c>
      <x:c r="F38" s="32" t="str">
        <x:v>Data catalogue and metadata
Enterprise data governance</x:v>
      </x:c>
      <x:c r="G38" s="32" t="str">
        <x:v>Discover, classify and understand data assets through searchable metadata.</x:v>
      </x:c>
      <x:c r="H38" s="32" t="str">
        <x:v>Close</x:v>
      </x:c>
      <x:c r="I38" s="32"/>
      <x:c r="J38" s="32" t="str">
        <x:v>https://docs.aws.amazon.com/whitepapers/latest/aws-overview/aws-services.html</x:v>
      </x:c>
      <x:c r="K38" s="32" t="str">
        <x:v>2026-07-12</x:v>
      </x:c>
    </x:row>
    <x:row r="39">
      <x:c r="A39" s="32" t="str">
        <x:v>AWS</x:v>
      </x:c>
      <x:c r="B39" s="32" t="str">
        <x:v>Amazon Detective</x:v>
      </x:c>
      <x:c r="C39" s="32" t="str">
        <x:v>Named service / product family</x:v>
      </x:c>
      <x:c r="D39" s="32" t="str">
        <x:v>Security, Identity &amp; Compliance</x:v>
      </x:c>
      <x:c r="E39" s="32" t="str">
        <x:v>Investigation</x:v>
      </x:c>
      <x:c r="F39" s="32" t="str">
        <x:v>Security investigation</x:v>
      </x:c>
      <x:c r="G39" s="32" t="str">
        <x:v>Correlate security findings and accelerate investigation of potential incidents.</x:v>
      </x:c>
      <x:c r="H39" s="32" t="str">
        <x:v>Close</x:v>
      </x:c>
      <x:c r="I39" s="32"/>
      <x:c r="J39" s="32" t="str">
        <x:v>https://docs.aws.amazon.com/whitepapers/latest/aws-overview/aws-services.html</x:v>
      </x:c>
      <x:c r="K39" s="32" t="str">
        <x:v>2026-07-12</x:v>
      </x:c>
    </x:row>
    <x:row r="40">
      <x:c r="A40" s="32" t="str">
        <x:v>AWS</x:v>
      </x:c>
      <x:c r="B40" s="32" t="str">
        <x:v>Amazon DevOps Guru</x:v>
      </x:c>
      <x:c r="C40" s="32" t="str">
        <x:v>Named service / product family</x:v>
      </x:c>
      <x:c r="D40" s="32" t="str">
        <x:v>AI &amp; Machine Learning
Observability &amp; Reliability</x:v>
      </x:c>
      <x:c r="E40" s="32" t="str">
        <x:v>Anomaly detection
SRE automation</x:v>
      </x:c>
      <x:c r="F40" s="32" t="str">
        <x:v>AI-assisted reliability engineering
Anomaly and metric detection</x:v>
      </x:c>
      <x:c r="G40" s="32" t="str">
        <x:v>Identify unusual patterns in metrics, events or industrial equipment.</x:v>
      </x:c>
      <x:c r="H40" s="32" t="str">
        <x:v>Close, Partial</x:v>
      </x:c>
      <x:c r="I40" s="32"/>
      <x:c r="J40" s="32" t="str">
        <x:v>https://docs.aws.amazon.com/whitepapers/latest/aws-overview/aws-services.html</x:v>
      </x:c>
      <x:c r="K40" s="32" t="str">
        <x:v>2026-07-12</x:v>
      </x:c>
    </x:row>
    <x:row r="41">
      <x:c r="A41" s="32" t="str">
        <x:v>AWS</x:v>
      </x:c>
      <x:c r="B41" s="32" t="str">
        <x:v>Amazon DocumentDB</x:v>
      </x:c>
      <x:c r="C41" s="32" t="str">
        <x:v>Named service / product family</x:v>
      </x:c>
      <x:c r="D41" s="32" t="str">
        <x:v>Databases</x:v>
      </x:c>
      <x:c r="E41" s="32" t="str">
        <x:v>Document database
MongoDB compatibility</x:v>
      </x:c>
      <x:c r="F41" s="32" t="str">
        <x:v>Managed document database
MongoDB-compatible managed database</x:v>
      </x:c>
      <x:c r="G41" s="32" t="str">
        <x:v>Store semi-structured JSON-like documents with flexible schemas.</x:v>
      </x:c>
      <x:c r="H41" s="32" t="str">
        <x:v>Close</x:v>
      </x:c>
      <x:c r="I41" s="32"/>
      <x:c r="J41" s="32" t="str">
        <x:v>https://docs.aws.amazon.com/whitepapers/latest/aws-overview/aws-services.html</x:v>
      </x:c>
      <x:c r="K41" s="32" t="str">
        <x:v>2026-07-12</x:v>
      </x:c>
    </x:row>
    <x:row r="42">
      <x:c r="A42" s="32" t="str">
        <x:v>AWS</x:v>
      </x:c>
      <x:c r="B42" s="32" t="str">
        <x:v>Amazon DocumentDB vector search</x:v>
      </x:c>
      <x:c r="C42" s="32" t="str">
        <x:v>Named service / product family</x:v>
      </x:c>
      <x:c r="D42" s="32" t="str">
        <x:v>AI &amp; Machine Learning</x:v>
      </x:c>
      <x:c r="E42" s="32" t="str">
        <x:v>Vector search</x:v>
      </x:c>
      <x:c r="F42" s="32" t="str">
        <x:v>Managed vector search</x:v>
      </x:c>
      <x:c r="G42" s="32" t="str">
        <x:v>Store embeddings and run similarity search for RAG and recommendation workloads.</x:v>
      </x:c>
      <x:c r="H42" s="32" t="str">
        <x:v>Close</x:v>
      </x:c>
      <x:c r="I42" s="32"/>
      <x:c r="J42" s="32" t="str">
        <x:v>https://docs.aws.amazon.com/whitepapers/latest/aws-overview/aws-services.html</x:v>
      </x:c>
      <x:c r="K42" s="32" t="str">
        <x:v>2026-07-12</x:v>
      </x:c>
    </x:row>
    <x:row r="43">
      <x:c r="A43" s="32" t="str">
        <x:v>AWS</x:v>
      </x:c>
      <x:c r="B43" s="32" t="str">
        <x:v>Amazon DynamoDB</x:v>
      </x:c>
      <x:c r="C43" s="32" t="str">
        <x:v>Named service / product family</x:v>
      </x:c>
      <x:c r="D43" s="32" t="str">
        <x:v>Databases</x:v>
      </x:c>
      <x:c r="E43" s="32" t="str">
        <x:v>Document database
Key-value NoSQL
Wide-column database</x:v>
      </x:c>
      <x:c r="F43" s="32" t="str">
        <x:v>Managed document database
Managed key-value database
Managed wide-column database</x:v>
      </x:c>
      <x:c r="G43" s="32" t="str">
        <x:v>Store and retrieve low-latency key-value data at large scale.</x:v>
      </x:c>
      <x:c r="H43" s="32" t="str">
        <x:v>Close</x:v>
      </x:c>
      <x:c r="I43" s="32"/>
      <x:c r="J43" s="32" t="str">
        <x:v>https://docs.aws.amazon.com/whitepapers/latest/aws-overview/aws-services.html</x:v>
      </x:c>
      <x:c r="K43" s="32" t="str">
        <x:v>2026-07-12</x:v>
      </x:c>
    </x:row>
    <x:row r="44">
      <x:c r="A44" s="32" t="str">
        <x:v>AWS</x:v>
      </x:c>
      <x:c r="B44" s="32" t="str">
        <x:v>Amazon EBS / FSx</x:v>
      </x:c>
      <x:c r="C44" s="32" t="str">
        <x:v>Product family / combined pattern</x:v>
      </x:c>
      <x:c r="D44" s="32" t="str">
        <x:v>Storage</x:v>
      </x:c>
      <x:c r="E44" s="32" t="str">
        <x:v>Elastic SAN</x:v>
      </x:c>
      <x:c r="F44" s="32" t="str">
        <x:v>Managed cloud SAN</x:v>
      </x:c>
      <x:c r="G44" s="32" t="str">
        <x:v>Provide centrally provisioned block storage through SAN-style constructs.</x:v>
      </x:c>
      <x:c r="H44" s="32" t="str">
        <x:v>Partial</x:v>
      </x:c>
      <x:c r="I44" s="32"/>
      <x:c r="J44" s="32" t="str">
        <x:v>https://docs.aws.amazon.com/whitepapers/latest/aws-overview/aws-services.html</x:v>
      </x:c>
      <x:c r="K44" s="32" t="str">
        <x:v>2026-07-12</x:v>
      </x:c>
    </x:row>
    <x:row r="45">
      <x:c r="A45" s="32" t="str">
        <x:v>AWS</x:v>
      </x:c>
      <x:c r="B45" s="32" t="str">
        <x:v>Amazon EC2</x:v>
      </x:c>
      <x:c r="C45" s="32" t="str">
        <x:v>Named service / product family</x:v>
      </x:c>
      <x:c r="D45" s="32" t="str">
        <x:v>Compute &amp; Application Hosting</x:v>
      </x:c>
      <x:c r="E45" s="32" t="str">
        <x:v>Virtual machines</x:v>
      </x:c>
      <x:c r="F45" s="32" t="str">
        <x:v>General-purpose virtual machines</x:v>
      </x:c>
      <x:c r="G45" s="32" t="str">
        <x:v>Provision resizable virtual machines with selectable operating systems and hardware.</x:v>
      </x:c>
      <x:c r="H45" s="32" t="str">
        <x:v>Exact</x:v>
      </x:c>
      <x:c r="I45" s="32"/>
      <x:c r="J45" s="32" t="str">
        <x:v>https://docs.aws.amazon.com/whitepapers/latest/aws-overview/aws-services.html</x:v>
      </x:c>
      <x:c r="K45" s="32" t="str">
        <x:v>2026-07-12</x:v>
      </x:c>
    </x:row>
    <x:row r="46">
      <x:c r="A46" s="32" t="str">
        <x:v>AWS</x:v>
      </x:c>
      <x:c r="B46" s="32" t="str">
        <x:v>Amazon EC2 Auto Scaling</x:v>
      </x:c>
      <x:c r="C46" s="32" t="str">
        <x:v>Named service / product family</x:v>
      </x:c>
      <x:c r="D46" s="32" t="str">
        <x:v>Compute &amp; Application Hosting</x:v>
      </x:c>
      <x:c r="E46" s="32" t="str">
        <x:v>Autoscaling</x:v>
      </x:c>
      <x:c r="F46" s="32" t="str">
        <x:v>Virtual-machine autoscaling</x:v>
      </x:c>
      <x:c r="G46" s="32" t="str">
        <x:v>Automatically add or remove virtual-machine capacity based on demand or schedules.</x:v>
      </x:c>
      <x:c r="H46" s="32" t="str">
        <x:v>Exact</x:v>
      </x:c>
      <x:c r="I46" s="32"/>
      <x:c r="J46" s="32" t="str">
        <x:v>https://docs.aws.amazon.com/whitepapers/latest/aws-overview/aws-services.html</x:v>
      </x:c>
      <x:c r="K46" s="32" t="str">
        <x:v>2026-07-12</x:v>
      </x:c>
    </x:row>
    <x:row r="47">
      <x:c r="A47" s="32" t="str">
        <x:v>AWS</x:v>
      </x:c>
      <x:c r="B47" s="32" t="str">
        <x:v>Amazon EC2 Dedicated Hosts</x:v>
      </x:c>
      <x:c r="C47" s="32" t="str">
        <x:v>Named service / product family</x:v>
      </x:c>
      <x:c r="D47" s="32" t="str">
        <x:v>Compute &amp; Application Hosting</x:v>
      </x:c>
      <x:c r="E47" s="32" t="str">
        <x:v>Dedicated compute</x:v>
      </x:c>
      <x:c r="F47" s="32" t="str">
        <x:v>Dedicated hosts</x:v>
      </x:c>
      <x:c r="G47" s="32" t="str">
        <x:v>Run virtual machines on isolated physical servers dedicated to one customer.</x:v>
      </x:c>
      <x:c r="H47" s="32" t="str">
        <x:v>Exact</x:v>
      </x:c>
      <x:c r="I47" s="32"/>
      <x:c r="J47" s="32" t="str">
        <x:v>https://docs.aws.amazon.com/whitepapers/latest/aws-overview/aws-services.html</x:v>
      </x:c>
      <x:c r="K47" s="32" t="str">
        <x:v>2026-07-12</x:v>
      </x:c>
    </x:row>
    <x:row r="48">
      <x:c r="A48" s="32" t="str">
        <x:v>AWS</x:v>
      </x:c>
      <x:c r="B48" s="32" t="str">
        <x:v>Amazon EC2 GPU instances</x:v>
      </x:c>
      <x:c r="C48" s="32" t="str">
        <x:v>Named service / product family</x:v>
      </x:c>
      <x:c r="D48" s="32" t="str">
        <x:v>AI &amp; Machine Learning</x:v>
      </x:c>
      <x:c r="E48" s="32" t="str">
        <x:v>AI infrastructure</x:v>
      </x:c>
      <x:c r="F48" s="32" t="str">
        <x:v>AI accelerators</x:v>
      </x:c>
      <x:c r="G48" s="32" t="str">
        <x:v>Provide specialised GPU or accelerator infrastructure for training and inference.</x:v>
      </x:c>
      <x:c r="H48" s="32" t="str">
        <x:v>Close</x:v>
      </x:c>
      <x:c r="I48" s="32"/>
      <x:c r="J48" s="32" t="str">
        <x:v>https://docs.aws.amazon.com/whitepapers/latest/aws-overview/aws-services.html</x:v>
      </x:c>
      <x:c r="K48" s="32" t="str">
        <x:v>2026-07-12</x:v>
      </x:c>
    </x:row>
    <x:row r="49">
      <x:c r="A49" s="32" t="str">
        <x:v>AWS</x:v>
      </x:c>
      <x:c r="B49" s="32" t="str">
        <x:v>Amazon EC2 HPC</x:v>
      </x:c>
      <x:c r="C49" s="32" t="str">
        <x:v>Named service / product family</x:v>
      </x:c>
      <x:c r="D49" s="32" t="str">
        <x:v>Compute &amp; Application Hosting</x:v>
      </x:c>
      <x:c r="E49" s="32" t="str">
        <x:v>HPC</x:v>
      </x:c>
      <x:c r="F49" s="32" t="str">
        <x:v>High-performance computing platform</x:v>
      </x:c>
      <x:c r="G49" s="32" t="str">
        <x:v>Provision tightly coupled compute, high-speed networking and schedulers for HPC workloads.</x:v>
      </x:c>
      <x:c r="H49" s="32" t="str">
        <x:v>Close</x:v>
      </x:c>
      <x:c r="I49" s="32"/>
      <x:c r="J49" s="32" t="str">
        <x:v>https://docs.aws.amazon.com/whitepapers/latest/aws-overview/aws-services.html</x:v>
      </x:c>
      <x:c r="K49" s="32" t="str">
        <x:v>2026-07-12</x:v>
      </x:c>
    </x:row>
    <x:row r="50">
      <x:c r="A50" s="32" t="str">
        <x:v>AWS</x:v>
      </x:c>
      <x:c r="B50" s="32" t="str">
        <x:v>Amazon EC2 Spot Instances</x:v>
      </x:c>
      <x:c r="C50" s="32" t="str">
        <x:v>Named service / product family</x:v>
      </x:c>
      <x:c r="D50" s="32" t="str">
        <x:v>Compute &amp; Application Hosting</x:v>
      </x:c>
      <x:c r="E50" s="32" t="str">
        <x:v>Discount compute</x:v>
      </x:c>
      <x:c r="F50" s="32" t="str">
        <x:v>Interruptible compute</x:v>
      </x:c>
      <x:c r="G50" s="32" t="str">
        <x:v>Run fault-tolerant workloads on discounted spare compute capacity.</x:v>
      </x:c>
      <x:c r="H50" s="32" t="str">
        <x:v>Exact</x:v>
      </x:c>
      <x:c r="I50" s="32"/>
      <x:c r="J50" s="32" t="str">
        <x:v>https://docs.aws.amazon.com/whitepapers/latest/aws-overview/aws-services.html</x:v>
      </x:c>
      <x:c r="K50" s="32" t="str">
        <x:v>2026-07-12</x:v>
      </x:c>
    </x:row>
    <x:row r="51">
      <x:c r="A51" s="32" t="str">
        <x:v>AWS</x:v>
      </x:c>
      <x:c r="B51" s="32" t="str">
        <x:v>Amazon ECR</x:v>
      </x:c>
      <x:c r="C51" s="32" t="str">
        <x:v>Named service / product family</x:v>
      </x:c>
      <x:c r="D51" s="32" t="str">
        <x:v>Developer Tools &amp; DevOps</x:v>
      </x:c>
      <x:c r="E51" s="32" t="str">
        <x:v>Artifacts</x:v>
      </x:c>
      <x:c r="F51" s="32" t="str">
        <x:v>Artifact and package repository</x:v>
      </x:c>
      <x:c r="G51" s="32" t="str">
        <x:v>Store application packages, dependencies and build artifacts.</x:v>
      </x:c>
      <x:c r="H51" s="32" t="str">
        <x:v>Close</x:v>
      </x:c>
      <x:c r="I51" s="32"/>
      <x:c r="J51" s="32" t="str">
        <x:v>https://docs.aws.amazon.com/whitepapers/latest/aws-overview/aws-services.html</x:v>
      </x:c>
      <x:c r="K51" s="32" t="str">
        <x:v>2026-07-12</x:v>
      </x:c>
    </x:row>
    <x:row r="52">
      <x:c r="A52" s="32" t="str">
        <x:v>AWS</x:v>
      </x:c>
      <x:c r="B52" s="32" t="str">
        <x:v>Amazon ECR enhanced scanning</x:v>
      </x:c>
      <x:c r="C52" s="32" t="str">
        <x:v>Named service / product family</x:v>
      </x:c>
      <x:c r="D52" s="32" t="str">
        <x:v>Developer Tools &amp; DevOps</x:v>
      </x:c>
      <x:c r="E52" s="32" t="str">
        <x:v>Artifact security</x:v>
      </x:c>
      <x:c r="F52" s="32" t="str">
        <x:v>Software artifact analysis</x:v>
      </x:c>
      <x:c r="G52" s="32" t="str">
        <x:v>Scan packages and container images for vulnerabilities and supply-chain risk.</x:v>
      </x:c>
      <x:c r="H52" s="32" t="str">
        <x:v>Close</x:v>
      </x:c>
      <x:c r="I52" s="32"/>
      <x:c r="J52" s="32" t="str">
        <x:v>https://docs.aws.amazon.com/whitepapers/latest/aws-overview/aws-services.html</x:v>
      </x:c>
      <x:c r="K52" s="32" t="str">
        <x:v>2026-07-12</x:v>
      </x:c>
    </x:row>
    <x:row r="53">
      <x:c r="A53" s="32" t="str">
        <x:v>AWS</x:v>
      </x:c>
      <x:c r="B53" s="32" t="str">
        <x:v>Amazon ECR image scanning</x:v>
      </x:c>
      <x:c r="C53" s="32" t="str">
        <x:v>Named service / product family</x:v>
      </x:c>
      <x:c r="D53" s="32" t="str">
        <x:v>Security, Identity &amp; Compliance</x:v>
      </x:c>
      <x:c r="E53" s="32" t="str">
        <x:v>Vulnerability management</x:v>
      </x:c>
      <x:c r="F53" s="32" t="str">
        <x:v>Workload vulnerability assessment</x:v>
      </x:c>
      <x:c r="G53" s="32" t="str">
        <x:v>Scan virtual machines, containers and software packages for vulnerabilities.</x:v>
      </x:c>
      <x:c r="H53" s="32" t="str">
        <x:v>Close</x:v>
      </x:c>
      <x:c r="I53" s="32"/>
      <x:c r="J53" s="32" t="str">
        <x:v>https://docs.aws.amazon.com/whitepapers/latest/aws-overview/aws-services.html</x:v>
      </x:c>
      <x:c r="K53" s="32" t="str">
        <x:v>2026-07-12</x:v>
      </x:c>
    </x:row>
    <x:row r="54">
      <x:c r="A54" s="32" t="str">
        <x:v>AWS</x:v>
      </x:c>
      <x:c r="B54" s="32" t="str">
        <x:v>Amazon ECS</x:v>
      </x:c>
      <x:c r="C54" s="32" t="str">
        <x:v>Named service / product family</x:v>
      </x:c>
      <x:c r="D54" s="32" t="str">
        <x:v>Compute &amp; Application Hosting</x:v>
      </x:c>
      <x:c r="E54" s="32" t="str">
        <x:v>Container instances</x:v>
      </x:c>
      <x:c r="F54" s="32" t="str">
        <x:v>Serverless container instances</x:v>
      </x:c>
      <x:c r="G54" s="32" t="str">
        <x:v>Run containers without directly managing virtual machines or Kubernetes clusters.</x:v>
      </x:c>
      <x:c r="H54" s="32" t="str">
        <x:v>Close</x:v>
      </x:c>
      <x:c r="I54" s="32"/>
      <x:c r="J54" s="32" t="str">
        <x:v>https://docs.aws.amazon.com/whitepapers/latest/aws-overview/aws-services.html</x:v>
      </x:c>
      <x:c r="K54" s="32" t="str">
        <x:v>2026-07-12</x:v>
      </x:c>
    </x:row>
    <x:row r="55">
      <x:c r="A55" s="32" t="str">
        <x:v>AWS</x:v>
      </x:c>
      <x:c r="B55" s="32" t="str">
        <x:v>Amazon ECS Anywhere</x:v>
      </x:c>
      <x:c r="C55" s="32" t="str">
        <x:v>Named service / product family</x:v>
      </x:c>
      <x:c r="D55" s="32" t="str">
        <x:v>Hybrid &amp; Multicloud</x:v>
      </x:c>
      <x:c r="E55" s="32" t="str">
        <x:v>Multicloud Kubernetes</x:v>
      </x:c>
      <x:c r="F55" s="32" t="str">
        <x:v>Multicloud Kubernetes management</x:v>
      </x:c>
      <x:c r="G55" s="32" t="str">
        <x:v>Manage Kubernetes fleets spanning cloud and on-premises environments.</x:v>
      </x:c>
      <x:c r="H55" s="32" t="str">
        <x:v>Close</x:v>
      </x:c>
      <x:c r="I55" s="32"/>
      <x:c r="J55" s="32" t="str">
        <x:v>https://docs.aws.amazon.com/whitepapers/latest/aws-overview/aws-services.html</x:v>
      </x:c>
      <x:c r="K55" s="32" t="str">
        <x:v>2026-07-12</x:v>
      </x:c>
    </x:row>
    <x:row r="56">
      <x:c r="A56" s="32" t="str">
        <x:v>AWS</x:v>
      </x:c>
      <x:c r="B56" s="32" t="str">
        <x:v>Amazon EKS Anywhere</x:v>
      </x:c>
      <x:c r="C56" s="32" t="str">
        <x:v>Named service / product family</x:v>
      </x:c>
      <x:c r="D56" s="32" t="str">
        <x:v>Hybrid &amp; Multicloud</x:v>
      </x:c>
      <x:c r="E56" s="32" t="str">
        <x:v>Hybrid management
Multicloud Kubernetes</x:v>
      </x:c>
      <x:c r="F56" s="32" t="str">
        <x:v>Hybrid and multicloud control plane
Multicloud Kubernetes management</x:v>
      </x:c>
      <x:c r="G56" s="32" t="str">
        <x:v>Inventory, govern and operate servers, Kubernetes and data services across environments.</x:v>
      </x:c>
      <x:c r="H56" s="32" t="str">
        <x:v>Close</x:v>
      </x:c>
      <x:c r="I56" s="32"/>
      <x:c r="J56" s="32" t="str">
        <x:v>https://docs.aws.amazon.com/whitepapers/latest/aws-overview/aws-services.html</x:v>
      </x:c>
      <x:c r="K56" s="32" t="str">
        <x:v>2026-07-12</x:v>
      </x:c>
    </x:row>
    <x:row r="57">
      <x:c r="A57" s="32" t="str">
        <x:v>AWS</x:v>
      </x:c>
      <x:c r="B57" s="32" t="str">
        <x:v>Amazon Elastic Block Store</x:v>
      </x:c>
      <x:c r="C57" s="32" t="str">
        <x:v>Named service / product family</x:v>
      </x:c>
      <x:c r="D57" s="32" t="str">
        <x:v>Storage</x:v>
      </x:c>
      <x:c r="E57" s="32" t="str">
        <x:v>Block storage</x:v>
      </x:c>
      <x:c r="F57" s="32" t="str">
        <x:v>Persistent block storage</x:v>
      </x:c>
      <x:c r="G57" s="32" t="str">
        <x:v>Attach durable block volumes to virtual machines and stateful workloads.</x:v>
      </x:c>
      <x:c r="H57" s="32" t="str">
        <x:v>Exact</x:v>
      </x:c>
      <x:c r="I57" s="32"/>
      <x:c r="J57" s="32" t="str">
        <x:v>https://docs.aws.amazon.com/whitepapers/latest/aws-overview/aws-services.html</x:v>
      </x:c>
      <x:c r="K57" s="32" t="str">
        <x:v>2026-07-12</x:v>
      </x:c>
    </x:row>
    <x:row r="58">
      <x:c r="A58" s="32" t="str">
        <x:v>AWS</x:v>
      </x:c>
      <x:c r="B58" s="32" t="str">
        <x:v>Amazon Elastic Container Registry</x:v>
      </x:c>
      <x:c r="C58" s="32" t="str">
        <x:v>Named service / product family</x:v>
      </x:c>
      <x:c r="D58" s="32" t="str">
        <x:v>Compute &amp; Application Hosting</x:v>
      </x:c>
      <x:c r="E58" s="32" t="str">
        <x:v>Container registry</x:v>
      </x:c>
      <x:c r="F58" s="32" t="str">
        <x:v>Container image registry</x:v>
      </x:c>
      <x:c r="G58" s="32" t="str">
        <x:v>Store, scan and distribute container images and related artifacts.</x:v>
      </x:c>
      <x:c r="H58" s="32" t="str">
        <x:v>Exact</x:v>
      </x:c>
      <x:c r="I58" s="32"/>
      <x:c r="J58" s="32" t="str">
        <x:v>https://docs.aws.amazon.com/whitepapers/latest/aws-overview/aws-services.html</x:v>
      </x:c>
      <x:c r="K58" s="32" t="str">
        <x:v>2026-07-12</x:v>
      </x:c>
    </x:row>
    <x:row r="59">
      <x:c r="A59" s="32" t="str">
        <x:v>AWS</x:v>
      </x:c>
      <x:c r="B59" s="32" t="str">
        <x:v>Amazon Elastic File System</x:v>
      </x:c>
      <x:c r="C59" s="32" t="str">
        <x:v>Named service / product family</x:v>
      </x:c>
      <x:c r="D59" s="32" t="str">
        <x:v>Storage</x:v>
      </x:c>
      <x:c r="E59" s="32" t="str">
        <x:v>File storage</x:v>
      </x:c>
      <x:c r="F59" s="32" t="str">
        <x:v>Managed network file storage</x:v>
      </x:c>
      <x:c r="G59" s="32" t="str">
        <x:v>Provide shared file systems for applications and user workloads.</x:v>
      </x:c>
      <x:c r="H59" s="32" t="str">
        <x:v>Exact</x:v>
      </x:c>
      <x:c r="I59" s="32"/>
      <x:c r="J59" s="32" t="str">
        <x:v>https://docs.aws.amazon.com/whitepapers/latest/aws-overview/aws-services.html</x:v>
      </x:c>
      <x:c r="K59" s="32" t="str">
        <x:v>2026-07-12</x:v>
      </x:c>
    </x:row>
    <x:row r="60">
      <x:c r="A60" s="32" t="str">
        <x:v>AWS</x:v>
      </x:c>
      <x:c r="B60" s="32" t="str">
        <x:v>Amazon Elastic Kubernetes Service</x:v>
      </x:c>
      <x:c r="C60" s="32" t="str">
        <x:v>Named service / product family</x:v>
      </x:c>
      <x:c r="D60" s="32" t="str">
        <x:v>Compute &amp; Application Hosting</x:v>
      </x:c>
      <x:c r="E60" s="32" t="str">
        <x:v>Kubernetes</x:v>
      </x:c>
      <x:c r="F60" s="32" t="str">
        <x:v>Managed Kubernetes</x:v>
      </x:c>
      <x:c r="G60" s="32" t="str">
        <x:v>Operate Kubernetes clusters with a managed control plane.</x:v>
      </x:c>
      <x:c r="H60" s="32" t="str">
        <x:v>Exact</x:v>
      </x:c>
      <x:c r="I60" s="32"/>
      <x:c r="J60" s="32" t="str">
        <x:v>https://docs.aws.amazon.com/whitepapers/latest/aws-overview/aws-services.html</x:v>
      </x:c>
      <x:c r="K60" s="32" t="str">
        <x:v>2026-07-12</x:v>
      </x:c>
    </x:row>
    <x:row r="61">
      <x:c r="A61" s="32" t="str">
        <x:v>AWS</x:v>
      </x:c>
      <x:c r="B61" s="32" t="str">
        <x:v>Amazon Elastic Transcoder</x:v>
      </x:c>
      <x:c r="C61" s="32" t="str">
        <x:v>Named service / product family</x:v>
      </x:c>
      <x:c r="D61" s="32" t="str">
        <x:v>Media &amp; Communications</x:v>
      </x:c>
      <x:c r="E61" s="32" t="str">
        <x:v>Media transcoding</x:v>
      </x:c>
      <x:c r="F61" s="32" t="str">
        <x:v>File-based media transcoding</x:v>
      </x:c>
      <x:c r="G61" s="32" t="str">
        <x:v>Convert stored audio and video into delivery-ready formats and renditions.</x:v>
      </x:c>
      <x:c r="H61" s="32" t="str">
        <x:v>Partial</x:v>
      </x:c>
      <x:c r="I61" s="32" t="str">
        <x:v>Azure Media Services was retired; current Azure architectures use partner solutions and general compute/services.</x:v>
      </x:c>
      <x:c r="J61" s="32" t="str">
        <x:v>https://docs.aws.amazon.com/whitepapers/latest/aws-overview/aws-services.html</x:v>
      </x:c>
      <x:c r="K61" s="32" t="str">
        <x:v>2026-07-12</x:v>
      </x:c>
    </x:row>
    <x:row r="62">
      <x:c r="A62" s="32" t="str">
        <x:v>AWS</x:v>
      </x:c>
      <x:c r="B62" s="32" t="str">
        <x:v>Amazon ElastiCache</x:v>
      </x:c>
      <x:c r="C62" s="32" t="str">
        <x:v>Named service / product family</x:v>
      </x:c>
      <x:c r="D62" s="32" t="str">
        <x:v>Databases</x:v>
      </x:c>
      <x:c r="E62" s="32" t="str">
        <x:v>In-memory cache</x:v>
      </x:c>
      <x:c r="F62" s="32" t="str">
        <x:v>Managed Redis or Valkey cache</x:v>
      </x:c>
      <x:c r="G62" s="32" t="str">
        <x:v>Provide low-latency in-memory caching and data structures.</x:v>
      </x:c>
      <x:c r="H62" s="32" t="str">
        <x:v>Close</x:v>
      </x:c>
      <x:c r="I62" s="32"/>
      <x:c r="J62" s="32" t="str">
        <x:v>https://docs.aws.amazon.com/whitepapers/latest/aws-overview/aws-services.html</x:v>
      </x:c>
      <x:c r="K62" s="32" t="str">
        <x:v>2026-07-12</x:v>
      </x:c>
    </x:row>
    <x:row r="63">
      <x:c r="A63" s="32" t="str">
        <x:v>AWS</x:v>
      </x:c>
      <x:c r="B63" s="32" t="str">
        <x:v>Amazon ElastiCache for Memcached</x:v>
      </x:c>
      <x:c r="C63" s="32" t="str">
        <x:v>Named service / product family</x:v>
      </x:c>
      <x:c r="D63" s="32" t="str">
        <x:v>Databases</x:v>
      </x:c>
      <x:c r="E63" s="32" t="str">
        <x:v>Memcached</x:v>
      </x:c>
      <x:c r="F63" s="32" t="str">
        <x:v>Managed Memcached</x:v>
      </x:c>
      <x:c r="G63" s="32" t="str">
        <x:v>Provide a managed distributed memory-caching service compatible with Memcached.</x:v>
      </x:c>
      <x:c r="H63" s="32" t="str">
        <x:v>Partial</x:v>
      </x:c>
      <x:c r="I63" s="32"/>
      <x:c r="J63" s="32" t="str">
        <x:v>https://docs.aws.amazon.com/whitepapers/latest/aws-overview/aws-services.html</x:v>
      </x:c>
      <x:c r="K63" s="32" t="str">
        <x:v>2026-07-12</x:v>
      </x:c>
    </x:row>
    <x:row r="64">
      <x:c r="A64" s="32" t="str">
        <x:v>AWS</x:v>
      </x:c>
      <x:c r="B64" s="32" t="str">
        <x:v>Amazon EMR</x:v>
      </x:c>
      <x:c r="C64" s="32" t="str">
        <x:v>Named service / product family</x:v>
      </x:c>
      <x:c r="D64" s="32" t="str">
        <x:v>Data, Analytics &amp; BI</x:v>
      </x:c>
      <x:c r="E64" s="32" t="str">
        <x:v>Big data</x:v>
      </x:c>
      <x:c r="F64" s="32" t="str">
        <x:v>Managed Spark and Hadoop</x:v>
      </x:c>
      <x:c r="G64" s="32" t="str">
        <x:v>Run managed open-source big-data processing frameworks.</x:v>
      </x:c>
      <x:c r="H64" s="32" t="str">
        <x:v>Close</x:v>
      </x:c>
      <x:c r="I64" s="32"/>
      <x:c r="J64" s="32" t="str">
        <x:v>https://docs.aws.amazon.com/whitepapers/latest/aws-overview/aws-services.html</x:v>
      </x:c>
      <x:c r="K64" s="32" t="str">
        <x:v>2026-07-12</x:v>
      </x:c>
    </x:row>
    <x:row r="65">
      <x:c r="A65" s="32" t="str">
        <x:v>AWS</x:v>
      </x:c>
      <x:c r="B65" s="32" t="str">
        <x:v>Amazon EventBridge</x:v>
      </x:c>
      <x:c r="C65" s="32" t="str">
        <x:v>Named service / product family</x:v>
      </x:c>
      <x:c r="D65" s="32" t="str">
        <x:v>Application Integration</x:v>
      </x:c>
      <x:c r="E65" s="32" t="str">
        <x:v>Event bus
Integration platform</x:v>
      </x:c>
      <x:c r="F65" s="32" t="str">
        <x:v>Application event bus
Integration platform as a service</x:v>
      </x:c>
      <x:c r="G65" s="32" t="str">
        <x:v>Route events from applications and cloud services using rules and schemas.</x:v>
      </x:c>
      <x:c r="H65" s="32" t="str">
        <x:v>Close</x:v>
      </x:c>
      <x:c r="I65" s="32"/>
      <x:c r="J65" s="32" t="str">
        <x:v>https://docs.aws.amazon.com/whitepapers/latest/aws-overview/aws-services.html</x:v>
      </x:c>
      <x:c r="K65" s="32" t="str">
        <x:v>2026-07-12</x:v>
      </x:c>
    </x:row>
    <x:row r="66">
      <x:c r="A66" s="32" t="str">
        <x:v>AWS</x:v>
      </x:c>
      <x:c r="B66" s="32" t="str">
        <x:v>Amazon EventBridge Scheduler</x:v>
      </x:c>
      <x:c r="C66" s="32" t="str">
        <x:v>Named service / product family</x:v>
      </x:c>
      <x:c r="D66" s="32" t="str">
        <x:v>Application Integration</x:v>
      </x:c>
      <x:c r="E66" s="32" t="str">
        <x:v>Workflow scheduling</x:v>
      </x:c>
      <x:c r="F66" s="32" t="str">
        <x:v>Cloud task scheduler</x:v>
      </x:c>
      <x:c r="G66" s="32" t="str">
        <x:v>Trigger jobs and HTTP targets according to cron-like schedules.</x:v>
      </x:c>
      <x:c r="H66" s="32" t="str">
        <x:v>Close</x:v>
      </x:c>
      <x:c r="I66" s="32"/>
      <x:c r="J66" s="32" t="str">
        <x:v>https://docs.aws.amazon.com/whitepapers/latest/aws-overview/aws-services.html</x:v>
      </x:c>
      <x:c r="K66" s="32" t="str">
        <x:v>2026-07-12</x:v>
      </x:c>
    </x:row>
    <x:row r="67">
      <x:c r="A67" s="32" t="str">
        <x:v>AWS</x:v>
      </x:c>
      <x:c r="B67" s="32" t="str">
        <x:v>Amazon FinSpace</x:v>
      </x:c>
      <x:c r="C67" s="32" t="str">
        <x:v>Named service / product family</x:v>
      </x:c>
      <x:c r="D67" s="32" t="str">
        <x:v>Data, Analytics &amp; BI</x:v>
      </x:c>
      <x:c r="E67" s="32" t="str">
        <x:v>Financial analytics</x:v>
      </x:c>
      <x:c r="F67" s="32" t="str">
        <x:v>Financial-services data analytics</x:v>
      </x:c>
      <x:c r="G67" s="32" t="str">
        <x:v>Store and analyse specialised capital-markets or financial datasets.</x:v>
      </x:c>
      <x:c r="H67" s="32" t="str">
        <x:v>Partial</x:v>
      </x:c>
      <x:c r="I67" s="32"/>
      <x:c r="J67" s="32" t="str">
        <x:v>https://docs.aws.amazon.com/whitepapers/latest/aws-overview/aws-services.html</x:v>
      </x:c>
      <x:c r="K67" s="32" t="str">
        <x:v>2026-07-12</x:v>
      </x:c>
    </x:row>
    <x:row r="68">
      <x:c r="A68" s="32" t="str">
        <x:v>AWS</x:v>
      </x:c>
      <x:c r="B68" s="32" t="str">
        <x:v>Amazon Forecast legacy</x:v>
      </x:c>
      <x:c r="C68" s="32" t="str">
        <x:v>Architecture / partner alternative</x:v>
      </x:c>
      <x:c r="D68" s="32" t="str">
        <x:v>AI &amp; Machine Learning</x:v>
      </x:c>
      <x:c r="E68" s="32" t="str">
        <x:v>Forecasting</x:v>
      </x:c>
      <x:c r="F68" s="32" t="str">
        <x:v>Demand and time-series forecasting</x:v>
      </x:c>
      <x:c r="G68" s="32" t="str">
        <x:v>Create forecasts from historical time-series and related data.</x:v>
      </x:c>
      <x:c r="H68" s="32" t="str">
        <x:v>Partial</x:v>
      </x:c>
      <x:c r="I68" s="32"/>
      <x:c r="J68" s="32" t="str">
        <x:v>https://docs.aws.amazon.com/whitepapers/latest/aws-overview/aws-services.html</x:v>
      </x:c>
      <x:c r="K68" s="32" t="str">
        <x:v>2026-07-12</x:v>
      </x:c>
    </x:row>
    <x:row r="69">
      <x:c r="A69" s="32" t="str">
        <x:v>AWS</x:v>
      </x:c>
      <x:c r="B69" s="32" t="str">
        <x:v>Amazon Fraud Detector</x:v>
      </x:c>
      <x:c r="C69" s="32" t="str">
        <x:v>Named service / product family</x:v>
      </x:c>
      <x:c r="D69" s="32" t="str">
        <x:v>AI &amp; Machine Learning
Industry &amp; Specialist</x:v>
      </x:c>
      <x:c r="E69" s="32" t="str">
        <x:v>Financial crime
Fraud &amp; risk</x:v>
      </x:c>
      <x:c r="F69" s="32" t="str">
        <x:v>Anti-money-laundering AI
Fraud detection</x:v>
      </x:c>
      <x:c r="G69" s="32" t="str">
        <x:v>Build or consume models that identify suspicious transactions and behaviour.</x:v>
      </x:c>
      <x:c r="H69" s="32" t="str">
        <x:v>Partial</x:v>
      </x:c>
      <x:c r="I69" s="32"/>
      <x:c r="J69" s="32" t="str">
        <x:v>https://docs.aws.amazon.com/whitepapers/latest/aws-overview/aws-services.html</x:v>
      </x:c>
      <x:c r="K69" s="32" t="str">
        <x:v>2026-07-12</x:v>
      </x:c>
    </x:row>
    <x:row r="70">
      <x:c r="A70" s="32" t="str">
        <x:v>AWS</x:v>
      </x:c>
      <x:c r="B70" s="32" t="str">
        <x:v>Amazon FSx for Lustre</x:v>
      </x:c>
      <x:c r="C70" s="32" t="str">
        <x:v>Named service / product family</x:v>
      </x:c>
      <x:c r="D70" s="32" t="str">
        <x:v>Storage</x:v>
      </x:c>
      <x:c r="E70" s="32" t="str">
        <x:v>High-performance file</x:v>
      </x:c>
      <x:c r="F70" s="32" t="str">
        <x:v>High-performance parallel file system</x:v>
      </x:c>
      <x:c r="G70" s="32" t="str">
        <x:v>Provide low-latency, high-throughput parallel file storage for HPC and AI.</x:v>
      </x:c>
      <x:c r="H70" s="32" t="str">
        <x:v>Exact</x:v>
      </x:c>
      <x:c r="I70" s="32"/>
      <x:c r="J70" s="32" t="str">
        <x:v>https://docs.aws.amazon.com/whitepapers/latest/aws-overview/aws-services.html</x:v>
      </x:c>
      <x:c r="K70" s="32" t="str">
        <x:v>2026-07-12</x:v>
      </x:c>
    </x:row>
    <x:row r="71">
      <x:c r="A71" s="32" t="str">
        <x:v>AWS</x:v>
      </x:c>
      <x:c r="B71" s="32" t="str">
        <x:v>Amazon FSx for NetApp ONTAP</x:v>
      </x:c>
      <x:c r="C71" s="32" t="str">
        <x:v>Named service / product family</x:v>
      </x:c>
      <x:c r="D71" s="32" t="str">
        <x:v>Storage</x:v>
      </x:c>
      <x:c r="E71" s="32" t="str">
        <x:v>Enterprise file storage</x:v>
      </x:c>
      <x:c r="F71" s="32" t="str">
        <x:v>Managed enterprise NAS</x:v>
      </x:c>
      <x:c r="G71" s="32" t="str">
        <x:v>Provide enterprise file protocols, snapshots and data-management features.</x:v>
      </x:c>
      <x:c r="H71" s="32" t="str">
        <x:v>Exact</x:v>
      </x:c>
      <x:c r="I71" s="32"/>
      <x:c r="J71" s="32" t="str">
        <x:v>https://docs.aws.amazon.com/whitepapers/latest/aws-overview/aws-services.html</x:v>
      </x:c>
      <x:c r="K71" s="32" t="str">
        <x:v>2026-07-12</x:v>
      </x:c>
    </x:row>
    <x:row r="72">
      <x:c r="A72" s="32" t="str">
        <x:v>AWS</x:v>
      </x:c>
      <x:c r="B72" s="32" t="str">
        <x:v>Amazon FSx for Windows File Server</x:v>
      </x:c>
      <x:c r="C72" s="32" t="str">
        <x:v>Named service / product family</x:v>
      </x:c>
      <x:c r="D72" s="32" t="str">
        <x:v>Storage</x:v>
      </x:c>
      <x:c r="E72" s="32" t="str">
        <x:v>Windows file</x:v>
      </x:c>
      <x:c r="F72" s="32" t="str">
        <x:v>Managed Windows file server</x:v>
      </x:c>
      <x:c r="G72" s="32" t="str">
        <x:v>Provide managed SMB file shares integrated with Windows environments.</x:v>
      </x:c>
      <x:c r="H72" s="32" t="str">
        <x:v>Close</x:v>
      </x:c>
      <x:c r="I72" s="32"/>
      <x:c r="J72" s="32" t="str">
        <x:v>https://docs.aws.amazon.com/whitepapers/latest/aws-overview/aws-services.html</x:v>
      </x:c>
      <x:c r="K72" s="32" t="str">
        <x:v>2026-07-12</x:v>
      </x:c>
    </x:row>
    <x:row r="73">
      <x:c r="A73" s="32" t="str">
        <x:v>AWS</x:v>
      </x:c>
      <x:c r="B73" s="32" t="str">
        <x:v>Amazon GameLift Servers</x:v>
      </x:c>
      <x:c r="C73" s="32" t="str">
        <x:v>Named service / product family</x:v>
      </x:c>
      <x:c r="D73" s="32" t="str">
        <x:v>Media &amp; Communications</x:v>
      </x:c>
      <x:c r="E73" s="32" t="str">
        <x:v>Game servers</x:v>
      </x:c>
      <x:c r="F73" s="32" t="str">
        <x:v>Managed multiplayer game servers</x:v>
      </x:c>
      <x:c r="G73" s="32" t="str">
        <x:v>Deploy, scale and operate session-based multiplayer game server fleets.</x:v>
      </x:c>
      <x:c r="H73" s="32" t="str">
        <x:v>Close</x:v>
      </x:c>
      <x:c r="I73" s="32"/>
      <x:c r="J73" s="32" t="str">
        <x:v>https://docs.aws.amazon.com/whitepapers/latest/aws-overview/aws-services.html</x:v>
      </x:c>
      <x:c r="K73" s="32" t="str">
        <x:v>2026-07-12</x:v>
      </x:c>
    </x:row>
    <x:row r="74">
      <x:c r="A74" s="32" t="str">
        <x:v>AWS</x:v>
      </x:c>
      <x:c r="B74" s="32" t="str">
        <x:v>Amazon GuardDuty</x:v>
      </x:c>
      <x:c r="C74" s="32" t="str">
        <x:v>Named service / product family</x:v>
      </x:c>
      <x:c r="D74" s="32" t="str">
        <x:v>AI &amp; Machine Learning
Security, Identity &amp; Compliance</x:v>
      </x:c>
      <x:c r="E74" s="32" t="str">
        <x:v>AI security
Threat detection</x:v>
      </x:c>
      <x:c r="F74" s="32" t="str">
        <x:v>AI security posture management
Cloud threat detection</x:v>
      </x:c>
      <x:c r="G74" s="32" t="str">
        <x:v>Discover AI workloads, identify risks and monitor threats affecting AI systems.</x:v>
      </x:c>
      <x:c r="H74" s="32" t="str">
        <x:v>Close, Partial</x:v>
      </x:c>
      <x:c r="I74" s="32"/>
      <x:c r="J74" s="32" t="str">
        <x:v>https://docs.aws.amazon.com/whitepapers/latest/aws-overview/aws-services.html</x:v>
      </x:c>
      <x:c r="K74" s="32" t="str">
        <x:v>2026-07-12</x:v>
      </x:c>
    </x:row>
    <x:row r="75">
      <x:c r="A75" s="32" t="str">
        <x:v>AWS</x:v>
      </x:c>
      <x:c r="B75" s="32" t="str">
        <x:v>Amazon Inspector</x:v>
      </x:c>
      <x:c r="C75" s="32" t="str">
        <x:v>Named service / product family</x:v>
      </x:c>
      <x:c r="D75" s="32" t="str">
        <x:v>AI &amp; Machine Learning
Developer Tools &amp; DevOps
Security, Identity &amp; Compliance</x:v>
      </x:c>
      <x:c r="E75" s="32" t="str">
        <x:v>AI security
Artifact security
Vulnerability management</x:v>
      </x:c>
      <x:c r="F75" s="32" t="str">
        <x:v>AI security posture management
Software artifact analysis
Workload vulnerability assessment</x:v>
      </x:c>
      <x:c r="G75" s="32" t="str">
        <x:v>Discover AI workloads, identify risks and monitor threats affecting AI systems.</x:v>
      </x:c>
      <x:c r="H75" s="32" t="str">
        <x:v>Close, Partial</x:v>
      </x:c>
      <x:c r="I75" s="32"/>
      <x:c r="J75" s="32" t="str">
        <x:v>https://docs.aws.amazon.com/whitepapers/latest/aws-overview/aws-services.html</x:v>
      </x:c>
      <x:c r="K75" s="32" t="str">
        <x:v>2026-07-12</x:v>
      </x:c>
    </x:row>
    <x:row r="76">
      <x:c r="A76" s="32" t="str">
        <x:v>AWS</x:v>
      </x:c>
      <x:c r="B76" s="32" t="str">
        <x:v>Amazon Inspector external exposure insights</x:v>
      </x:c>
      <x:c r="C76" s="32" t="str">
        <x:v>Named service / product family</x:v>
      </x:c>
      <x:c r="D76" s="32" t="str">
        <x:v>Security, Identity &amp; Compliance</x:v>
      </x:c>
      <x:c r="E76" s="32" t="str">
        <x:v>External attack surface</x:v>
      </x:c>
      <x:c r="F76" s="32" t="str">
        <x:v>External attack-surface management</x:v>
      </x:c>
      <x:c r="G76" s="32" t="str">
        <x:v>Discover internet-exposed assets and assess external risk.</x:v>
      </x:c>
      <x:c r="H76" s="32" t="str">
        <x:v>Partial</x:v>
      </x:c>
      <x:c r="I76" s="32"/>
      <x:c r="J76" s="32" t="str">
        <x:v>https://docs.aws.amazon.com/whitepapers/latest/aws-overview/aws-services.html</x:v>
      </x:c>
      <x:c r="K76" s="32" t="str">
        <x:v>2026-07-12</x:v>
      </x:c>
    </x:row>
    <x:row r="77">
      <x:c r="A77" s="32" t="str">
        <x:v>AWS</x:v>
      </x:c>
      <x:c r="B77" s="32" t="str">
        <x:v>Amazon Interactive Video Service</x:v>
      </x:c>
      <x:c r="C77" s="32" t="str">
        <x:v>Named service / product family</x:v>
      </x:c>
      <x:c r="D77" s="32" t="str">
        <x:v>Media &amp; Communications</x:v>
      </x:c>
      <x:c r="E77" s="32" t="str">
        <x:v>Interactive streaming</x:v>
      </x:c>
      <x:c r="F77" s="32" t="str">
        <x:v>Interactive low-latency streaming</x:v>
      </x:c>
      <x:c r="G77" s="32" t="str">
        <x:v>Build low-latency live video experiences with interactive application features.</x:v>
      </x:c>
      <x:c r="H77" s="32" t="str">
        <x:v>Partial</x:v>
      </x:c>
      <x:c r="I77" s="32"/>
      <x:c r="J77" s="32" t="str">
        <x:v>https://docs.aws.amazon.com/whitepapers/latest/aws-overview/aws-services.html</x:v>
      </x:c>
      <x:c r="K77" s="32" t="str">
        <x:v>2026-07-12</x:v>
      </x:c>
    </x:row>
    <x:row r="78">
      <x:c r="A78" s="32" t="str">
        <x:v>AWS</x:v>
      </x:c>
      <x:c r="B78" s="32" t="str">
        <x:v>Amazon Kendra</x:v>
      </x:c>
      <x:c r="C78" s="32" t="str">
        <x:v>Named service / product family</x:v>
      </x:c>
      <x:c r="D78" s="32" t="str">
        <x:v>AI &amp; Machine Learning
Industry &amp; Specialist</x:v>
      </x:c>
      <x:c r="E78" s="32" t="str">
        <x:v>Enterprise search
Talent matching</x:v>
      </x:c>
      <x:c r="F78" s="32" t="str">
        <x:v>AI-powered enterprise search
Talent and job matching</x:v>
      </x:c>
      <x:c r="G78" s="32" t="str">
        <x:v>Index and retrieve enterprise information using semantic and generative search.</x:v>
      </x:c>
      <x:c r="H78" s="32" t="str">
        <x:v>Close, Partial</x:v>
      </x:c>
      <x:c r="I78" s="32"/>
      <x:c r="J78" s="32" t="str">
        <x:v>https://docs.aws.amazon.com/whitepapers/latest/aws-overview/aws-services.html</x:v>
      </x:c>
      <x:c r="K78" s="32" t="str">
        <x:v>2026-07-12</x:v>
      </x:c>
    </x:row>
    <x:row r="79">
      <x:c r="A79" s="32" t="str">
        <x:v>AWS</x:v>
      </x:c>
      <x:c r="B79" s="32" t="str">
        <x:v>Amazon Keyspaces for Apache Cassandra</x:v>
      </x:c>
      <x:c r="C79" s="32" t="str">
        <x:v>Named service / product family</x:v>
      </x:c>
      <x:c r="D79" s="32" t="str">
        <x:v>Databases</x:v>
      </x:c>
      <x:c r="E79" s="32" t="str">
        <x:v>Wide-column database</x:v>
      </x:c>
      <x:c r="F79" s="32" t="str">
        <x:v>Managed wide-column database</x:v>
      </x:c>
      <x:c r="G79" s="32" t="str">
        <x:v>Store massive sparse datasets using a wide-column data model.</x:v>
      </x:c>
      <x:c r="H79" s="32" t="str">
        <x:v>Close</x:v>
      </x:c>
      <x:c r="I79" s="32"/>
      <x:c r="J79" s="32" t="str">
        <x:v>https://docs.aws.amazon.com/whitepapers/latest/aws-overview/aws-services.html</x:v>
      </x:c>
      <x:c r="K79" s="32" t="str">
        <x:v>2026-07-12</x:v>
      </x:c>
    </x:row>
    <x:row r="80">
      <x:c r="A80" s="32" t="str">
        <x:v>AWS</x:v>
      </x:c>
      <x:c r="B80" s="32" t="str">
        <x:v>Amazon Kinesis Data Analytics</x:v>
      </x:c>
      <x:c r="C80" s="32" t="str">
        <x:v>Named service / product family</x:v>
      </x:c>
      <x:c r="D80" s="32" t="str">
        <x:v>Data, Analytics &amp; BI</x:v>
      </x:c>
      <x:c r="E80" s="32" t="str">
        <x:v>Stream processing</x:v>
      </x:c>
      <x:c r="F80" s="32" t="str">
        <x:v>Managed stream processing</x:v>
      </x:c>
      <x:c r="G80" s="32" t="str">
        <x:v>Process and transform continuously arriving data with low latency.</x:v>
      </x:c>
      <x:c r="H80" s="32" t="str">
        <x:v>Close</x:v>
      </x:c>
      <x:c r="I80" s="32"/>
      <x:c r="J80" s="32" t="str">
        <x:v>https://docs.aws.amazon.com/whitepapers/latest/aws-overview/aws-services.html</x:v>
      </x:c>
      <x:c r="K80" s="32" t="str">
        <x:v>2026-07-12</x:v>
      </x:c>
    </x:row>
    <x:row r="81">
      <x:c r="A81" s="32" t="str">
        <x:v>AWS</x:v>
      </x:c>
      <x:c r="B81" s="32" t="str">
        <x:v>Amazon Kinesis Data Streams</x:v>
      </x:c>
      <x:c r="C81" s="32" t="str">
        <x:v>Named service / product family</x:v>
      </x:c>
      <x:c r="D81" s="32" t="str">
        <x:v>Data, Analytics &amp; BI</x:v>
      </x:c>
      <x:c r="E81" s="32" t="str">
        <x:v>Streaming ingestion</x:v>
      </x:c>
      <x:c r="F81" s="32" t="str">
        <x:v>Streaming event ingestion</x:v>
      </x:c>
      <x:c r="G81" s="32" t="str">
        <x:v>Ingest high-volume event streams for near-real-time processing.</x:v>
      </x:c>
      <x:c r="H81" s="32" t="str">
        <x:v>Close</x:v>
      </x:c>
      <x:c r="I81" s="32"/>
      <x:c r="J81" s="32" t="str">
        <x:v>https://docs.aws.amazon.com/whitepapers/latest/aws-overview/aws-services.html</x:v>
      </x:c>
      <x:c r="K81" s="32" t="str">
        <x:v>2026-07-12</x:v>
      </x:c>
    </x:row>
    <x:row r="82">
      <x:c r="A82" s="32" t="str">
        <x:v>AWS</x:v>
      </x:c>
      <x:c r="B82" s="32" t="str">
        <x:v>Amazon Lex</x:v>
      </x:c>
      <x:c r="C82" s="32" t="str">
        <x:v>Named service / product family</x:v>
      </x:c>
      <x:c r="D82" s="32" t="str">
        <x:v>AI &amp; Machine Learning</x:v>
      </x:c>
      <x:c r="E82" s="32" t="str">
        <x:v>Conversational AI</x:v>
      </x:c>
      <x:c r="F82" s="32" t="str">
        <x:v>Conversational bot platform</x:v>
      </x:c>
      <x:c r="G82" s="32" t="str">
        <x:v>Build intent-based conversational assistants for voice and text channels.</x:v>
      </x:c>
      <x:c r="H82" s="32" t="str">
        <x:v>Close</x:v>
      </x:c>
      <x:c r="I82" s="32"/>
      <x:c r="J82" s="32" t="str">
        <x:v>https://docs.aws.amazon.com/whitepapers/latest/aws-overview/aws-services.html</x:v>
      </x:c>
      <x:c r="K82" s="32" t="str">
        <x:v>2026-07-12</x:v>
      </x:c>
    </x:row>
    <x:row r="83">
      <x:c r="A83" s="32" t="str">
        <x:v>AWS</x:v>
      </x:c>
      <x:c r="B83" s="32" t="str">
        <x:v>Amazon Lightsail</x:v>
      </x:c>
      <x:c r="C83" s="32" t="str">
        <x:v>Named service / product family</x:v>
      </x:c>
      <x:c r="D83" s="32" t="str">
        <x:v>Compute &amp; Application Hosting</x:v>
      </x:c>
      <x:c r="E83" s="32" t="str">
        <x:v>Simple cloud hosting</x:v>
      </x:c>
      <x:c r="F83" s="32" t="str">
        <x:v>Simplified virtual server hosting</x:v>
      </x:c>
      <x:c r="G83" s="32" t="str">
        <x:v>Provide bundled, simplified compute, storage and networking for smaller workloads.</x:v>
      </x:c>
      <x:c r="H83" s="32" t="str">
        <x:v>Partial</x:v>
      </x:c>
      <x:c r="I83" s="32"/>
      <x:c r="J83" s="32" t="str">
        <x:v>https://docs.aws.amazon.com/whitepapers/latest/aws-overview/aws-services.html</x:v>
      </x:c>
      <x:c r="K83" s="32" t="str">
        <x:v>2026-07-12</x:v>
      </x:c>
    </x:row>
    <x:row r="84">
      <x:c r="A84" s="32" t="str">
        <x:v>AWS</x:v>
      </x:c>
      <x:c r="B84" s="32" t="str">
        <x:v>Amazon Linux 2023</x:v>
      </x:c>
      <x:c r="C84" s="32" t="str">
        <x:v>Named service / product family</x:v>
      </x:c>
      <x:c r="D84" s="32" t="str">
        <x:v>Compute &amp; Application Hosting</x:v>
      </x:c>
      <x:c r="E84" s="32" t="str">
        <x:v>Enterprise Linux</x:v>
      </x:c>
      <x:c r="F84" s="32" t="str">
        <x:v>Cloud-optimised Linux distribution</x:v>
      </x:c>
      <x:c r="G84" s="32" t="str">
        <x:v>Provide a provider-maintained Linux operating system optimised for cloud workloads.</x:v>
      </x:c>
      <x:c r="H84" s="32" t="str">
        <x:v>Close</x:v>
      </x:c>
      <x:c r="I84" s="32"/>
      <x:c r="J84" s="32" t="str">
        <x:v>https://docs.aws.amazon.com/whitepapers/latest/aws-overview/aws-services.html</x:v>
      </x:c>
      <x:c r="K84" s="32" t="str">
        <x:v>2026-07-12</x:v>
      </x:c>
    </x:row>
    <x:row r="85">
      <x:c r="A85" s="32" t="str">
        <x:v>AWS</x:v>
      </x:c>
      <x:c r="B85" s="32" t="str">
        <x:v>Amazon Location Service</x:v>
      </x:c>
      <x:c r="C85" s="32" t="str">
        <x:v>Named service / product family</x:v>
      </x:c>
      <x:c r="D85" s="32" t="str">
        <x:v>Media &amp; Communications</x:v>
      </x:c>
      <x:c r="E85" s="32" t="str">
        <x:v>Maps</x:v>
      </x:c>
      <x:c r="F85" s="32" t="str">
        <x:v>Maps and geospatial APIs</x:v>
      </x:c>
      <x:c r="G85" s="32" t="str">
        <x:v>Add maps, geocoding, routing and location features to applications.</x:v>
      </x:c>
      <x:c r="H85" s="32" t="str">
        <x:v>Close</x:v>
      </x:c>
      <x:c r="I85" s="32"/>
      <x:c r="J85" s="32" t="str">
        <x:v>https://docs.aws.amazon.com/whitepapers/latest/aws-overview/aws-services.html</x:v>
      </x:c>
      <x:c r="K85" s="32" t="str">
        <x:v>2026-07-12</x:v>
      </x:c>
    </x:row>
    <x:row r="86">
      <x:c r="A86" s="32" t="str">
        <x:v>AWS</x:v>
      </x:c>
      <x:c r="B86" s="32" t="str">
        <x:v>Amazon Lookout for Equipment</x:v>
      </x:c>
      <x:c r="C86" s="32" t="str">
        <x:v>Named service / product family</x:v>
      </x:c>
      <x:c r="D86" s="32" t="str">
        <x:v>AI &amp; Machine Learning</x:v>
      </x:c>
      <x:c r="E86" s="32" t="str">
        <x:v>Anomaly detection</x:v>
      </x:c>
      <x:c r="F86" s="32" t="str">
        <x:v>Anomaly and metric detection</x:v>
      </x:c>
      <x:c r="G86" s="32" t="str">
        <x:v>Identify unusual patterns in metrics, events or industrial equipment.</x:v>
      </x:c>
      <x:c r="H86" s="32" t="str">
        <x:v>Partial</x:v>
      </x:c>
      <x:c r="I86" s="32"/>
      <x:c r="J86" s="32" t="str">
        <x:v>https://docs.aws.amazon.com/whitepapers/latest/aws-overview/aws-services.html</x:v>
      </x:c>
      <x:c r="K86" s="32" t="str">
        <x:v>2026-07-12</x:v>
      </x:c>
    </x:row>
    <x:row r="87">
      <x:c r="A87" s="32" t="str">
        <x:v>AWS</x:v>
      </x:c>
      <x:c r="B87" s="32" t="str">
        <x:v>Amazon Macie</x:v>
      </x:c>
      <x:c r="C87" s="32" t="str">
        <x:v>Named service / product family</x:v>
      </x:c>
      <x:c r="D87" s="32" t="str">
        <x:v>Security, Identity &amp; Compliance</x:v>
      </x:c>
      <x:c r="E87" s="32" t="str">
        <x:v>Data discovery</x:v>
      </x:c>
      <x:c r="F87" s="32" t="str">
        <x:v>Sensitive-data discovery</x:v>
      </x:c>
      <x:c r="G87" s="32" t="str">
        <x:v>Discover, classify and monitor sensitive data held in cloud services.</x:v>
      </x:c>
      <x:c r="H87" s="32" t="str">
        <x:v>Close</x:v>
      </x:c>
      <x:c r="I87" s="32"/>
      <x:c r="J87" s="32" t="str">
        <x:v>https://docs.aws.amazon.com/whitepapers/latest/aws-overview/aws-services.html</x:v>
      </x:c>
      <x:c r="K87" s="32" t="str">
        <x:v>2026-07-12</x:v>
      </x:c>
    </x:row>
    <x:row r="88">
      <x:c r="A88" s="32" t="str">
        <x:v>AWS</x:v>
      </x:c>
      <x:c r="B88" s="32" t="str">
        <x:v>Amazon Managed Blockchain</x:v>
      </x:c>
      <x:c r="C88" s="32" t="str">
        <x:v>Named service / product family</x:v>
      </x:c>
      <x:c r="D88" s="32" t="str">
        <x:v>Databases</x:v>
      </x:c>
      <x:c r="E88" s="32" t="str">
        <x:v>Blockchain</x:v>
      </x:c>
      <x:c r="F88" s="32" t="str">
        <x:v>Managed blockchain infrastructure</x:v>
      </x:c>
      <x:c r="G88" s="32" t="str">
        <x:v>Provision and operate blockchain networks, nodes or blockchain data access.</x:v>
      </x:c>
      <x:c r="H88" s="32" t="str">
        <x:v>Partial</x:v>
      </x:c>
      <x:c r="I88" s="32"/>
      <x:c r="J88" s="32" t="str">
        <x:v>https://docs.aws.amazon.com/whitepapers/latest/aws-overview/aws-services.html</x:v>
      </x:c>
      <x:c r="K88" s="32" t="str">
        <x:v>2026-07-12</x:v>
      </x:c>
    </x:row>
    <x:row r="89">
      <x:c r="A89" s="32" t="str">
        <x:v>AWS</x:v>
      </x:c>
      <x:c r="B89" s="32" t="str">
        <x:v>Amazon Managed Grafana</x:v>
      </x:c>
      <x:c r="C89" s="32" t="str">
        <x:v>Named service / product family</x:v>
      </x:c>
      <x:c r="D89" s="32" t="str">
        <x:v>Observability &amp; Reliability</x:v>
      </x:c>
      <x:c r="E89" s="32" t="str">
        <x:v>Grafana</x:v>
      </x:c>
      <x:c r="F89" s="32" t="str">
        <x:v>Managed Grafana</x:v>
      </x:c>
      <x:c r="G89" s="32" t="str">
        <x:v>Operate hosted Grafana workspaces for visualising metrics, logs and traces.</x:v>
      </x:c>
      <x:c r="H89" s="32" t="str">
        <x:v>Partial</x:v>
      </x:c>
      <x:c r="I89" s="32"/>
      <x:c r="J89" s="32" t="str">
        <x:v>https://docs.aws.amazon.com/whitepapers/latest/aws-overview/aws-services.html</x:v>
      </x:c>
      <x:c r="K89" s="32" t="str">
        <x:v>2026-07-12</x:v>
      </x:c>
    </x:row>
    <x:row r="90">
      <x:c r="A90" s="32" t="str">
        <x:v>AWS</x:v>
      </x:c>
      <x:c r="B90" s="32" t="str">
        <x:v>Amazon Managed Service for Apache Flink</x:v>
      </x:c>
      <x:c r="C90" s="32" t="str">
        <x:v>Named service / product family</x:v>
      </x:c>
      <x:c r="D90" s="32" t="str">
        <x:v>Data, Analytics &amp; BI</x:v>
      </x:c>
      <x:c r="E90" s="32" t="str">
        <x:v>Stream processing</x:v>
      </x:c>
      <x:c r="F90" s="32" t="str">
        <x:v>Managed stream processing</x:v>
      </x:c>
      <x:c r="G90" s="32" t="str">
        <x:v>Process and transform continuously arriving data with low latency.</x:v>
      </x:c>
      <x:c r="H90" s="32" t="str">
        <x:v>Close</x:v>
      </x:c>
      <x:c r="I90" s="32"/>
      <x:c r="J90" s="32" t="str">
        <x:v>https://docs.aws.amazon.com/whitepapers/latest/aws-overview/aws-services.html</x:v>
      </x:c>
      <x:c r="K90" s="32" t="str">
        <x:v>2026-07-12</x:v>
      </x:c>
    </x:row>
    <x:row r="91">
      <x:c r="A91" s="32" t="str">
        <x:v>AWS</x:v>
      </x:c>
      <x:c r="B91" s="32" t="str">
        <x:v>Amazon Managed Service for Prometheus</x:v>
      </x:c>
      <x:c r="C91" s="32" t="str">
        <x:v>Named service / product family</x:v>
      </x:c>
      <x:c r="D91" s="32" t="str">
        <x:v>Observability &amp; Reliability</x:v>
      </x:c>
      <x:c r="E91" s="32" t="str">
        <x:v>Prometheus</x:v>
      </x:c>
      <x:c r="F91" s="32" t="str">
        <x:v>Managed Prometheus</x:v>
      </x:c>
      <x:c r="G91" s="32" t="str">
        <x:v>Collect and query Prometheus-compatible metrics without operating the backend.</x:v>
      </x:c>
      <x:c r="H91" s="32" t="str">
        <x:v>Exact</x:v>
      </x:c>
      <x:c r="I91" s="32"/>
      <x:c r="J91" s="32" t="str">
        <x:v>https://docs.aws.amazon.com/whitepapers/latest/aws-overview/aws-services.html</x:v>
      </x:c>
      <x:c r="K91" s="32" t="str">
        <x:v>2026-07-12</x:v>
      </x:c>
    </x:row>
    <x:row r="92">
      <x:c r="A92" s="32" t="str">
        <x:v>AWS</x:v>
      </x:c>
      <x:c r="B92" s="32" t="str">
        <x:v>Amazon Managed Streaming for Apache Kafka</x:v>
      </x:c>
      <x:c r="C92" s="32" t="str">
        <x:v>Named service / product family</x:v>
      </x:c>
      <x:c r="D92" s="32" t="str">
        <x:v>Data, Analytics &amp; BI</x:v>
      </x:c>
      <x:c r="E92" s="32" t="str">
        <x:v>Kafka</x:v>
      </x:c>
      <x:c r="F92" s="32" t="str">
        <x:v>Managed Apache Kafka</x:v>
      </x:c>
      <x:c r="G92" s="32" t="str">
        <x:v>Operate Apache Kafka clusters as a managed service.</x:v>
      </x:c>
      <x:c r="H92" s="32" t="str">
        <x:v>Close</x:v>
      </x:c>
      <x:c r="I92" s="32"/>
      <x:c r="J92" s="32" t="str">
        <x:v>https://docs.aws.amazon.com/whitepapers/latest/aws-overview/aws-services.html</x:v>
      </x:c>
      <x:c r="K92" s="32" t="str">
        <x:v>2026-07-12</x:v>
      </x:c>
    </x:row>
    <x:row r="93">
      <x:c r="A93" s="32" t="str">
        <x:v>AWS</x:v>
      </x:c>
      <x:c r="B93" s="32" t="str">
        <x:v>Amazon Managed Workflows for Apache Airflow</x:v>
      </x:c>
      <x:c r="C93" s="32" t="str">
        <x:v>Named service / product family</x:v>
      </x:c>
      <x:c r="D93" s="32" t="str">
        <x:v>Data, Analytics &amp; BI</x:v>
      </x:c>
      <x:c r="E93" s="32" t="str">
        <x:v>Data orchestration</x:v>
      </x:c>
      <x:c r="F93" s="32" t="str">
        <x:v>Data workflow orchestration</x:v>
      </x:c>
      <x:c r="G93" s="32" t="str">
        <x:v>Schedule and orchestrate dependent data pipelines and processing tasks.</x:v>
      </x:c>
      <x:c r="H93" s="32" t="str">
        <x:v>Close</x:v>
      </x:c>
      <x:c r="I93" s="32"/>
      <x:c r="J93" s="32" t="str">
        <x:v>https://docs.aws.amazon.com/whitepapers/latest/aws-overview/aws-services.html</x:v>
      </x:c>
      <x:c r="K93" s="32" t="str">
        <x:v>2026-07-12</x:v>
      </x:c>
    </x:row>
    <x:row r="94">
      <x:c r="A94" s="32" t="str">
        <x:v>AWS</x:v>
      </x:c>
      <x:c r="B94" s="32" t="str">
        <x:v>Amazon MemoryDB</x:v>
      </x:c>
      <x:c r="C94" s="32" t="str">
        <x:v>Named service / product family</x:v>
      </x:c>
      <x:c r="D94" s="32" t="str">
        <x:v>Databases</x:v>
      </x:c>
      <x:c r="E94" s="32" t="str">
        <x:v>In-memory cache</x:v>
      </x:c>
      <x:c r="F94" s="32" t="str">
        <x:v>Managed Redis or Valkey cache</x:v>
      </x:c>
      <x:c r="G94" s="32" t="str">
        <x:v>Provide low-latency in-memory caching and data structures.</x:v>
      </x:c>
      <x:c r="H94" s="32" t="str">
        <x:v>Close</x:v>
      </x:c>
      <x:c r="I94" s="32"/>
      <x:c r="J94" s="32" t="str">
        <x:v>https://docs.aws.amazon.com/whitepapers/latest/aws-overview/aws-services.html</x:v>
      </x:c>
      <x:c r="K94" s="32" t="str">
        <x:v>2026-07-12</x:v>
      </x:c>
    </x:row>
    <x:row r="95">
      <x:c r="A95" s="32" t="str">
        <x:v>AWS</x:v>
      </x:c>
      <x:c r="B95" s="32" t="str">
        <x:v>Amazon Monitron</x:v>
      </x:c>
      <x:c r="C95" s="32" t="str">
        <x:v>Named service / product family</x:v>
      </x:c>
      <x:c r="D95" s="32" t="str">
        <x:v>IoT &amp; Edge</x:v>
      </x:c>
      <x:c r="E95" s="32" t="str">
        <x:v>Industrial IoT</x:v>
      </x:c>
      <x:c r="F95" s="32" t="str">
        <x:v>Industrial equipment data platform</x:v>
      </x:c>
      <x:c r="G95" s="32" t="str">
        <x:v>Collect, contextualise and monitor industrial equipment and process data.</x:v>
      </x:c>
      <x:c r="H95" s="32" t="str">
        <x:v>Close</x:v>
      </x:c>
      <x:c r="I95" s="32"/>
      <x:c r="J95" s="32" t="str">
        <x:v>https://docs.aws.amazon.com/whitepapers/latest/aws-overview/aws-services.html</x:v>
      </x:c>
      <x:c r="K95" s="32" t="str">
        <x:v>2026-07-12</x:v>
      </x:c>
    </x:row>
    <x:row r="96">
      <x:c r="A96" s="32" t="str">
        <x:v>AWS</x:v>
      </x:c>
      <x:c r="B96" s="32" t="str">
        <x:v>Amazon MQ</x:v>
      </x:c>
      <x:c r="C96" s="32" t="str">
        <x:v>Named service / product family</x:v>
      </x:c>
      <x:c r="D96" s="32" t="str">
        <x:v>Application Integration</x:v>
      </x:c>
      <x:c r="E96" s="32" t="str">
        <x:v>Managed MQ</x:v>
      </x:c>
      <x:c r="F96" s="32" t="str">
        <x:v>Managed message broker</x:v>
      </x:c>
      <x:c r="G96" s="32" t="str">
        <x:v>Run managed enterprise message brokers using familiar protocols.</x:v>
      </x:c>
      <x:c r="H96" s="32" t="str">
        <x:v>Partial</x:v>
      </x:c>
      <x:c r="I96" s="32"/>
      <x:c r="J96" s="32" t="str">
        <x:v>https://docs.aws.amazon.com/whitepapers/latest/aws-overview/aws-services.html</x:v>
      </x:c>
      <x:c r="K96" s="32" t="str">
        <x:v>2026-07-12</x:v>
      </x:c>
    </x:row>
    <x:row r="97">
      <x:c r="A97" s="32" t="str">
        <x:v>AWS</x:v>
      </x:c>
      <x:c r="B97" s="32" t="str">
        <x:v>Amazon Neptune</x:v>
      </x:c>
      <x:c r="C97" s="32" t="str">
        <x:v>Named service / product family</x:v>
      </x:c>
      <x:c r="D97" s="32" t="str">
        <x:v>Databases</x:v>
      </x:c>
      <x:c r="E97" s="32" t="str">
        <x:v>Graph database</x:v>
      </x:c>
      <x:c r="F97" s="32" t="str">
        <x:v>Managed graph database</x:v>
      </x:c>
      <x:c r="G97" s="32" t="str">
        <x:v>Store and query highly connected data using graph models and traversals.</x:v>
      </x:c>
      <x:c r="H97" s="32" t="str">
        <x:v>Close</x:v>
      </x:c>
      <x:c r="I97" s="32"/>
      <x:c r="J97" s="32" t="str">
        <x:v>https://docs.aws.amazon.com/whitepapers/latest/aws-overview/aws-services.html</x:v>
      </x:c>
      <x:c r="K97" s="32" t="str">
        <x:v>2026-07-12</x:v>
      </x:c>
    </x:row>
    <x:row r="98">
      <x:c r="A98" s="32" t="str">
        <x:v>AWS</x:v>
      </x:c>
      <x:c r="B98" s="32" t="str">
        <x:v>Amazon Nova</x:v>
      </x:c>
      <x:c r="C98" s="32" t="str">
        <x:v>Named service / product family</x:v>
      </x:c>
      <x:c r="D98" s="32" t="str">
        <x:v>AI &amp; Machine Learning</x:v>
      </x:c>
      <x:c r="E98" s="32" t="str">
        <x:v>Foundation models</x:v>
      </x:c>
      <x:c r="F98" s="32" t="str">
        <x:v>Provider foundation models</x:v>
      </x:c>
      <x:c r="G98" s="32" t="str">
        <x:v>Cloud-provider-developed multimodal foundation-model family.</x:v>
      </x:c>
      <x:c r="H98" s="32" t="str">
        <x:v>Close</x:v>
      </x:c>
      <x:c r="I98" s="32"/>
      <x:c r="J98" s="32" t="str">
        <x:v>https://docs.aws.amazon.com/whitepapers/latest/aws-overview/aws-services.html</x:v>
      </x:c>
      <x:c r="K98" s="32" t="str">
        <x:v>2026-07-12</x:v>
      </x:c>
    </x:row>
    <x:row r="99">
      <x:c r="A99" s="32" t="str">
        <x:v>AWS</x:v>
      </x:c>
      <x:c r="B99" s="32" t="str">
        <x:v>Amazon Nova Canvas</x:v>
      </x:c>
      <x:c r="C99" s="32" t="str">
        <x:v>Named service / product family</x:v>
      </x:c>
      <x:c r="D99" s="32" t="str">
        <x:v>AI &amp; Machine Learning</x:v>
      </x:c>
      <x:c r="E99" s="32" t="str">
        <x:v>Synthetic media</x:v>
      </x:c>
      <x:c r="F99" s="32" t="str">
        <x:v>Image generation</x:v>
      </x:c>
      <x:c r="G99" s="32" t="str">
        <x:v>Generate or edit images from natural-language instructions.</x:v>
      </x:c>
      <x:c r="H99" s="32" t="str">
        <x:v>Close</x:v>
      </x:c>
      <x:c r="I99" s="32"/>
      <x:c r="J99" s="32" t="str">
        <x:v>https://docs.aws.amazon.com/whitepapers/latest/aws-overview/aws-services.html</x:v>
      </x:c>
      <x:c r="K99" s="32" t="str">
        <x:v>2026-07-12</x:v>
      </x:c>
    </x:row>
    <x:row r="100">
      <x:c r="A100" s="32" t="str">
        <x:v>AWS</x:v>
      </x:c>
      <x:c r="B100" s="32" t="str">
        <x:v>Amazon OpenSearch Serverless</x:v>
      </x:c>
      <x:c r="C100" s="32" t="str">
        <x:v>Named service / product family</x:v>
      </x:c>
      <x:c r="D100" s="32" t="str">
        <x:v>Data, Analytics &amp; BI</x:v>
      </x:c>
      <x:c r="E100" s="32" t="str">
        <x:v>Search analytics</x:v>
      </x:c>
      <x:c r="F100" s="32" t="str">
        <x:v>Managed search and log analytics</x:v>
      </x:c>
      <x:c r="G100" s="32" t="str">
        <x:v>Index, search and analyse operational or application data.</x:v>
      </x:c>
      <x:c r="H100" s="32" t="str">
        <x:v>Partial</x:v>
      </x:c>
      <x:c r="I100" s="32"/>
      <x:c r="J100" s="32" t="str">
        <x:v>https://docs.aws.amazon.com/whitepapers/latest/aws-overview/aws-services.html</x:v>
      </x:c>
      <x:c r="K100" s="32" t="str">
        <x:v>2026-07-12</x:v>
      </x:c>
    </x:row>
    <x:row r="101">
      <x:c r="A101" s="32" t="str">
        <x:v>AWS</x:v>
      </x:c>
      <x:c r="B101" s="32" t="str">
        <x:v>Amazon OpenSearch Service</x:v>
      </x:c>
      <x:c r="C101" s="32" t="str">
        <x:v>Named service / product family</x:v>
      </x:c>
      <x:c r="D101" s="32" t="str">
        <x:v>AI &amp; Machine Learning
Data, Analytics &amp; BI
Industry &amp; Specialist
Security, Identity &amp; Compliance</x:v>
      </x:c>
      <x:c r="E101" s="32" t="str">
        <x:v>Enterprise search
Retail search
SIEM and SOAR
Search analytics</x:v>
      </x:c>
      <x:c r="F101" s="32" t="str">
        <x:v>AI-powered enterprise search
Cloud-native SIEM and SOAR
Managed search and log analytics
Retail product search and discovery</x:v>
      </x:c>
      <x:c r="G101" s="32" t="str">
        <x:v>Index and retrieve enterprise information using semantic and generative search.</x:v>
      </x:c>
      <x:c r="H101" s="32" t="str">
        <x:v>Close, Partial</x:v>
      </x:c>
      <x:c r="I101" s="32" t="str">
        <x:v>AWS provides the data lake and analytics building blocks but does not position one identical first-party SIEM product.</x:v>
      </x:c>
      <x:c r="J101" s="32" t="str">
        <x:v>https://docs.aws.amazon.com/whitepapers/latest/aws-overview/aws-services.html</x:v>
      </x:c>
      <x:c r="K101" s="32" t="str">
        <x:v>2026-07-12</x:v>
      </x:c>
    </x:row>
    <x:row r="102">
      <x:c r="A102" s="32" t="str">
        <x:v>AWS</x:v>
      </x:c>
      <x:c r="B102" s="32" t="str">
        <x:v>Amazon OpenSearch Service vector engine</x:v>
      </x:c>
      <x:c r="C102" s="32" t="str">
        <x:v>Named service / product family</x:v>
      </x:c>
      <x:c r="D102" s="32" t="str">
        <x:v>AI &amp; Machine Learning</x:v>
      </x:c>
      <x:c r="E102" s="32" t="str">
        <x:v>Vector search</x:v>
      </x:c>
      <x:c r="F102" s="32" t="str">
        <x:v>Managed vector search</x:v>
      </x:c>
      <x:c r="G102" s="32" t="str">
        <x:v>Store embeddings and run similarity search for RAG and recommendation workloads.</x:v>
      </x:c>
      <x:c r="H102" s="32" t="str">
        <x:v>Close</x:v>
      </x:c>
      <x:c r="I102" s="32"/>
      <x:c r="J102" s="32" t="str">
        <x:v>https://docs.aws.amazon.com/whitepapers/latest/aws-overview/aws-services.html</x:v>
      </x:c>
      <x:c r="K102" s="32" t="str">
        <x:v>2026-07-12</x:v>
      </x:c>
    </x:row>
    <x:row r="103">
      <x:c r="A103" s="32" t="str">
        <x:v>AWS</x:v>
      </x:c>
      <x:c r="B103" s="32" t="str">
        <x:v>Amazon Personalize</x:v>
      </x:c>
      <x:c r="C103" s="32" t="str">
        <x:v>Named service / product family</x:v>
      </x:c>
      <x:c r="D103" s="32" t="str">
        <x:v>AI &amp; Machine Learning
Industry &amp; Specialist</x:v>
      </x:c>
      <x:c r="E103" s="32" t="str">
        <x:v>Personalisation
Retail search</x:v>
      </x:c>
      <x:c r="F103" s="32" t="str">
        <x:v>Managed recommendations
Retail product search and discovery</x:v>
      </x:c>
      <x:c r="G103" s="32" t="str">
        <x:v>Deliver personalised rankings and recommendations from behavioural data.</x:v>
      </x:c>
      <x:c r="H103" s="32" t="str">
        <x:v>Close, Partial</x:v>
      </x:c>
      <x:c r="I103" s="32"/>
      <x:c r="J103" s="32" t="str">
        <x:v>https://docs.aws.amazon.com/whitepapers/latest/aws-overview/aws-services.html</x:v>
      </x:c>
      <x:c r="K103" s="32" t="str">
        <x:v>2026-07-12</x:v>
      </x:c>
    </x:row>
    <x:row r="104">
      <x:c r="A104" s="32" t="str">
        <x:v>AWS</x:v>
      </x:c>
      <x:c r="B104" s="32" t="str">
        <x:v>Amazon Pinpoint</x:v>
      </x:c>
      <x:c r="C104" s="32" t="str">
        <x:v>Named service / product family</x:v>
      </x:c>
      <x:c r="D104" s="32" t="str">
        <x:v>Application Integration</x:v>
      </x:c>
      <x:c r="E104" s="32" t="str">
        <x:v>Push notifications</x:v>
      </x:c>
      <x:c r="F104" s="32" t="str">
        <x:v>Mobile push notifications</x:v>
      </x:c>
      <x:c r="G104" s="32" t="str">
        <x:v>Send push messages and notifications to mobile devices and applications.</x:v>
      </x:c>
      <x:c r="H104" s="32" t="str">
        <x:v>Close</x:v>
      </x:c>
      <x:c r="I104" s="32"/>
      <x:c r="J104" s="32" t="str">
        <x:v>https://docs.aws.amazon.com/whitepapers/latest/aws-overview/aws-services.html</x:v>
      </x:c>
      <x:c r="K104" s="32" t="str">
        <x:v>2026-07-12</x:v>
      </x:c>
    </x:row>
    <x:row r="105">
      <x:c r="A105" s="32" t="str">
        <x:v>AWS</x:v>
      </x:c>
      <x:c r="B105" s="32" t="str">
        <x:v>Amazon Polly</x:v>
      </x:c>
      <x:c r="C105" s="32" t="str">
        <x:v>Named service / product family</x:v>
      </x:c>
      <x:c r="D105" s="32" t="str">
        <x:v>AI &amp; Machine Learning</x:v>
      </x:c>
      <x:c r="E105" s="32" t="str">
        <x:v>Speech</x:v>
      </x:c>
      <x:c r="F105" s="32" t="str">
        <x:v>Text-to-speech</x:v>
      </x:c>
      <x:c r="G105" s="32" t="str">
        <x:v>Generate natural-sounding speech from text.</x:v>
      </x:c>
      <x:c r="H105" s="32" t="str">
        <x:v>Exact</x:v>
      </x:c>
      <x:c r="I105" s="32"/>
      <x:c r="J105" s="32" t="str">
        <x:v>https://docs.aws.amazon.com/whitepapers/latest/aws-overview/aws-services.html</x:v>
      </x:c>
      <x:c r="K105" s="32" t="str">
        <x:v>2026-07-12</x:v>
      </x:c>
    </x:row>
    <x:row r="106">
      <x:c r="A106" s="32" t="str">
        <x:v>AWS</x:v>
      </x:c>
      <x:c r="B106" s="32" t="str">
        <x:v>Amazon Q Business</x:v>
      </x:c>
      <x:c r="C106" s="32" t="str">
        <x:v>Named service / product family</x:v>
      </x:c>
      <x:c r="D106" s="32" t="str">
        <x:v>AI &amp; Machine Learning</x:v>
      </x:c>
      <x:c r="E106" s="32" t="str">
        <x:v>Enterprise AI assistant</x:v>
      </x:c>
      <x:c r="F106" s="32" t="str">
        <x:v>Enterprise AI assistant</x:v>
      </x:c>
      <x:c r="G106" s="32" t="str">
        <x:v>Provide grounded conversational assistance across enterprise systems and cloud operations.</x:v>
      </x:c>
      <x:c r="H106" s="32" t="str">
        <x:v>Partial</x:v>
      </x:c>
      <x:c r="I106" s="32"/>
      <x:c r="J106" s="32" t="str">
        <x:v>https://docs.aws.amazon.com/whitepapers/latest/aws-overview/aws-services.html</x:v>
      </x:c>
      <x:c r="K106" s="32" t="str">
        <x:v>2026-07-12</x:v>
      </x:c>
    </x:row>
    <x:row r="107">
      <x:c r="A107" s="32" t="str">
        <x:v>AWS</x:v>
      </x:c>
      <x:c r="B107" s="32" t="str">
        <x:v>Amazon Q Developer</x:v>
      </x:c>
      <x:c r="C107" s="32" t="str">
        <x:v>Named service / product family</x:v>
      </x:c>
      <x:c r="D107" s="32" t="str">
        <x:v>AI &amp; Machine Learning
Observability &amp; Reliability</x:v>
      </x:c>
      <x:c r="E107" s="32" t="str">
        <x:v>Developer AI
SRE automation</x:v>
      </x:c>
      <x:c r="F107" s="32" t="str">
        <x:v>AI coding assistant
AI-assisted reliability engineering</x:v>
      </x:c>
      <x:c r="G107" s="32" t="str">
        <x:v>Generate, explain, review and transform code within developer workflows.</x:v>
      </x:c>
      <x:c r="H107" s="32" t="str">
        <x:v>Close</x:v>
      </x:c>
      <x:c r="I107" s="32"/>
      <x:c r="J107" s="32" t="str">
        <x:v>https://docs.aws.amazon.com/whitepapers/latest/aws-overview/aws-services.html</x:v>
      </x:c>
      <x:c r="K107" s="32" t="str">
        <x:v>2026-07-12</x:v>
      </x:c>
    </x:row>
    <x:row r="108">
      <x:c r="A108" s="32" t="str">
        <x:v>AWS</x:v>
      </x:c>
      <x:c r="B108" s="32" t="str">
        <x:v>Amazon Q Developer in chat applications</x:v>
      </x:c>
      <x:c r="C108" s="32" t="str">
        <x:v>Named service / product family</x:v>
      </x:c>
      <x:c r="D108" s="32" t="str">
        <x:v>Governance &amp; Management</x:v>
      </x:c>
      <x:c r="E108" s="32" t="str">
        <x:v>Notifications</x:v>
      </x:c>
      <x:c r="F108" s="32" t="str">
        <x:v>Central cloud notifications</x:v>
      </x:c>
      <x:c r="G108" s="32" t="str">
        <x:v>Route cloud operational and governance notifications to users and channels.</x:v>
      </x:c>
      <x:c r="H108" s="32" t="str">
        <x:v>Close</x:v>
      </x:c>
      <x:c r="I108" s="32"/>
      <x:c r="J108" s="32" t="str">
        <x:v>https://docs.aws.amazon.com/whitepapers/latest/aws-overview/aws-services.html</x:v>
      </x:c>
      <x:c r="K108" s="32" t="str">
        <x:v>2026-07-12</x:v>
      </x:c>
    </x:row>
    <x:row r="109">
      <x:c r="A109" s="32" t="str">
        <x:v>AWS</x:v>
      </x:c>
      <x:c r="B109" s="32" t="str">
        <x:v>Amazon Q Developer security integrations</x:v>
      </x:c>
      <x:c r="C109" s="32" t="str">
        <x:v>Architecture / partner alternative</x:v>
      </x:c>
      <x:c r="D109" s="32" t="str">
        <x:v>Security, Identity &amp; Compliance</x:v>
      </x:c>
      <x:c r="E109" s="32" t="str">
        <x:v>Security assistant</x:v>
      </x:c>
      <x:c r="F109" s="32" t="str">
        <x:v>Generative-AI security assistant</x:v>
      </x:c>
      <x:c r="G109" s="32" t="str">
        <x:v>Use generative AI to investigate threats, summarise incidents and guide response.</x:v>
      </x:c>
      <x:c r="H109" s="32" t="str">
        <x:v>Close</x:v>
      </x:c>
      <x:c r="I109" s="32"/>
      <x:c r="J109" s="32" t="str">
        <x:v>https://docs.aws.amazon.com/whitepapers/latest/aws-overview/aws-services.html</x:v>
      </x:c>
      <x:c r="K109" s="32" t="str">
        <x:v>2026-07-12</x:v>
      </x:c>
    </x:row>
    <x:row r="110">
      <x:c r="A110" s="32" t="str">
        <x:v>AWS</x:v>
      </x:c>
      <x:c r="B110" s="32" t="str">
        <x:v>Amazon Q in Connect</x:v>
      </x:c>
      <x:c r="C110" s="32" t="str">
        <x:v>Named service / product family</x:v>
      </x:c>
      <x:c r="D110" s="32" t="str">
        <x:v>AI &amp; Machine Learning</x:v>
      </x:c>
      <x:c r="E110" s="32" t="str">
        <x:v>Contact-centre AI</x:v>
      </x:c>
      <x:c r="F110" s="32" t="str">
        <x:v>Agent assistance and conversation analytics</x:v>
      </x:c>
      <x:c r="G110" s="32" t="str">
        <x:v>Assist human contact-centre agents and analyse customer interactions.</x:v>
      </x:c>
      <x:c r="H110" s="32" t="str">
        <x:v>Partial</x:v>
      </x:c>
      <x:c r="I110" s="32"/>
      <x:c r="J110" s="32" t="str">
        <x:v>https://docs.aws.amazon.com/whitepapers/latest/aws-overview/aws-services.html</x:v>
      </x:c>
      <x:c r="K110" s="32" t="str">
        <x:v>2026-07-12</x:v>
      </x:c>
    </x:row>
    <x:row r="111">
      <x:c r="A111" s="32" t="str">
        <x:v>AWS</x:v>
      </x:c>
      <x:c r="B111" s="32" t="str">
        <x:v>Amazon QLDB legacy / Amazon Managed Blockchain</x:v>
      </x:c>
      <x:c r="C111" s="32" t="str">
        <x:v>Architecture / partner alternative</x:v>
      </x:c>
      <x:c r="D111" s="32" t="str">
        <x:v>Databases</x:v>
      </x:c>
      <x:c r="E111" s="32" t="str">
        <x:v>Ledger</x:v>
      </x:c>
      <x:c r="F111" s="32" t="str">
        <x:v>Immutable ledger database</x:v>
      </x:c>
      <x:c r="G111" s="32" t="str">
        <x:v>Maintain cryptographically verifiable or tamper-evident transaction records.</x:v>
      </x:c>
      <x:c r="H111" s="32" t="str">
        <x:v>Partial</x:v>
      </x:c>
      <x:c r="I111" s="32"/>
      <x:c r="J111" s="32" t="str">
        <x:v>https://docs.aws.amazon.com/whitepapers/latest/aws-overview/aws-services.html</x:v>
      </x:c>
      <x:c r="K111" s="32" t="str">
        <x:v>2026-07-12</x:v>
      </x:c>
    </x:row>
    <x:row r="112">
      <x:c r="A112" s="32" t="str">
        <x:v>AWS</x:v>
      </x:c>
      <x:c r="B112" s="32" t="str">
        <x:v>Amazon Quick</x:v>
      </x:c>
      <x:c r="C112" s="32" t="str">
        <x:v>Named service / product family</x:v>
      </x:c>
      <x:c r="D112" s="32" t="str">
        <x:v>Data, Analytics &amp; BI</x:v>
      </x:c>
      <x:c r="E112" s="32" t="str">
        <x:v>Business intelligence</x:v>
      </x:c>
      <x:c r="F112" s="32" t="str">
        <x:v>Business intelligence and dashboards</x:v>
      </x:c>
      <x:c r="G112" s="32" t="str">
        <x:v>Create interactive reports, dashboards and governed analytical experiences.</x:v>
      </x:c>
      <x:c r="H112" s="32" t="str">
        <x:v>Close</x:v>
      </x:c>
      <x:c r="I112" s="32"/>
      <x:c r="J112" s="32" t="str">
        <x:v>https://docs.aws.amazon.com/whitepapers/latest/aws-overview/aws-services.html</x:v>
      </x:c>
      <x:c r="K112" s="32" t="str">
        <x:v>2026-07-12</x:v>
      </x:c>
    </x:row>
    <x:row r="113">
      <x:c r="A113" s="32" t="str">
        <x:v>AWS</x:v>
      </x:c>
      <x:c r="B113" s="32" t="str">
        <x:v>Amazon QuickSight</x:v>
      </x:c>
      <x:c r="C113" s="32" t="str">
        <x:v>Named service / product family</x:v>
      </x:c>
      <x:c r="D113" s="32" t="str">
        <x:v>Data, Analytics &amp; BI</x:v>
      </x:c>
      <x:c r="E113" s="32" t="str">
        <x:v>Business intelligence</x:v>
      </x:c>
      <x:c r="F113" s="32" t="str">
        <x:v>Business intelligence and dashboards</x:v>
      </x:c>
      <x:c r="G113" s="32" t="str">
        <x:v>Create interactive reports, dashboards and governed analytical experiences.</x:v>
      </x:c>
      <x:c r="H113" s="32" t="str">
        <x:v>Close</x:v>
      </x:c>
      <x:c r="I113" s="32"/>
      <x:c r="J113" s="32" t="str">
        <x:v>https://docs.aws.amazon.com/whitepapers/latest/aws-overview/aws-services.html</x:v>
      </x:c>
      <x:c r="K113" s="32" t="str">
        <x:v>2026-07-12</x:v>
      </x:c>
    </x:row>
    <x:row r="114">
      <x:c r="A114" s="32" t="str">
        <x:v>AWS</x:v>
      </x:c>
      <x:c r="B114" s="32" t="str">
        <x:v>Amazon RDS fleet capabilities</x:v>
      </x:c>
      <x:c r="C114" s="32" t="str">
        <x:v>Named service / product family</x:v>
      </x:c>
      <x:c r="D114" s="32" t="str">
        <x:v>Databases</x:v>
      </x:c>
      <x:c r="E114" s="32" t="str">
        <x:v>Database fleet</x:v>
      </x:c>
      <x:c r="F114" s="32" t="str">
        <x:v>Database fleet management</x:v>
      </x:c>
      <x:c r="G114" s="32" t="str">
        <x:v>Discover, assess and manage database estates from a central view.</x:v>
      </x:c>
      <x:c r="H114" s="32" t="str">
        <x:v>Partial</x:v>
      </x:c>
      <x:c r="I114" s="32"/>
      <x:c r="J114" s="32" t="str">
        <x:v>https://docs.aws.amazon.com/whitepapers/latest/aws-overview/aws-services.html</x:v>
      </x:c>
      <x:c r="K114" s="32" t="str">
        <x:v>2026-07-12</x:v>
      </x:c>
    </x:row>
    <x:row r="115">
      <x:c r="A115" s="32" t="str">
        <x:v>AWS</x:v>
      </x:c>
      <x:c r="B115" s="32" t="str">
        <x:v>Amazon RDS for Db2</x:v>
      </x:c>
      <x:c r="C115" s="32" t="str">
        <x:v>Named service / product family</x:v>
      </x:c>
      <x:c r="D115" s="32" t="str">
        <x:v>Databases</x:v>
      </x:c>
      <x:c r="E115" s="32" t="str">
        <x:v>DB2</x:v>
      </x:c>
      <x:c r="F115" s="32" t="str">
        <x:v>Managed IBM Db2 database</x:v>
      </x:c>
      <x:c r="G115" s="32" t="str">
        <x:v>Operate IBM Db2 databases with managed infrastructure capabilities.</x:v>
      </x:c>
      <x:c r="H115" s="32" t="str">
        <x:v>Partial</x:v>
      </x:c>
      <x:c r="I115" s="32"/>
      <x:c r="J115" s="32" t="str">
        <x:v>https://docs.aws.amazon.com/whitepapers/latest/aws-overview/aws-services.html</x:v>
      </x:c>
      <x:c r="K115" s="32" t="str">
        <x:v>2026-07-12</x:v>
      </x:c>
    </x:row>
    <x:row r="116">
      <x:c r="A116" s="32" t="str">
        <x:v>AWS</x:v>
      </x:c>
      <x:c r="B116" s="32" t="str">
        <x:v>Amazon RDS for MySQL</x:v>
      </x:c>
      <x:c r="C116" s="32" t="str">
        <x:v>Named service / product family</x:v>
      </x:c>
      <x:c r="D116" s="32" t="str">
        <x:v>Databases</x:v>
      </x:c>
      <x:c r="E116" s="32" t="str">
        <x:v>MySQL</x:v>
      </x:c>
      <x:c r="F116" s="32" t="str">
        <x:v>Managed MySQL</x:v>
      </x:c>
      <x:c r="G116" s="32" t="str">
        <x:v>Operate MySQL databases with managed backups, patching and high availability.</x:v>
      </x:c>
      <x:c r="H116" s="32" t="str">
        <x:v>Exact</x:v>
      </x:c>
      <x:c r="I116" s="32"/>
      <x:c r="J116" s="32" t="str">
        <x:v>https://docs.aws.amazon.com/whitepapers/latest/aws-overview/aws-services.html</x:v>
      </x:c>
      <x:c r="K116" s="32" t="str">
        <x:v>2026-07-12</x:v>
      </x:c>
    </x:row>
    <x:row r="117">
      <x:c r="A117" s="32" t="str">
        <x:v>AWS</x:v>
      </x:c>
      <x:c r="B117" s="32" t="str">
        <x:v>Amazon RDS for Oracle</x:v>
      </x:c>
      <x:c r="C117" s="32" t="str">
        <x:v>Named service / product family</x:v>
      </x:c>
      <x:c r="D117" s="32" t="str">
        <x:v>Databases</x:v>
      </x:c>
      <x:c r="E117" s="32" t="str">
        <x:v>Oracle</x:v>
      </x:c>
      <x:c r="F117" s="32" t="str">
        <x:v>Managed Oracle database</x:v>
      </x:c>
      <x:c r="G117" s="32" t="str">
        <x:v>Operate Oracle database workloads through managed or cloud-hosted services.</x:v>
      </x:c>
      <x:c r="H117" s="32" t="str">
        <x:v>Close</x:v>
      </x:c>
      <x:c r="I117" s="32"/>
      <x:c r="J117" s="32" t="str">
        <x:v>https://docs.aws.amazon.com/whitepapers/latest/aws-overview/aws-services.html</x:v>
      </x:c>
      <x:c r="K117" s="32" t="str">
        <x:v>2026-07-12</x:v>
      </x:c>
    </x:row>
    <x:row r="118">
      <x:c r="A118" s="32" t="str">
        <x:v>AWS</x:v>
      </x:c>
      <x:c r="B118" s="32" t="str">
        <x:v>Amazon RDS for SQL Server</x:v>
      </x:c>
      <x:c r="C118" s="32" t="str">
        <x:v>Named service / product family</x:v>
      </x:c>
      <x:c r="D118" s="32" t="str">
        <x:v>Databases</x:v>
      </x:c>
      <x:c r="E118" s="32" t="str">
        <x:v>SQL Server</x:v>
      </x:c>
      <x:c r="F118" s="32" t="str">
        <x:v>Managed SQL Server</x:v>
      </x:c>
      <x:c r="G118" s="32" t="str">
        <x:v>Run Microsoft SQL Server as a managed database or on cloud virtual machines.</x:v>
      </x:c>
      <x:c r="H118" s="32" t="str">
        <x:v>Close</x:v>
      </x:c>
      <x:c r="I118" s="32"/>
      <x:c r="J118" s="32" t="str">
        <x:v>https://docs.aws.amazon.com/whitepapers/latest/aws-overview/aws-services.html</x:v>
      </x:c>
      <x:c r="K118" s="32" t="str">
        <x:v>2026-07-12</x:v>
      </x:c>
    </x:row>
    <x:row r="119">
      <x:c r="A119" s="32" t="str">
        <x:v>AWS</x:v>
      </x:c>
      <x:c r="B119" s="32" t="str">
        <x:v>Amazon Redshift</x:v>
      </x:c>
      <x:c r="C119" s="32" t="str">
        <x:v>Named service / product family</x:v>
      </x:c>
      <x:c r="D119" s="32" t="str">
        <x:v>Data, Analytics &amp; BI</x:v>
      </x:c>
      <x:c r="E119" s="32" t="str">
        <x:v>Data warehouse
Lakehouse</x:v>
      </x:c>
      <x:c r="F119" s="32" t="str">
        <x:v>Cloud data warehouse
Lakehouse platform</x:v>
      </x:c>
      <x:c r="G119" s="32" t="str">
        <x:v>Run scalable analytical SQL workloads over structured and semi-structured data.</x:v>
      </x:c>
      <x:c r="H119" s="32" t="str">
        <x:v>Close</x:v>
      </x:c>
      <x:c r="I119" s="32"/>
      <x:c r="J119" s="32" t="str">
        <x:v>https://docs.aws.amazon.com/whitepapers/latest/aws-overview/aws-services.html</x:v>
      </x:c>
      <x:c r="K119" s="32" t="str">
        <x:v>2026-07-12</x:v>
      </x:c>
    </x:row>
    <x:row r="120">
      <x:c r="A120" s="32" t="str">
        <x:v>AWS</x:v>
      </x:c>
      <x:c r="B120" s="32" t="str">
        <x:v>Amazon Redshift Serverless</x:v>
      </x:c>
      <x:c r="C120" s="32" t="str">
        <x:v>Named service / product family</x:v>
      </x:c>
      <x:c r="D120" s="32" t="str">
        <x:v>Data, Analytics &amp; BI</x:v>
      </x:c>
      <x:c r="E120" s="32" t="str">
        <x:v>Data warehouse</x:v>
      </x:c>
      <x:c r="F120" s="32" t="str">
        <x:v>Cloud data warehouse</x:v>
      </x:c>
      <x:c r="G120" s="32" t="str">
        <x:v>Run scalable analytical SQL workloads over structured and semi-structured data.</x:v>
      </x:c>
      <x:c r="H120" s="32" t="str">
        <x:v>Close</x:v>
      </x:c>
      <x:c r="I120" s="32"/>
      <x:c r="J120" s="32" t="str">
        <x:v>https://docs.aws.amazon.com/whitepapers/latest/aws-overview/aws-services.html</x:v>
      </x:c>
      <x:c r="K120" s="32" t="str">
        <x:v>2026-07-12</x:v>
      </x:c>
    </x:row>
    <x:row r="121">
      <x:c r="A121" s="32" t="str">
        <x:v>AWS</x:v>
      </x:c>
      <x:c r="B121" s="32" t="str">
        <x:v>Amazon Redshift SQL</x:v>
      </x:c>
      <x:c r="C121" s="32" t="str">
        <x:v>Named service / product family</x:v>
      </x:c>
      <x:c r="D121" s="32" t="str">
        <x:v>Data, Analytics &amp; BI</x:v>
      </x:c>
      <x:c r="E121" s="32" t="str">
        <x:v>ELT</x:v>
      </x:c>
      <x:c r="F121" s="32" t="str">
        <x:v>SQL transformation and modelling</x:v>
      </x:c>
      <x:c r="G121" s="32" t="str">
        <x:v>Transform warehouse data through managed SQL development and dependency workflows.</x:v>
      </x:c>
      <x:c r="H121" s="32" t="str">
        <x:v>Close</x:v>
      </x:c>
      <x:c r="I121" s="32"/>
      <x:c r="J121" s="32" t="str">
        <x:v>https://docs.aws.amazon.com/whitepapers/latest/aws-overview/aws-services.html</x:v>
      </x:c>
      <x:c r="K121" s="32" t="str">
        <x:v>2026-07-12</x:v>
      </x:c>
    </x:row>
    <x:row r="122">
      <x:c r="A122" s="32" t="str">
        <x:v>AWS</x:v>
      </x:c>
      <x:c r="B122" s="32" t="str">
        <x:v>Amazon Rekognition</x:v>
      </x:c>
      <x:c r="C122" s="32" t="str">
        <x:v>Named service / product family</x:v>
      </x:c>
      <x:c r="D122" s="32" t="str">
        <x:v>AI &amp; Machine Learning</x:v>
      </x:c>
      <x:c r="E122" s="32" t="str">
        <x:v>Vision</x:v>
      </x:c>
      <x:c r="F122" s="32" t="str">
        <x:v>Image analysis</x:v>
      </x:c>
      <x:c r="G122" s="32" t="str">
        <x:v>Detect, classify and extract information from images.</x:v>
      </x:c>
      <x:c r="H122" s="32" t="str">
        <x:v>Exact</x:v>
      </x:c>
      <x:c r="I122" s="32"/>
      <x:c r="J122" s="32" t="str">
        <x:v>https://docs.aws.amazon.com/whitepapers/latest/aws-overview/aws-services.html</x:v>
      </x:c>
      <x:c r="K122" s="32" t="str">
        <x:v>2026-07-12</x:v>
      </x:c>
    </x:row>
    <x:row r="123">
      <x:c r="A123" s="32" t="str">
        <x:v>AWS</x:v>
      </x:c>
      <x:c r="B123" s="32" t="str">
        <x:v>Amazon Rekognition Video</x:v>
      </x:c>
      <x:c r="C123" s="32" t="str">
        <x:v>Named service / product family</x:v>
      </x:c>
      <x:c r="D123" s="32" t="str">
        <x:v>AI &amp; Machine Learning</x:v>
      </x:c>
      <x:c r="E123" s="32" t="str">
        <x:v>Video AI</x:v>
      </x:c>
      <x:c r="F123" s="32" t="str">
        <x:v>Video intelligence</x:v>
      </x:c>
      <x:c r="G123" s="32" t="str">
        <x:v>Analyse, index and extract metadata from video content.</x:v>
      </x:c>
      <x:c r="H123" s="32" t="str">
        <x:v>Close</x:v>
      </x:c>
      <x:c r="I123" s="32"/>
      <x:c r="J123" s="32" t="str">
        <x:v>https://docs.aws.amazon.com/whitepapers/latest/aws-overview/aws-services.html</x:v>
      </x:c>
      <x:c r="K123" s="32" t="str">
        <x:v>2026-07-12</x:v>
      </x:c>
    </x:row>
    <x:row r="124">
      <x:c r="A124" s="32" t="str">
        <x:v>AWS</x:v>
      </x:c>
      <x:c r="B124" s="32" t="str">
        <x:v>Amazon Relational Database Service</x:v>
      </x:c>
      <x:c r="C124" s="32" t="str">
        <x:v>Named service / product family</x:v>
      </x:c>
      <x:c r="D124" s="32" t="str">
        <x:v>Databases</x:v>
      </x:c>
      <x:c r="E124" s="32" t="str">
        <x:v>Relational databases</x:v>
      </x:c>
      <x:c r="F124" s="32" t="str">
        <x:v>Managed relational database service</x:v>
      </x:c>
      <x:c r="G124" s="32" t="str">
        <x:v>Operate common relational database engines with managed backups, patching and availability.</x:v>
      </x:c>
      <x:c r="H124" s="32" t="str">
        <x:v>Close</x:v>
      </x:c>
      <x:c r="I124" s="32"/>
      <x:c r="J124" s="32" t="str">
        <x:v>https://docs.aws.amazon.com/whitepapers/latest/aws-overview/aws-services.html</x:v>
      </x:c>
      <x:c r="K124" s="32" t="str">
        <x:v>2026-07-12</x:v>
      </x:c>
    </x:row>
    <x:row r="125">
      <x:c r="A125" s="32" t="str">
        <x:v>AWS</x:v>
      </x:c>
      <x:c r="B125" s="32" t="str">
        <x:v>Amazon Route 53</x:v>
      </x:c>
      <x:c r="C125" s="32" t="str">
        <x:v>Named service / product family</x:v>
      </x:c>
      <x:c r="D125" s="32" t="str">
        <x:v>Networking</x:v>
      </x:c>
      <x:c r="E125" s="32" t="str">
        <x:v>DNS</x:v>
      </x:c>
      <x:c r="F125" s="32" t="str">
        <x:v>Managed DNS</x:v>
      </x:c>
      <x:c r="G125" s="32" t="str">
        <x:v>Host public and private DNS zones with resilient authoritative name resolution.</x:v>
      </x:c>
      <x:c r="H125" s="32" t="str">
        <x:v>Exact</x:v>
      </x:c>
      <x:c r="I125" s="32"/>
      <x:c r="J125" s="32" t="str">
        <x:v>https://docs.aws.amazon.com/whitepapers/latest/aws-overview/aws-services.html</x:v>
      </x:c>
      <x:c r="K125" s="32" t="str">
        <x:v>2026-07-12</x:v>
      </x:c>
    </x:row>
    <x:row r="126">
      <x:c r="A126" s="32" t="str">
        <x:v>AWS</x:v>
      </x:c>
      <x:c r="B126" s="32" t="str">
        <x:v>Amazon Route 53 Domains</x:v>
      </x:c>
      <x:c r="C126" s="32" t="str">
        <x:v>Named service / product family</x:v>
      </x:c>
      <x:c r="D126" s="32" t="str">
        <x:v>Networking</x:v>
      </x:c>
      <x:c r="E126" s="32" t="str">
        <x:v>Domains</x:v>
      </x:c>
      <x:c r="F126" s="32" t="str">
        <x:v>Domain registration</x:v>
      </x:c>
      <x:c r="G126" s="32" t="str">
        <x:v>Register and manage internet domain names.</x:v>
      </x:c>
      <x:c r="H126" s="32" t="str">
        <x:v>Close</x:v>
      </x:c>
      <x:c r="I126" s="32"/>
      <x:c r="J126" s="32" t="str">
        <x:v>https://docs.aws.amazon.com/whitepapers/latest/aws-overview/aws-services.html</x:v>
      </x:c>
      <x:c r="K126" s="32" t="str">
        <x:v>2026-07-12</x:v>
      </x:c>
    </x:row>
    <x:row r="127">
      <x:c r="A127" s="32" t="str">
        <x:v>AWS</x:v>
      </x:c>
      <x:c r="B127" s="32" t="str">
        <x:v>Amazon Route 53 routing policies</x:v>
      </x:c>
      <x:c r="C127" s="32" t="str">
        <x:v>Named service / product family</x:v>
      </x:c>
      <x:c r="D127" s="32" t="str">
        <x:v>Networking</x:v>
      </x:c>
      <x:c r="E127" s="32" t="str">
        <x:v>Traffic management</x:v>
      </x:c>
      <x:c r="F127" s="32" t="str">
        <x:v>DNS-based traffic management</x:v>
      </x:c>
      <x:c r="G127" s="32" t="str">
        <x:v>Route traffic across endpoints using health, latency, geography or weighted policies.</x:v>
      </x:c>
      <x:c r="H127" s="32" t="str">
        <x:v>Close</x:v>
      </x:c>
      <x:c r="I127" s="32"/>
      <x:c r="J127" s="32" t="str">
        <x:v>https://docs.aws.amazon.com/whitepapers/latest/aws-overview/aws-services.html</x:v>
      </x:c>
      <x:c r="K127" s="32" t="str">
        <x:v>2026-07-12</x:v>
      </x:c>
    </x:row>
    <x:row r="128">
      <x:c r="A128" s="32" t="str">
        <x:v>AWS</x:v>
      </x:c>
      <x:c r="B128" s="32" t="str">
        <x:v>Amazon S3</x:v>
      </x:c>
      <x:c r="C128" s="32" t="str">
        <x:v>Named service / product family</x:v>
      </x:c>
      <x:c r="D128" s="32" t="str">
        <x:v>Compute &amp; Application Hosting
Data, Analytics &amp; BI</x:v>
      </x:c>
      <x:c r="E128" s="32" t="str">
        <x:v>Data lake
Lakehouse
Static web</x:v>
      </x:c>
      <x:c r="F128" s="32" t="str">
        <x:v>Cloud data lake storage
Lakehouse platform
Static web application hosting</x:v>
      </x:c>
      <x:c r="G128" s="32" t="str">
        <x:v>Host globally delivered static sites with integrated deployment workflows.</x:v>
      </x:c>
      <x:c r="H128" s="32" t="str">
        <x:v>Close</x:v>
      </x:c>
      <x:c r="I128" s="32"/>
      <x:c r="J128" s="32" t="str">
        <x:v>https://docs.aws.amazon.com/whitepapers/latest/aws-overview/aws-services.html</x:v>
      </x:c>
      <x:c r="K128" s="32" t="str">
        <x:v>2026-07-12</x:v>
      </x:c>
    </x:row>
    <x:row r="129">
      <x:c r="A129" s="32" t="str">
        <x:v>AWS</x:v>
      </x:c>
      <x:c r="B129" s="32" t="str">
        <x:v>Amazon S3 Glacier storage classes</x:v>
      </x:c>
      <x:c r="C129" s="32" t="str">
        <x:v>Named service / product family</x:v>
      </x:c>
      <x:c r="D129" s="32" t="str">
        <x:v>Storage</x:v>
      </x:c>
      <x:c r="E129" s="32" t="str">
        <x:v>Archive storage</x:v>
      </x:c>
      <x:c r="F129" s="32" t="str">
        <x:v>Long-term archive storage</x:v>
      </x:c>
      <x:c r="G129" s="32" t="str">
        <x:v>Store infrequently accessed data at low cost with delayed or tiered retrieval.</x:v>
      </x:c>
      <x:c r="H129" s="32" t="str">
        <x:v>Exact</x:v>
      </x:c>
      <x:c r="I129" s="32"/>
      <x:c r="J129" s="32" t="str">
        <x:v>https://docs.aws.amazon.com/whitepapers/latest/aws-overview/aws-services.html</x:v>
      </x:c>
      <x:c r="K129" s="32" t="str">
        <x:v>2026-07-12</x:v>
      </x:c>
    </x:row>
    <x:row r="130">
      <x:c r="A130" s="32" t="str">
        <x:v>AWS</x:v>
      </x:c>
      <x:c r="B130" s="32" t="str">
        <x:v>Amazon S3 Storage Lens</x:v>
      </x:c>
      <x:c r="C130" s="32" t="str">
        <x:v>Named service / product family</x:v>
      </x:c>
      <x:c r="D130" s="32" t="str">
        <x:v>Storage</x:v>
      </x:c>
      <x:c r="E130" s="32" t="str">
        <x:v>Storage management</x:v>
      </x:c>
      <x:c r="F130" s="32" t="str">
        <x:v>Storage resource management</x:v>
      </x:c>
      <x:c r="G130" s="32" t="str">
        <x:v>Discover, assess and automate actions across cloud storage resources.</x:v>
      </x:c>
      <x:c r="H130" s="32" t="str">
        <x:v>Partial</x:v>
      </x:c>
      <x:c r="I130" s="32"/>
      <x:c r="J130" s="32" t="str">
        <x:v>https://docs.aws.amazon.com/whitepapers/latest/aws-overview/aws-services.html</x:v>
      </x:c>
      <x:c r="K130" s="32" t="str">
        <x:v>2026-07-12</x:v>
      </x:c>
    </x:row>
    <x:row r="131">
      <x:c r="A131" s="32" t="str">
        <x:v>AWS</x:v>
      </x:c>
      <x:c r="B131" s="32" t="str">
        <x:v>Amazon SageMaker AI</x:v>
      </x:c>
      <x:c r="C131" s="32" t="str">
        <x:v>Named service / product family</x:v>
      </x:c>
      <x:c r="D131" s="32" t="str">
        <x:v>AI &amp; Machine Learning</x:v>
      </x:c>
      <x:c r="E131" s="32" t="str">
        <x:v>AI platform
Forecasting
Model customisation</x:v>
      </x:c>
      <x:c r="F131" s="32" t="str">
        <x:v>Demand and time-series forecasting
Foundation-model customisation
Unified AI/ML platform</x:v>
      </x:c>
      <x:c r="G131" s="32" t="str">
        <x:v>Develop, train, govern, deploy and operate machine-learning and generative-AI solutions.</x:v>
      </x:c>
      <x:c r="H131" s="32" t="str">
        <x:v>Close, Partial</x:v>
      </x:c>
      <x:c r="I131" s="32"/>
      <x:c r="J131" s="32" t="str">
        <x:v>https://docs.aws.amazon.com/whitepapers/latest/aws-overview/aws-services.html</x:v>
      </x:c>
      <x:c r="K131" s="32" t="str">
        <x:v>2026-07-12</x:v>
      </x:c>
    </x:row>
    <x:row r="132">
      <x:c r="A132" s="32" t="str">
        <x:v>AWS</x:v>
      </x:c>
      <x:c r="B132" s="32" t="str">
        <x:v>Amazon SageMaker JumpStart</x:v>
      </x:c>
      <x:c r="C132" s="32" t="str">
        <x:v>Named service / product family</x:v>
      </x:c>
      <x:c r="D132" s="32" t="str">
        <x:v>AI &amp; Machine Learning</x:v>
      </x:c>
      <x:c r="E132" s="32" t="str">
        <x:v>Model catalogue</x:v>
      </x:c>
      <x:c r="F132" s="32" t="str">
        <x:v>Foundation-model catalogue</x:v>
      </x:c>
      <x:c r="G132" s="32" t="str">
        <x:v>Discover and deploy first-party and partner models from a managed catalogue.</x:v>
      </x:c>
      <x:c r="H132" s="32" t="str">
        <x:v>Close</x:v>
      </x:c>
      <x:c r="I132" s="32"/>
      <x:c r="J132" s="32" t="str">
        <x:v>https://docs.aws.amazon.com/whitepapers/latest/aws-overview/aws-services.html</x:v>
      </x:c>
      <x:c r="K132" s="32" t="str">
        <x:v>2026-07-12</x:v>
      </x:c>
    </x:row>
    <x:row r="133">
      <x:c r="A133" s="32" t="str">
        <x:v>AWS</x:v>
      </x:c>
      <x:c r="B133" s="32" t="str">
        <x:v>Amazon SageMaker Model Cards</x:v>
      </x:c>
      <x:c r="C133" s="32" t="str">
        <x:v>Named service / product family</x:v>
      </x:c>
      <x:c r="D133" s="32" t="str">
        <x:v>AI &amp; Machine Learning</x:v>
      </x:c>
      <x:c r="E133" s="32" t="str">
        <x:v>AI governance</x:v>
      </x:c>
      <x:c r="F133" s="32" t="str">
        <x:v>AI governance and control plane</x:v>
      </x:c>
      <x:c r="G133" s="32" t="str">
        <x:v>Inventory AI assets, apply policies, assess risk and oversee AI across its lifecycle.</x:v>
      </x:c>
      <x:c r="H133" s="32" t="str">
        <x:v>Partial</x:v>
      </x:c>
      <x:c r="I133" s="32" t="str">
        <x:v>AI governance is a control set rather than one perfectly equivalent product.</x:v>
      </x:c>
      <x:c r="J133" s="32" t="str">
        <x:v>https://docs.aws.amazon.com/whitepapers/latest/aws-overview/aws-services.html</x:v>
      </x:c>
      <x:c r="K133" s="32" t="str">
        <x:v>2026-07-12</x:v>
      </x:c>
    </x:row>
    <x:row r="134">
      <x:c r="A134" s="32" t="str">
        <x:v>AWS</x:v>
      </x:c>
      <x:c r="B134" s="32" t="str">
        <x:v>Amazon SageMaker Model Dashboard</x:v>
      </x:c>
      <x:c r="C134" s="32" t="str">
        <x:v>Named service / product family</x:v>
      </x:c>
      <x:c r="D134" s="32" t="str">
        <x:v>AI &amp; Machine Learning</x:v>
      </x:c>
      <x:c r="E134" s="32" t="str">
        <x:v>AI governance</x:v>
      </x:c>
      <x:c r="F134" s="32" t="str">
        <x:v>AI governance and control plane</x:v>
      </x:c>
      <x:c r="G134" s="32" t="str">
        <x:v>Inventory AI assets, apply policies, assess risk and oversee AI across its lifecycle.</x:v>
      </x:c>
      <x:c r="H134" s="32" t="str">
        <x:v>Partial</x:v>
      </x:c>
      <x:c r="I134" s="32" t="str">
        <x:v>AI governance is a control set rather than one perfectly equivalent product.</x:v>
      </x:c>
      <x:c r="J134" s="32" t="str">
        <x:v>https://docs.aws.amazon.com/whitepapers/latest/aws-overview/aws-services.html</x:v>
      </x:c>
      <x:c r="K134" s="32" t="str">
        <x:v>2026-07-12</x:v>
      </x:c>
    </x:row>
    <x:row r="135">
      <x:c r="A135" s="32" t="str">
        <x:v>AWS</x:v>
      </x:c>
      <x:c r="B135" s="32" t="str">
        <x:v>Amazon SageMaker Studio</x:v>
      </x:c>
      <x:c r="C135" s="32" t="str">
        <x:v>Named service / product family</x:v>
      </x:c>
      <x:c r="D135" s="32" t="str">
        <x:v>AI &amp; Machine Learning</x:v>
      </x:c>
      <x:c r="E135" s="32" t="str">
        <x:v>ML workbench</x:v>
      </x:c>
      <x:c r="F135" s="32" t="str">
        <x:v>Managed data-science notebooks</x:v>
      </x:c>
      <x:c r="G135" s="32" t="str">
        <x:v>Provide managed notebook environments for data exploration and model development.</x:v>
      </x:c>
      <x:c r="H135" s="32" t="str">
        <x:v>Close</x:v>
      </x:c>
      <x:c r="I135" s="32"/>
      <x:c r="J135" s="32" t="str">
        <x:v>https://docs.aws.amazon.com/whitepapers/latest/aws-overview/aws-services.html</x:v>
      </x:c>
      <x:c r="K135" s="32" t="str">
        <x:v>2026-07-12</x:v>
      </x:c>
    </x:row>
    <x:row r="136">
      <x:c r="A136" s="32" t="str">
        <x:v>AWS</x:v>
      </x:c>
      <x:c r="B136" s="32" t="str">
        <x:v>Amazon SageMaker Training</x:v>
      </x:c>
      <x:c r="C136" s="32" t="str">
        <x:v>Named service / product family</x:v>
      </x:c>
      <x:c r="D136" s="32" t="str">
        <x:v>AI &amp; Machine Learning</x:v>
      </x:c>
      <x:c r="E136" s="32" t="str">
        <x:v>Training</x:v>
      </x:c>
      <x:c r="F136" s="32" t="str">
        <x:v>Managed model training</x:v>
      </x:c>
      <x:c r="G136" s="32" t="str">
        <x:v>Run managed, scalable training jobs using CPUs, GPUs or specialised accelerators.</x:v>
      </x:c>
      <x:c r="H136" s="32" t="str">
        <x:v>Close</x:v>
      </x:c>
      <x:c r="I136" s="32"/>
      <x:c r="J136" s="32" t="str">
        <x:v>https://docs.aws.amazon.com/whitepapers/latest/aws-overview/aws-services.html</x:v>
      </x:c>
      <x:c r="K136" s="32" t="str">
        <x:v>2026-07-12</x:v>
      </x:c>
    </x:row>
    <x:row r="137">
      <x:c r="A137" s="32" t="str">
        <x:v>AWS</x:v>
      </x:c>
      <x:c r="B137" s="32" t="str">
        <x:v>Amazon Security Lake</x:v>
      </x:c>
      <x:c r="C137" s="32" t="str">
        <x:v>Named service / product family</x:v>
      </x:c>
      <x:c r="D137" s="32" t="str">
        <x:v>Security, Identity &amp; Compliance</x:v>
      </x:c>
      <x:c r="E137" s="32" t="str">
        <x:v>SIEM and SOAR
Security data lake</x:v>
      </x:c>
      <x:c r="F137" s="32" t="str">
        <x:v>Cloud-native SIEM and SOAR
Security telemetry lake</x:v>
      </x:c>
      <x:c r="G137" s="32" t="str">
        <x:v>Centralise security telemetry, detect threats and automate incident response.</x:v>
      </x:c>
      <x:c r="H137" s="32" t="str">
        <x:v>Close, Partial</x:v>
      </x:c>
      <x:c r="I137" s="32" t="str">
        <x:v>AWS provides the data lake and analytics building blocks but does not position one identical first-party SIEM product.</x:v>
      </x:c>
      <x:c r="J137" s="32" t="str">
        <x:v>https://docs.aws.amazon.com/whitepapers/latest/aws-overview/aws-services.html</x:v>
      </x:c>
      <x:c r="K137" s="32" t="str">
        <x:v>2026-07-12</x:v>
      </x:c>
    </x:row>
    <x:row r="138">
      <x:c r="A138" s="32" t="str">
        <x:v>AWS</x:v>
      </x:c>
      <x:c r="B138" s="32" t="str">
        <x:v>Amazon Simple Email Service</x:v>
      </x:c>
      <x:c r="C138" s="32" t="str">
        <x:v>Named service / product family</x:v>
      </x:c>
      <x:c r="D138" s="32" t="str">
        <x:v>Application Integration</x:v>
      </x:c>
      <x:c r="E138" s="32" t="str">
        <x:v>Email</x:v>
      </x:c>
      <x:c r="F138" s="32" t="str">
        <x:v>Transactional email</x:v>
      </x:c>
      <x:c r="G138" s="32" t="str">
        <x:v>Send application-generated transactional and bulk email.</x:v>
      </x:c>
      <x:c r="H138" s="32" t="str">
        <x:v>Partial</x:v>
      </x:c>
      <x:c r="I138" s="32"/>
      <x:c r="J138" s="32" t="str">
        <x:v>https://docs.aws.amazon.com/whitepapers/latest/aws-overview/aws-services.html</x:v>
      </x:c>
      <x:c r="K138" s="32" t="str">
        <x:v>2026-07-12</x:v>
      </x:c>
    </x:row>
    <x:row r="139">
      <x:c r="A139" s="32" t="str">
        <x:v>AWS</x:v>
      </x:c>
      <x:c r="B139" s="32" t="str">
        <x:v>Amazon Simple Notification Service</x:v>
      </x:c>
      <x:c r="C139" s="32" t="str">
        <x:v>Named service / product family</x:v>
      </x:c>
      <x:c r="D139" s="32" t="str">
        <x:v>Application Integration</x:v>
      </x:c>
      <x:c r="E139" s="32" t="str">
        <x:v>Pub/sub</x:v>
      </x:c>
      <x:c r="F139" s="32" t="str">
        <x:v>Publish-subscribe messaging</x:v>
      </x:c>
      <x:c r="G139" s="32" t="str">
        <x:v>Distribute messages from publishers to multiple asynchronous subscribers.</x:v>
      </x:c>
      <x:c r="H139" s="32" t="str">
        <x:v>Close</x:v>
      </x:c>
      <x:c r="I139" s="32"/>
      <x:c r="J139" s="32" t="str">
        <x:v>https://docs.aws.amazon.com/whitepapers/latest/aws-overview/aws-services.html</x:v>
      </x:c>
      <x:c r="K139" s="32" t="str">
        <x:v>2026-07-12</x:v>
      </x:c>
    </x:row>
    <x:row r="140">
      <x:c r="A140" s="32" t="str">
        <x:v>AWS</x:v>
      </x:c>
      <x:c r="B140" s="32" t="str">
        <x:v>Amazon Simple Queue Service</x:v>
      </x:c>
      <x:c r="C140" s="32" t="str">
        <x:v>Named service / product family</x:v>
      </x:c>
      <x:c r="D140" s="32" t="str">
        <x:v>Application Integration</x:v>
      </x:c>
      <x:c r="E140" s="32" t="str">
        <x:v>Messaging</x:v>
      </x:c>
      <x:c r="F140" s="32" t="str">
        <x:v>Managed message queue</x:v>
      </x:c>
      <x:c r="G140" s="32" t="str">
        <x:v>Decouple applications with durable asynchronous message queues.</x:v>
      </x:c>
      <x:c r="H140" s="32" t="str">
        <x:v>Close</x:v>
      </x:c>
      <x:c r="I140" s="32"/>
      <x:c r="J140" s="32" t="str">
        <x:v>https://docs.aws.amazon.com/whitepapers/latest/aws-overview/aws-services.html</x:v>
      </x:c>
      <x:c r="K140" s="32" t="str">
        <x:v>2026-07-12</x:v>
      </x:c>
    </x:row>
    <x:row r="141">
      <x:c r="A141" s="32" t="str">
        <x:v>AWS</x:v>
      </x:c>
      <x:c r="B141" s="32" t="str">
        <x:v>Amazon Simple Storage Service</x:v>
      </x:c>
      <x:c r="C141" s="32" t="str">
        <x:v>Named service / product family</x:v>
      </x:c>
      <x:c r="D141" s="32" t="str">
        <x:v>Storage</x:v>
      </x:c>
      <x:c r="E141" s="32" t="str">
        <x:v>Object storage</x:v>
      </x:c>
      <x:c r="F141" s="32" t="str">
        <x:v>Object storage</x:v>
      </x:c>
      <x:c r="G141" s="32" t="str">
        <x:v>Store unstructured data as durable objects accessible through APIs.</x:v>
      </x:c>
      <x:c r="H141" s="32" t="str">
        <x:v>Exact</x:v>
      </x:c>
      <x:c r="I141" s="32"/>
      <x:c r="J141" s="32" t="str">
        <x:v>https://docs.aws.amazon.com/whitepapers/latest/aws-overview/aws-services.html</x:v>
      </x:c>
      <x:c r="K141" s="32" t="str">
        <x:v>2026-07-12</x:v>
      </x:c>
    </x:row>
    <x:row r="142">
      <x:c r="A142" s="32" t="str">
        <x:v>AWS</x:v>
      </x:c>
      <x:c r="B142" s="32" t="str">
        <x:v>Amazon SNS</x:v>
      </x:c>
      <x:c r="C142" s="32" t="str">
        <x:v>Named service / product family</x:v>
      </x:c>
      <x:c r="D142" s="32" t="str">
        <x:v>Application Integration</x:v>
      </x:c>
      <x:c r="E142" s="32" t="str">
        <x:v>Push notifications</x:v>
      </x:c>
      <x:c r="F142" s="32" t="str">
        <x:v>Mobile push notifications</x:v>
      </x:c>
      <x:c r="G142" s="32" t="str">
        <x:v>Send push messages and notifications to mobile devices and applications.</x:v>
      </x:c>
      <x:c r="H142" s="32" t="str">
        <x:v>Close</x:v>
      </x:c>
      <x:c r="I142" s="32"/>
      <x:c r="J142" s="32" t="str">
        <x:v>https://docs.aws.amazon.com/whitepapers/latest/aws-overview/aws-services.html</x:v>
      </x:c>
      <x:c r="K142" s="32" t="str">
        <x:v>2026-07-12</x:v>
      </x:c>
    </x:row>
    <x:row r="143">
      <x:c r="A143" s="32" t="str">
        <x:v>AWS</x:v>
      </x:c>
      <x:c r="B143" s="32" t="str">
        <x:v>Amazon SQS</x:v>
      </x:c>
      <x:c r="C143" s="32" t="str">
        <x:v>Named service / product family</x:v>
      </x:c>
      <x:c r="D143" s="32" t="str">
        <x:v>Application Integration</x:v>
      </x:c>
      <x:c r="E143" s="32" t="str">
        <x:v>Task queue</x:v>
      </x:c>
      <x:c r="F143" s="32" t="str">
        <x:v>Application task queue</x:v>
      </x:c>
      <x:c r="G143" s="32" t="str">
        <x:v>Dispatch and control asynchronous application tasks with retries and rate limits.</x:v>
      </x:c>
      <x:c r="H143" s="32" t="str">
        <x:v>Close</x:v>
      </x:c>
      <x:c r="I143" s="32"/>
      <x:c r="J143" s="32" t="str">
        <x:v>https://docs.aws.amazon.com/whitepapers/latest/aws-overview/aws-services.html</x:v>
      </x:c>
      <x:c r="K143" s="32" t="str">
        <x:v>2026-07-12</x:v>
      </x:c>
    </x:row>
    <x:row r="144">
      <x:c r="A144" s="32" t="str">
        <x:v>AWS</x:v>
      </x:c>
      <x:c r="B144" s="32" t="str">
        <x:v>Amazon Textract</x:v>
      </x:c>
      <x:c r="C144" s="32" t="str">
        <x:v>Named service / product family</x:v>
      </x:c>
      <x:c r="D144" s="32" t="str">
        <x:v>AI &amp; Machine Learning</x:v>
      </x:c>
      <x:c r="E144" s="32" t="str">
        <x:v>Document AI</x:v>
      </x:c>
      <x:c r="F144" s="32" t="str">
        <x:v>Document extraction and OCR</x:v>
      </x:c>
      <x:c r="G144" s="32" t="str">
        <x:v>Extract text, tables, forms and structured fields from documents.</x:v>
      </x:c>
      <x:c r="H144" s="32" t="str">
        <x:v>Exact</x:v>
      </x:c>
      <x:c r="I144" s="32"/>
      <x:c r="J144" s="32" t="str">
        <x:v>https://docs.aws.amazon.com/whitepapers/latest/aws-overview/aws-services.html</x:v>
      </x:c>
      <x:c r="K144" s="32" t="str">
        <x:v>2026-07-12</x:v>
      </x:c>
    </x:row>
    <x:row r="145">
      <x:c r="A145" s="32" t="str">
        <x:v>AWS</x:v>
      </x:c>
      <x:c r="B145" s="32" t="str">
        <x:v>Amazon Timestream</x:v>
      </x:c>
      <x:c r="C145" s="32" t="str">
        <x:v>Named service / product family</x:v>
      </x:c>
      <x:c r="D145" s="32" t="str">
        <x:v>Databases</x:v>
      </x:c>
      <x:c r="E145" s="32" t="str">
        <x:v>Time-series database</x:v>
      </x:c>
      <x:c r="F145" s="32" t="str">
        <x:v>Managed time-series database</x:v>
      </x:c>
      <x:c r="G145" s="32" t="str">
        <x:v>Store, query and analyse timestamped operational or IoT data.</x:v>
      </x:c>
      <x:c r="H145" s="32" t="str">
        <x:v>Partial</x:v>
      </x:c>
      <x:c r="I145" s="32"/>
      <x:c r="J145" s="32" t="str">
        <x:v>https://docs.aws.amazon.com/whitepapers/latest/aws-overview/aws-services.html</x:v>
      </x:c>
      <x:c r="K145" s="32" t="str">
        <x:v>2026-07-12</x:v>
      </x:c>
    </x:row>
    <x:row r="146">
      <x:c r="A146" s="32" t="str">
        <x:v>AWS</x:v>
      </x:c>
      <x:c r="B146" s="32" t="str">
        <x:v>Amazon Titan Image Generator</x:v>
      </x:c>
      <x:c r="C146" s="32" t="str">
        <x:v>Named service / product family</x:v>
      </x:c>
      <x:c r="D146" s="32" t="str">
        <x:v>AI &amp; Machine Learning</x:v>
      </x:c>
      <x:c r="E146" s="32" t="str">
        <x:v>Synthetic media</x:v>
      </x:c>
      <x:c r="F146" s="32" t="str">
        <x:v>Image generation</x:v>
      </x:c>
      <x:c r="G146" s="32" t="str">
        <x:v>Generate or edit images from natural-language instructions.</x:v>
      </x:c>
      <x:c r="H146" s="32" t="str">
        <x:v>Close</x:v>
      </x:c>
      <x:c r="I146" s="32"/>
      <x:c r="J146" s="32" t="str">
        <x:v>https://docs.aws.amazon.com/whitepapers/latest/aws-overview/aws-services.html</x:v>
      </x:c>
      <x:c r="K146" s="32" t="str">
        <x:v>2026-07-12</x:v>
      </x:c>
    </x:row>
    <x:row r="147">
      <x:c r="A147" s="32" t="str">
        <x:v>AWS</x:v>
      </x:c>
      <x:c r="B147" s="32" t="str">
        <x:v>Amazon Transcribe</x:v>
      </x:c>
      <x:c r="C147" s="32" t="str">
        <x:v>Named service / product family</x:v>
      </x:c>
      <x:c r="D147" s="32" t="str">
        <x:v>AI &amp; Machine Learning</x:v>
      </x:c>
      <x:c r="E147" s="32" t="str">
        <x:v>Speech</x:v>
      </x:c>
      <x:c r="F147" s="32" t="str">
        <x:v>Speech-to-text</x:v>
      </x:c>
      <x:c r="G147" s="32" t="str">
        <x:v>Convert live or recorded speech into text.</x:v>
      </x:c>
      <x:c r="H147" s="32" t="str">
        <x:v>Exact</x:v>
      </x:c>
      <x:c r="I147" s="32"/>
      <x:c r="J147" s="32" t="str">
        <x:v>https://docs.aws.amazon.com/whitepapers/latest/aws-overview/aws-services.html</x:v>
      </x:c>
      <x:c r="K147" s="32" t="str">
        <x:v>2026-07-12</x:v>
      </x:c>
    </x:row>
    <x:row r="148">
      <x:c r="A148" s="32" t="str">
        <x:v>AWS</x:v>
      </x:c>
      <x:c r="B148" s="32" t="str">
        <x:v>Amazon Translate</x:v>
      </x:c>
      <x:c r="C148" s="32" t="str">
        <x:v>Named service / product family</x:v>
      </x:c>
      <x:c r="D148" s="32" t="str">
        <x:v>AI &amp; Machine Learning</x:v>
      </x:c>
      <x:c r="E148" s="32" t="str">
        <x:v>Translation</x:v>
      </x:c>
      <x:c r="F148" s="32" t="str">
        <x:v>Machine translation</x:v>
      </x:c>
      <x:c r="G148" s="32" t="str">
        <x:v>Translate text and documents between languages using managed AI.</x:v>
      </x:c>
      <x:c r="H148" s="32" t="str">
        <x:v>Exact</x:v>
      </x:c>
      <x:c r="I148" s="32"/>
      <x:c r="J148" s="32" t="str">
        <x:v>https://docs.aws.amazon.com/whitepapers/latest/aws-overview/aws-services.html</x:v>
      </x:c>
      <x:c r="K148" s="32" t="str">
        <x:v>2026-07-12</x:v>
      </x:c>
    </x:row>
    <x:row r="149">
      <x:c r="A149" s="32" t="str">
        <x:v>AWS</x:v>
      </x:c>
      <x:c r="B149" s="32" t="str">
        <x:v>Amazon Verified Permissions</x:v>
      </x:c>
      <x:c r="C149" s="32" t="str">
        <x:v>Named service / product family</x:v>
      </x:c>
      <x:c r="D149" s="32" t="str">
        <x:v>Security, Identity &amp; Compliance</x:v>
      </x:c>
      <x:c r="E149" s="32" t="str">
        <x:v>Authorisation</x:v>
      </x:c>
      <x:c r="F149" s="32" t="str">
        <x:v>Fine-grained application authorisation</x:v>
      </x:c>
      <x:c r="G149" s="32" t="str">
        <x:v>Externalise and evaluate fine-grained application permissions and policies.</x:v>
      </x:c>
      <x:c r="H149" s="32" t="str">
        <x:v>Partial</x:v>
      </x:c>
      <x:c r="I149" s="32"/>
      <x:c r="J149" s="32" t="str">
        <x:v>https://docs.aws.amazon.com/whitepapers/latest/aws-overview/aws-services.html</x:v>
      </x:c>
      <x:c r="K149" s="32" t="str">
        <x:v>2026-07-12</x:v>
      </x:c>
    </x:row>
    <x:row r="150">
      <x:c r="A150" s="32" t="str">
        <x:v>AWS</x:v>
      </x:c>
      <x:c r="B150" s="32" t="str">
        <x:v>Amazon VPC</x:v>
      </x:c>
      <x:c r="C150" s="32" t="str">
        <x:v>Named service / product family</x:v>
      </x:c>
      <x:c r="D150" s="32" t="str">
        <x:v>Networking</x:v>
      </x:c>
      <x:c r="E150" s="32" t="str">
        <x:v>Virtual network</x:v>
      </x:c>
      <x:c r="F150" s="32" t="str">
        <x:v>Virtual private network</x:v>
      </x:c>
      <x:c r="G150" s="32" t="str">
        <x:v>Create logically isolated cloud networks, subnets, routing and private addressing.</x:v>
      </x:c>
      <x:c r="H150" s="32" t="str">
        <x:v>Exact</x:v>
      </x:c>
      <x:c r="I150" s="32"/>
      <x:c r="J150" s="32" t="str">
        <x:v>https://docs.aws.amazon.com/whitepapers/latest/aws-overview/aws-services.html</x:v>
      </x:c>
      <x:c r="K150" s="32" t="str">
        <x:v>2026-07-12</x:v>
      </x:c>
    </x:row>
    <x:row r="151">
      <x:c r="A151" s="32" t="str">
        <x:v>AWS</x:v>
      </x:c>
      <x:c r="B151" s="32" t="str">
        <x:v>Amazon VPC Lattice</x:v>
      </x:c>
      <x:c r="C151" s="32" t="str">
        <x:v>Named service / product family</x:v>
      </x:c>
      <x:c r="D151" s="32" t="str">
        <x:v>Networking</x:v>
      </x:c>
      <x:c r="E151" s="32" t="str">
        <x:v>Service networking</x:v>
      </x:c>
      <x:c r="F151" s="32" t="str">
        <x:v>Service mesh</x:v>
      </x:c>
      <x:c r="G151" s="32" t="str">
        <x:v>Manage service-to-service traffic, identity, observability and policy for microservices.</x:v>
      </x:c>
      <x:c r="H151" s="32" t="str">
        <x:v>Close</x:v>
      </x:c>
      <x:c r="I151" s="32"/>
      <x:c r="J151" s="32" t="str">
        <x:v>https://docs.aws.amazon.com/whitepapers/latest/aws-overview/aws-services.html</x:v>
      </x:c>
      <x:c r="K151" s="32" t="str">
        <x:v>2026-07-12</x:v>
      </x:c>
    </x:row>
    <x:row r="152">
      <x:c r="A152" s="32" t="str">
        <x:v>AWS</x:v>
      </x:c>
      <x:c r="B152" s="32" t="str">
        <x:v>Amazon WorkDocs</x:v>
      </x:c>
      <x:c r="C152" s="32" t="str">
        <x:v>Named service / product family</x:v>
      </x:c>
      <x:c r="D152" s="32" t="str">
        <x:v>End-User Computing &amp; Business Apps</x:v>
      </x:c>
      <x:c r="E152" s="32" t="str">
        <x:v>Collaboration</x:v>
      </x:c>
      <x:c r="F152" s="32" t="str">
        <x:v>Business collaboration</x:v>
      </x:c>
      <x:c r="G152" s="32" t="str">
        <x:v>Provide meetings, chat, content collaboration and productivity capabilities.</x:v>
      </x:c>
      <x:c r="H152" s="32" t="str">
        <x:v>Partial</x:v>
      </x:c>
      <x:c r="I152" s="32"/>
      <x:c r="J152" s="32" t="str">
        <x:v>https://docs.aws.amazon.com/whitepapers/latest/aws-overview/aws-services.html</x:v>
      </x:c>
      <x:c r="K152" s="32" t="str">
        <x:v>2026-07-12</x:v>
      </x:c>
    </x:row>
    <x:row r="153">
      <x:c r="A153" s="32" t="str">
        <x:v>AWS</x:v>
      </x:c>
      <x:c r="B153" s="32" t="str">
        <x:v>Amazon WorkMail</x:v>
      </x:c>
      <x:c r="C153" s="32" t="str">
        <x:v>Named service / product family</x:v>
      </x:c>
      <x:c r="D153" s="32" t="str">
        <x:v>End-User Computing &amp; Business Apps</x:v>
      </x:c>
      <x:c r="E153" s="32" t="str">
        <x:v>Business email</x:v>
      </x:c>
      <x:c r="F153" s="32" t="str">
        <x:v>Managed business email</x:v>
      </x:c>
      <x:c r="G153" s="32" t="str">
        <x:v>Host managed organisational email and calendaring.</x:v>
      </x:c>
      <x:c r="H153" s="32" t="str">
        <x:v>Exact</x:v>
      </x:c>
      <x:c r="I153" s="32" t="str">
        <x:v>Microsoft 365 and Google Workspace sit outside the core Azure/GCP infrastructure catalogues but are the closest provider alternatives.</x:v>
      </x:c>
      <x:c r="J153" s="32" t="str">
        <x:v>https://docs.aws.amazon.com/whitepapers/latest/aws-overview/aws-services.html</x:v>
      </x:c>
      <x:c r="K153" s="32" t="str">
        <x:v>2026-07-12</x:v>
      </x:c>
    </x:row>
    <x:row r="154">
      <x:c r="A154" s="32" t="str">
        <x:v>AWS</x:v>
      </x:c>
      <x:c r="B154" s="32" t="str">
        <x:v>Amazon WorkSpaces</x:v>
      </x:c>
      <x:c r="C154" s="32" t="str">
        <x:v>Named service / product family</x:v>
      </x:c>
      <x:c r="D154" s="32" t="str">
        <x:v>End-User Computing &amp; Business Apps</x:v>
      </x:c>
      <x:c r="E154" s="32" t="str">
        <x:v>Virtual desktops</x:v>
      </x:c>
      <x:c r="F154" s="32" t="str">
        <x:v>Managed virtual desktop</x:v>
      </x:c>
      <x:c r="G154" s="32" t="str">
        <x:v>Deliver cloud-hosted desktops and applications to end users.</x:v>
      </x:c>
      <x:c r="H154" s="32" t="str">
        <x:v>Partial</x:v>
      </x:c>
      <x:c r="I154" s="32"/>
      <x:c r="J154" s="32" t="str">
        <x:v>https://docs.aws.amazon.com/whitepapers/latest/aws-overview/aws-services.html</x:v>
      </x:c>
      <x:c r="K154" s="32" t="str">
        <x:v>2026-07-12</x:v>
      </x:c>
    </x:row>
    <x:row r="155">
      <x:c r="A155" s="32" t="str">
        <x:v>AWS</x:v>
      </x:c>
      <x:c r="B155" s="32" t="str">
        <x:v>Amazon WorkSpaces Applications</x:v>
      </x:c>
      <x:c r="C155" s="32" t="str">
        <x:v>Named service / product family</x:v>
      </x:c>
      <x:c r="D155" s="32" t="str">
        <x:v>End-User Computing &amp; Business Apps</x:v>
      </x:c>
      <x:c r="E155" s="32" t="str">
        <x:v>Application streaming</x:v>
      </x:c>
      <x:c r="F155" s="32" t="str">
        <x:v>Application streaming</x:v>
      </x:c>
      <x:c r="G155" s="32" t="str">
        <x:v>Stream centrally managed desktop applications to users without full local installation.</x:v>
      </x:c>
      <x:c r="H155" s="32" t="str">
        <x:v>Close</x:v>
      </x:c>
      <x:c r="I155" s="32"/>
      <x:c r="J155" s="32" t="str">
        <x:v>https://docs.aws.amazon.com/whitepapers/latest/aws-overview/aws-services.html</x:v>
      </x:c>
      <x:c r="K155" s="32" t="str">
        <x:v>2026-07-12</x:v>
      </x:c>
    </x:row>
    <x:row r="156">
      <x:c r="A156" s="32" t="str">
        <x:v>AWS</x:v>
      </x:c>
      <x:c r="B156" s="32" t="str">
        <x:v>Application Load Balancer</x:v>
      </x:c>
      <x:c r="C156" s="32" t="str">
        <x:v>Named service / product family</x:v>
      </x:c>
      <x:c r="D156" s="32" t="str">
        <x:v>Networking</x:v>
      </x:c>
      <x:c r="E156" s="32" t="str">
        <x:v>Load balancing</x:v>
      </x:c>
      <x:c r="F156" s="32" t="str">
        <x:v>Layer 7 application load balancing</x:v>
      </x:c>
      <x:c r="G156" s="32" t="str">
        <x:v>Distribute HTTP and HTTPS traffic using host, path and application-aware routing.</x:v>
      </x:c>
      <x:c r="H156" s="32" t="str">
        <x:v>Exact</x:v>
      </x:c>
      <x:c r="I156" s="32"/>
      <x:c r="J156" s="32" t="str">
        <x:v>https://docs.aws.amazon.com/whitepapers/latest/aws-overview/aws-services.html</x:v>
      </x:c>
      <x:c r="K156" s="32" t="str">
        <x:v>2026-07-12</x:v>
      </x:c>
    </x:row>
    <x:row r="157">
      <x:c r="A157" s="32" t="str">
        <x:v>AWS</x:v>
      </x:c>
      <x:c r="B157" s="32" t="str">
        <x:v>AWS Amplify Hosting</x:v>
      </x:c>
      <x:c r="C157" s="32" t="str">
        <x:v>Named service / product family</x:v>
      </x:c>
      <x:c r="D157" s="32" t="str">
        <x:v>Compute &amp; Application Hosting</x:v>
      </x:c>
      <x:c r="E157" s="32" t="str">
        <x:v>Static web</x:v>
      </x:c>
      <x:c r="F157" s="32" t="str">
        <x:v>Static web application hosting</x:v>
      </x:c>
      <x:c r="G157" s="32" t="str">
        <x:v>Host globally delivered static sites with integrated deployment workflows.</x:v>
      </x:c>
      <x:c r="H157" s="32" t="str">
        <x:v>Close</x:v>
      </x:c>
      <x:c r="I157" s="32"/>
      <x:c r="J157" s="32" t="str">
        <x:v>https://docs.aws.amazon.com/whitepapers/latest/aws-overview/aws-services.html</x:v>
      </x:c>
      <x:c r="K157" s="32" t="str">
        <x:v>2026-07-12</x:v>
      </x:c>
    </x:row>
    <x:row r="158">
      <x:c r="A158" s="32" t="str">
        <x:v>AWS</x:v>
      </x:c>
      <x:c r="B158" s="32" t="str">
        <x:v>AWS App Mesh</x:v>
      </x:c>
      <x:c r="C158" s="32" t="str">
        <x:v>Named service / product family</x:v>
      </x:c>
      <x:c r="D158" s="32" t="str">
        <x:v>Networking</x:v>
      </x:c>
      <x:c r="E158" s="32" t="str">
        <x:v>Service networking</x:v>
      </x:c>
      <x:c r="F158" s="32" t="str">
        <x:v>Service mesh</x:v>
      </x:c>
      <x:c r="G158" s="32" t="str">
        <x:v>Manage service-to-service traffic, identity, observability and policy for microservices.</x:v>
      </x:c>
      <x:c r="H158" s="32" t="str">
        <x:v>Close</x:v>
      </x:c>
      <x:c r="I158" s="32"/>
      <x:c r="J158" s="32" t="str">
        <x:v>https://docs.aws.amazon.com/whitepapers/latest/aws-overview/aws-services.html</x:v>
      </x:c>
      <x:c r="K158" s="32" t="str">
        <x:v>2026-07-12</x:v>
      </x:c>
    </x:row>
    <x:row r="159">
      <x:c r="A159" s="32" t="str">
        <x:v>AWS</x:v>
      </x:c>
      <x:c r="B159" s="32" t="str">
        <x:v>AWS App Runner</x:v>
      </x:c>
      <x:c r="C159" s="32" t="str">
        <x:v>Named service / product family</x:v>
      </x:c>
      <x:c r="D159" s="32" t="str">
        <x:v>Compute &amp; Application Hosting</x:v>
      </x:c>
      <x:c r="E159" s="32" t="str">
        <x:v>Application PaaS
Container PaaS</x:v>
      </x:c>
      <x:c r="F159" s="32" t="str">
        <x:v>Managed web application platform
Serverless container application platform</x:v>
      </x:c>
      <x:c r="G159" s="32" t="str">
        <x:v>Deploy web applications and APIs on a managed runtime platform.</x:v>
      </x:c>
      <x:c r="H159" s="32" t="str">
        <x:v>Close</x:v>
      </x:c>
      <x:c r="I159" s="32"/>
      <x:c r="J159" s="32" t="str">
        <x:v>https://docs.aws.amazon.com/whitepapers/latest/aws-overview/aws-services.html</x:v>
      </x:c>
      <x:c r="K159" s="32" t="str">
        <x:v>2026-07-12</x:v>
      </x:c>
    </x:row>
    <x:row r="160">
      <x:c r="A160" s="32" t="str">
        <x:v>AWS</x:v>
      </x:c>
      <x:c r="B160" s="32" t="str">
        <x:v>AWS App2Container</x:v>
      </x:c>
      <x:c r="C160" s="32" t="str">
        <x:v>Named service / product family</x:v>
      </x:c>
      <x:c r="D160" s="32" t="str">
        <x:v>Compute &amp; Application Hosting
Migration &amp; Modernisation</x:v>
      </x:c>
      <x:c r="E160" s="32" t="str">
        <x:v>Application modernisation
Container migration</x:v>
      </x:c>
      <x:c r="F160" s="32" t="str">
        <x:v>Application containerisation
Application modernisation</x:v>
      </x:c>
      <x:c r="G160" s="32" t="str">
        <x:v>Assess and convert existing applications or virtual machines into containers.</x:v>
      </x:c>
      <x:c r="H160" s="32" t="str">
        <x:v>Close</x:v>
      </x:c>
      <x:c r="I160" s="32"/>
      <x:c r="J160" s="32" t="str">
        <x:v>https://docs.aws.amazon.com/whitepapers/latest/aws-overview/aws-services.html</x:v>
      </x:c>
      <x:c r="K160" s="32" t="str">
        <x:v>2026-07-12</x:v>
      </x:c>
    </x:row>
    <x:row r="161">
      <x:c r="A161" s="32" t="str">
        <x:v>AWS</x:v>
      </x:c>
      <x:c r="B161" s="32" t="str">
        <x:v>AWS AppConfig</x:v>
      </x:c>
      <x:c r="C161" s="32" t="str">
        <x:v>Named service / product family</x:v>
      </x:c>
      <x:c r="D161" s="32" t="str">
        <x:v>Developer Tools &amp; DevOps</x:v>
      </x:c>
      <x:c r="E161" s="32" t="str">
        <x:v>Application configuration</x:v>
      </x:c>
      <x:c r="F161" s="32" t="str">
        <x:v>Central application configuration</x:v>
      </x:c>
      <x:c r="G161" s="32" t="str">
        <x:v>Store and distribute application configuration and feature settings.</x:v>
      </x:c>
      <x:c r="H161" s="32" t="str">
        <x:v>Partial</x:v>
      </x:c>
      <x:c r="I161" s="32"/>
      <x:c r="J161" s="32" t="str">
        <x:v>https://docs.aws.amazon.com/whitepapers/latest/aws-overview/aws-services.html</x:v>
      </x:c>
      <x:c r="K161" s="32" t="str">
        <x:v>2026-07-12</x:v>
      </x:c>
    </x:row>
    <x:row r="162">
      <x:c r="A162" s="32" t="str">
        <x:v>AWS</x:v>
      </x:c>
      <x:c r="B162" s="32" t="str">
        <x:v>AWS Application Discovery Service</x:v>
      </x:c>
      <x:c r="C162" s="32" t="str">
        <x:v>Named service / product family</x:v>
      </x:c>
      <x:c r="D162" s="32" t="str">
        <x:v>Migration &amp; Modernisation</x:v>
      </x:c>
      <x:c r="E162" s="32" t="str">
        <x:v>Discovery</x:v>
      </x:c>
      <x:c r="F162" s="32" t="str">
        <x:v>Migration discovery and assessment</x:v>
      </x:c>
      <x:c r="G162" s="32" t="str">
        <x:v>Discover servers, dependencies and utilisation to build migration plans and business cases.</x:v>
      </x:c>
      <x:c r="H162" s="32" t="str">
        <x:v>Close</x:v>
      </x:c>
      <x:c r="I162" s="32"/>
      <x:c r="J162" s="32" t="str">
        <x:v>https://docs.aws.amazon.com/whitepapers/latest/aws-overview/aws-services.html</x:v>
      </x:c>
      <x:c r="K162" s="32" t="str">
        <x:v>2026-07-12</x:v>
      </x:c>
    </x:row>
    <x:row r="163">
      <x:c r="A163" s="32" t="str">
        <x:v>AWS</x:v>
      </x:c>
      <x:c r="B163" s="32" t="str">
        <x:v>AWS Application Migration Service / AWS Transform MGN</x:v>
      </x:c>
      <x:c r="C163" s="32" t="str">
        <x:v>Product family / combined pattern</x:v>
      </x:c>
      <x:c r="D163" s="32" t="str">
        <x:v>Migration &amp; Modernisation</x:v>
      </x:c>
      <x:c r="E163" s="32" t="str">
        <x:v>VM migration</x:v>
      </x:c>
      <x:c r="F163" s="32" t="str">
        <x:v>Virtual-machine migration</x:v>
      </x:c>
      <x:c r="G163" s="32" t="str">
        <x:v>Replicate and migrate physical or virtual servers into cloud virtual machines.</x:v>
      </x:c>
      <x:c r="H163" s="32" t="str">
        <x:v>Exact</x:v>
      </x:c>
      <x:c r="I163" s="32"/>
      <x:c r="J163" s="32" t="str">
        <x:v>https://docs.aws.amazon.com/whitepapers/latest/aws-overview/aws-services.html</x:v>
      </x:c>
      <x:c r="K163" s="32" t="str">
        <x:v>2026-07-12</x:v>
      </x:c>
    </x:row>
    <x:row r="164">
      <x:c r="A164" s="32" t="str">
        <x:v>AWS</x:v>
      </x:c>
      <x:c r="B164" s="32" t="str">
        <x:v>AWS Application Migration Service / service-specific replication</x:v>
      </x:c>
      <x:c r="C164" s="32" t="str">
        <x:v>Architecture / partner alternative</x:v>
      </x:c>
      <x:c r="D164" s="32" t="str">
        <x:v>Migration &amp; Modernisation</x:v>
      </x:c>
      <x:c r="E164" s="32" t="str">
        <x:v>Resource relocation</x:v>
      </x:c>
      <x:c r="F164" s="32" t="str">
        <x:v>Cloud resource relocation</x:v>
      </x:c>
      <x:c r="G164" s="32" t="str">
        <x:v>Move supported resources between regions, subscriptions or projects.</x:v>
      </x:c>
      <x:c r="H164" s="32" t="str">
        <x:v>Partial</x:v>
      </x:c>
      <x:c r="I164" s="32"/>
      <x:c r="J164" s="32" t="str">
        <x:v>https://docs.aws.amazon.com/whitepapers/latest/aws-overview/aws-services.html</x:v>
      </x:c>
      <x:c r="K164" s="32" t="str">
        <x:v>2026-07-12</x:v>
      </x:c>
    </x:row>
    <x:row r="165">
      <x:c r="A165" s="32" t="str">
        <x:v>AWS</x:v>
      </x:c>
      <x:c r="B165" s="32" t="str">
        <x:v>AWS AppSync subscriptions</x:v>
      </x:c>
      <x:c r="C165" s="32" t="str">
        <x:v>Named service / product family</x:v>
      </x:c>
      <x:c r="D165" s="32" t="str">
        <x:v>Application Integration</x:v>
      </x:c>
      <x:c r="E165" s="32" t="str">
        <x:v>Real-time messaging</x:v>
      </x:c>
      <x:c r="F165" s="32" t="str">
        <x:v>Managed real-time web messaging</x:v>
      </x:c>
      <x:c r="G165" s="32" t="str">
        <x:v>Deliver low-latency bidirectional messages to connected web and mobile clients.</x:v>
      </x:c>
      <x:c r="H165" s="32" t="str">
        <x:v>Partial</x:v>
      </x:c>
      <x:c r="I165" s="32"/>
      <x:c r="J165" s="32" t="str">
        <x:v>https://docs.aws.amazon.com/whitepapers/latest/aws-overview/aws-services.html</x:v>
      </x:c>
      <x:c r="K165" s="32" t="str">
        <x:v>2026-07-12</x:v>
      </x:c>
    </x:row>
    <x:row r="166">
      <x:c r="A166" s="32" t="str">
        <x:v>AWS</x:v>
      </x:c>
      <x:c r="B166" s="32" t="str">
        <x:v>AWS Artifact</x:v>
      </x:c>
      <x:c r="C166" s="32" t="str">
        <x:v>Named service / product family</x:v>
      </x:c>
      <x:c r="D166" s="32" t="str">
        <x:v>Security, Identity &amp; Compliance</x:v>
      </x:c>
      <x:c r="E166" s="32" t="str">
        <x:v>Compliance evidence</x:v>
      </x:c>
      <x:c r="F166" s="32" t="str">
        <x:v>Compliance reports and evidence</x:v>
      </x:c>
      <x:c r="G166" s="32" t="str">
        <x:v>Access provider compliance reports and collect audit evidence.</x:v>
      </x:c>
      <x:c r="H166" s="32" t="str">
        <x:v>Close</x:v>
      </x:c>
      <x:c r="I166" s="32"/>
      <x:c r="J166" s="32" t="str">
        <x:v>https://docs.aws.amazon.com/whitepapers/latest/aws-overview/aws-services.html</x:v>
      </x:c>
      <x:c r="K166" s="32" t="str">
        <x:v>2026-07-12</x:v>
      </x:c>
    </x:row>
    <x:row r="167">
      <x:c r="A167" s="32" t="str">
        <x:v>AWS</x:v>
      </x:c>
      <x:c r="B167" s="32" t="str">
        <x:v>AWS Audit Manager</x:v>
      </x:c>
      <x:c r="C167" s="32" t="str">
        <x:v>Named service / product family</x:v>
      </x:c>
      <x:c r="D167" s="32" t="str">
        <x:v>AI &amp; Machine Learning
Security, Identity &amp; Compliance</x:v>
      </x:c>
      <x:c r="E167" s="32" t="str">
        <x:v>AI governance
Compliance evidence</x:v>
      </x:c>
      <x:c r="F167" s="32" t="str">
        <x:v>AI governance and control plane
Compliance reports and evidence</x:v>
      </x:c>
      <x:c r="G167" s="32" t="str">
        <x:v>Inventory AI assets, apply policies, assess risk and oversee AI across its lifecycle.</x:v>
      </x:c>
      <x:c r="H167" s="32" t="str">
        <x:v>Close, Partial</x:v>
      </x:c>
      <x:c r="I167" s="32" t="str">
        <x:v>AI governance is a control set rather than one perfectly equivalent product.</x:v>
      </x:c>
      <x:c r="J167" s="32" t="str">
        <x:v>https://docs.aws.amazon.com/whitepapers/latest/aws-overview/aws-services.html</x:v>
      </x:c>
      <x:c r="K167" s="32" t="str">
        <x:v>2026-07-12</x:v>
      </x:c>
    </x:row>
    <x:row r="168">
      <x:c r="A168" s="32" t="str">
        <x:v>AWS</x:v>
      </x:c>
      <x:c r="B168" s="32" t="str">
        <x:v>AWS B2B Data Interchange</x:v>
      </x:c>
      <x:c r="C168" s="32" t="str">
        <x:v>Named service / product family</x:v>
      </x:c>
      <x:c r="D168" s="32" t="str">
        <x:v>Application Integration</x:v>
      </x:c>
      <x:c r="E168" s="32" t="str">
        <x:v>B2B integration</x:v>
      </x:c>
      <x:c r="F168" s="32" t="str">
        <x:v>B2B and EDI integration</x:v>
      </x:c>
      <x:c r="G168" s="32" t="str">
        <x:v>Exchange and transform business documents with trading partners.</x:v>
      </x:c>
      <x:c r="H168" s="32" t="str">
        <x:v>Partial</x:v>
      </x:c>
      <x:c r="I168" s="32"/>
      <x:c r="J168" s="32" t="str">
        <x:v>https://docs.aws.amazon.com/whitepapers/latest/aws-overview/aws-services.html</x:v>
      </x:c>
      <x:c r="K168" s="32" t="str">
        <x:v>2026-07-12</x:v>
      </x:c>
    </x:row>
    <x:row r="169">
      <x:c r="A169" s="32" t="str">
        <x:v>AWS</x:v>
      </x:c>
      <x:c r="B169" s="32" t="str">
        <x:v>AWS Backup</x:v>
      </x:c>
      <x:c r="C169" s="32" t="str">
        <x:v>Named service / product family</x:v>
      </x:c>
      <x:c r="D169" s="32" t="str">
        <x:v>Storage</x:v>
      </x:c>
      <x:c r="E169" s="32" t="str">
        <x:v>Backup</x:v>
      </x:c>
      <x:c r="F169" s="32" t="str">
        <x:v>Central cloud backup</x:v>
      </x:c>
      <x:c r="G169" s="32" t="str">
        <x:v>Protect cloud and hybrid workloads through centrally managed backup policies.</x:v>
      </x:c>
      <x:c r="H169" s="32" t="str">
        <x:v>Exact</x:v>
      </x:c>
      <x:c r="I169" s="32"/>
      <x:c r="J169" s="32" t="str">
        <x:v>https://docs.aws.amazon.com/whitepapers/latest/aws-overview/aws-services.html</x:v>
      </x:c>
      <x:c r="K169" s="32" t="str">
        <x:v>2026-07-12</x:v>
      </x:c>
    </x:row>
    <x:row r="170">
      <x:c r="A170" s="32" t="str">
        <x:v>AWS</x:v>
      </x:c>
      <x:c r="B170" s="32" t="str">
        <x:v>AWS Batch</x:v>
      </x:c>
      <x:c r="C170" s="32" t="str">
        <x:v>Named service / product family</x:v>
      </x:c>
      <x:c r="D170" s="32" t="str">
        <x:v>Compute &amp; Application Hosting</x:v>
      </x:c>
      <x:c r="E170" s="32" t="str">
        <x:v>Batch</x:v>
      </x:c>
      <x:c r="F170" s="32" t="str">
        <x:v>Managed batch computing</x:v>
      </x:c>
      <x:c r="G170" s="32" t="str">
        <x:v>Schedule and run large numbers of parallel or queued compute jobs.</x:v>
      </x:c>
      <x:c r="H170" s="32" t="str">
        <x:v>Exact</x:v>
      </x:c>
      <x:c r="I170" s="32"/>
      <x:c r="J170" s="32" t="str">
        <x:v>https://docs.aws.amazon.com/whitepapers/latest/aws-overview/aws-services.html</x:v>
      </x:c>
      <x:c r="K170" s="32" t="str">
        <x:v>2026-07-12</x:v>
      </x:c>
    </x:row>
    <x:row r="171">
      <x:c r="A171" s="32" t="str">
        <x:v>AWS</x:v>
      </x:c>
      <x:c r="B171" s="32" t="str">
        <x:v>AWS Billing Conductor</x:v>
      </x:c>
      <x:c r="C171" s="32" t="str">
        <x:v>Named service / product family</x:v>
      </x:c>
      <x:c r="D171" s="32" t="str">
        <x:v>FinOps &amp; Commercial</x:v>
      </x:c>
      <x:c r="E171" s="32" t="str">
        <x:v>Billing allocation</x:v>
      </x:c>
      <x:c r="F171" s="32" t="str">
        <x:v>Custom billing and chargeback</x:v>
      </x:c>
      <x:c r="G171" s="32" t="str">
        <x:v>Allocate, group and charge back cloud costs to internal entities.</x:v>
      </x:c>
      <x:c r="H171" s="32" t="str">
        <x:v>Close</x:v>
      </x:c>
      <x:c r="I171" s="32"/>
      <x:c r="J171" s="32" t="str">
        <x:v>https://docs.aws.amazon.com/whitepapers/latest/aws-overview/aws-services.html</x:v>
      </x:c>
      <x:c r="K171" s="32" t="str">
        <x:v>2026-07-12</x:v>
      </x:c>
    </x:row>
    <x:row r="172">
      <x:c r="A172" s="32" t="str">
        <x:v>AWS</x:v>
      </x:c>
      <x:c r="B172" s="32" t="str">
        <x:v>AWS Budgets</x:v>
      </x:c>
      <x:c r="C172" s="32" t="str">
        <x:v>Named service / product family</x:v>
      </x:c>
      <x:c r="D172" s="32" t="str">
        <x:v>FinOps &amp; Commercial</x:v>
      </x:c>
      <x:c r="E172" s="32" t="str">
        <x:v>Budgets</x:v>
      </x:c>
      <x:c r="F172" s="32" t="str">
        <x:v>Cloud budgets and alerts</x:v>
      </x:c>
      <x:c r="G172" s="32" t="str">
        <x:v>Set budgets, thresholds and alerts for cloud expenditure.</x:v>
      </x:c>
      <x:c r="H172" s="32" t="str">
        <x:v>Exact</x:v>
      </x:c>
      <x:c r="I172" s="32"/>
      <x:c r="J172" s="32" t="str">
        <x:v>https://docs.aws.amazon.com/whitepapers/latest/aws-overview/aws-services.html</x:v>
      </x:c>
      <x:c r="K172" s="32" t="str">
        <x:v>2026-07-12</x:v>
      </x:c>
    </x:row>
    <x:row r="173">
      <x:c r="A173" s="32" t="str">
        <x:v>AWS</x:v>
      </x:c>
      <x:c r="B173" s="32" t="str">
        <x:v>AWS Certificate Manager</x:v>
      </x:c>
      <x:c r="C173" s="32" t="str">
        <x:v>Named service / product family</x:v>
      </x:c>
      <x:c r="D173" s="32" t="str">
        <x:v>Security, Identity &amp; Compliance</x:v>
      </x:c>
      <x:c r="E173" s="32" t="str">
        <x:v>Certificates</x:v>
      </x:c>
      <x:c r="F173" s="32" t="str">
        <x:v>Certificate management</x:v>
      </x:c>
      <x:c r="G173" s="32" t="str">
        <x:v>Provision, manage and rotate public or private TLS certificates.</x:v>
      </x:c>
      <x:c r="H173" s="32" t="str">
        <x:v>Close</x:v>
      </x:c>
      <x:c r="I173" s="32"/>
      <x:c r="J173" s="32" t="str">
        <x:v>https://docs.aws.amazon.com/whitepapers/latest/aws-overview/aws-services.html</x:v>
      </x:c>
      <x:c r="K173" s="32" t="str">
        <x:v>2026-07-12</x:v>
      </x:c>
    </x:row>
    <x:row r="174">
      <x:c r="A174" s="32" t="str">
        <x:v>AWS</x:v>
      </x:c>
      <x:c r="B174" s="32" t="str">
        <x:v>AWS Clean Rooms</x:v>
      </x:c>
      <x:c r="C174" s="32" t="str">
        <x:v>Named service / product family</x:v>
      </x:c>
      <x:c r="D174" s="32" t="str">
        <x:v>Data, Analytics &amp; BI</x:v>
      </x:c>
      <x:c r="E174" s="32" t="str">
        <x:v>Clean rooms</x:v>
      </x:c>
      <x:c r="F174" s="32" t="str">
        <x:v>Data clean room</x:v>
      </x:c>
      <x:c r="G174" s="32" t="str">
        <x:v>Collaborate on data analysis without exposing underlying sensitive records.</x:v>
      </x:c>
      <x:c r="H174" s="32" t="str">
        <x:v>Close</x:v>
      </x:c>
      <x:c r="I174" s="32"/>
      <x:c r="J174" s="32" t="str">
        <x:v>https://docs.aws.amazon.com/whitepapers/latest/aws-overview/aws-services.html</x:v>
      </x:c>
      <x:c r="K174" s="32" t="str">
        <x:v>2026-07-12</x:v>
      </x:c>
    </x:row>
    <x:row r="175">
      <x:c r="A175" s="32" t="str">
        <x:v>AWS</x:v>
      </x:c>
      <x:c r="B175" s="32" t="str">
        <x:v>AWS CLI</x:v>
      </x:c>
      <x:c r="C175" s="32" t="str">
        <x:v>Named service / product family</x:v>
      </x:c>
      <x:c r="D175" s="32" t="str">
        <x:v>Developer Tools &amp; DevOps</x:v>
      </x:c>
      <x:c r="E175" s="32" t="str">
        <x:v>SDK and CLI</x:v>
      </x:c>
      <x:c r="F175" s="32" t="str">
        <x:v>Cloud command-line and SDK tools</x:v>
      </x:c>
      <x:c r="G175" s="32" t="str">
        <x:v>Manage cloud resources and build applications through command-line tools and language SDKs.</x:v>
      </x:c>
      <x:c r="H175" s="32" t="str">
        <x:v>Exact</x:v>
      </x:c>
      <x:c r="I175" s="32"/>
      <x:c r="J175" s="32" t="str">
        <x:v>https://docs.aws.amazon.com/whitepapers/latest/aws-overview/aws-services.html</x:v>
      </x:c>
      <x:c r="K175" s="32" t="str">
        <x:v>2026-07-12</x:v>
      </x:c>
    </x:row>
    <x:row r="176">
      <x:c r="A176" s="32" t="str">
        <x:v>AWS</x:v>
      </x:c>
      <x:c r="B176" s="32" t="str">
        <x:v>AWS Cloud Map</x:v>
      </x:c>
      <x:c r="C176" s="32" t="str">
        <x:v>Named service / product family</x:v>
      </x:c>
      <x:c r="D176" s="32" t="str">
        <x:v>Networking</x:v>
      </x:c>
      <x:c r="E176" s="32" t="str">
        <x:v>Service discovery</x:v>
      </x:c>
      <x:c r="F176" s="32" t="str">
        <x:v>Service discovery</x:v>
      </x:c>
      <x:c r="G176" s="32" t="str">
        <x:v>Register and discover services by logical name and health.</x:v>
      </x:c>
      <x:c r="H176" s="32" t="str">
        <x:v>Close</x:v>
      </x:c>
      <x:c r="I176" s="32"/>
      <x:c r="J176" s="32" t="str">
        <x:v>https://docs.aws.amazon.com/whitepapers/latest/aws-overview/aws-services.html</x:v>
      </x:c>
      <x:c r="K176" s="32" t="str">
        <x:v>2026-07-12</x:v>
      </x:c>
    </x:row>
    <x:row r="177">
      <x:c r="A177" s="32" t="str">
        <x:v>AWS</x:v>
      </x:c>
      <x:c r="B177" s="32" t="str">
        <x:v>AWS Cloud WAN</x:v>
      </x:c>
      <x:c r="C177" s="32" t="str">
        <x:v>Named service / product family</x:v>
      </x:c>
      <x:c r="D177" s="32" t="str">
        <x:v>Networking</x:v>
      </x:c>
      <x:c r="E177" s="32" t="str">
        <x:v>Network management
Transit networking</x:v>
      </x:c>
      <x:c r="F177" s="32" t="str">
        <x:v>Central network management
Cloud network transit hub</x:v>
      </x:c>
      <x:c r="G177" s="32" t="str">
        <x:v>Connect many virtual networks, branches and hybrid links through a central hub.</x:v>
      </x:c>
      <x:c r="H177" s="32" t="str">
        <x:v>Close</x:v>
      </x:c>
      <x:c r="I177" s="32"/>
      <x:c r="J177" s="32" t="str">
        <x:v>https://docs.aws.amazon.com/whitepapers/latest/aws-overview/aws-services.html</x:v>
      </x:c>
      <x:c r="K177" s="32" t="str">
        <x:v>2026-07-12</x:v>
      </x:c>
    </x:row>
    <x:row r="178">
      <x:c r="A178" s="32" t="str">
        <x:v>AWS</x:v>
      </x:c>
      <x:c r="B178" s="32" t="str">
        <x:v>AWS Cloud9</x:v>
      </x:c>
      <x:c r="C178" s="32" t="str">
        <x:v>Named service / product family</x:v>
      </x:c>
      <x:c r="D178" s="32" t="str">
        <x:v>Developer Tools &amp; DevOps</x:v>
      </x:c>
      <x:c r="E178" s="32" t="str">
        <x:v>Cloud IDE</x:v>
      </x:c>
      <x:c r="F178" s="32" t="str">
        <x:v>Browser-based cloud development environment</x:v>
      </x:c>
      <x:c r="G178" s="32" t="str">
        <x:v>Provide managed browser-accessible development environments connected to cloud resources.</x:v>
      </x:c>
      <x:c r="H178" s="32" t="str">
        <x:v>Close</x:v>
      </x:c>
      <x:c r="I178" s="32"/>
      <x:c r="J178" s="32" t="str">
        <x:v>https://docs.aws.amazon.com/whitepapers/latest/aws-overview/aws-services.html</x:v>
      </x:c>
      <x:c r="K178" s="32" t="str">
        <x:v>2026-07-12</x:v>
      </x:c>
    </x:row>
    <x:row r="179">
      <x:c r="A179" s="32" t="str">
        <x:v>AWS</x:v>
      </x:c>
      <x:c r="B179" s="32" t="str">
        <x:v>AWS CloudFormation</x:v>
      </x:c>
      <x:c r="C179" s="32" t="str">
        <x:v>Named service / product family</x:v>
      </x:c>
      <x:c r="D179" s="32" t="str">
        <x:v>Governance &amp; Management</x:v>
      </x:c>
      <x:c r="E179" s="32" t="str">
        <x:v>Infrastructure as code</x:v>
      </x:c>
      <x:c r="F179" s="32" t="str">
        <x:v>Native infrastructure as code</x:v>
      </x:c>
      <x:c r="G179" s="32" t="str">
        <x:v>Provision and manage cloud resources from declarative templates.</x:v>
      </x:c>
      <x:c r="H179" s="32" t="str">
        <x:v>Close</x:v>
      </x:c>
      <x:c r="I179" s="32"/>
      <x:c r="J179" s="32" t="str">
        <x:v>https://docs.aws.amazon.com/whitepapers/latest/aws-overview/aws-services.html</x:v>
      </x:c>
      <x:c r="K179" s="32" t="str">
        <x:v>2026-07-12</x:v>
      </x:c>
    </x:row>
    <x:row r="180">
      <x:c r="A180" s="32" t="str">
        <x:v>AWS</x:v>
      </x:c>
      <x:c r="B180" s="32" t="str">
        <x:v>AWS CloudHSM</x:v>
      </x:c>
      <x:c r="C180" s="32" t="str">
        <x:v>Named service / product family</x:v>
      </x:c>
      <x:c r="D180" s="32" t="str">
        <x:v>Security, Identity &amp; Compliance</x:v>
      </x:c>
      <x:c r="E180" s="32" t="str">
        <x:v>HSM</x:v>
      </x:c>
      <x:c r="F180" s="32" t="str">
        <x:v>Dedicated cloud HSM</x:v>
      </x:c>
      <x:c r="G180" s="32" t="str">
        <x:v>Use dedicated hardware security modules under customer control.</x:v>
      </x:c>
      <x:c r="H180" s="32" t="str">
        <x:v>Exact</x:v>
      </x:c>
      <x:c r="I180" s="32"/>
      <x:c r="J180" s="32" t="str">
        <x:v>https://docs.aws.amazon.com/whitepapers/latest/aws-overview/aws-services.html</x:v>
      </x:c>
      <x:c r="K180" s="32" t="str">
        <x:v>2026-07-12</x:v>
      </x:c>
    </x:row>
    <x:row r="181">
      <x:c r="A181" s="32" t="str">
        <x:v>AWS</x:v>
      </x:c>
      <x:c r="B181" s="32" t="str">
        <x:v>AWS CloudShell</x:v>
      </x:c>
      <x:c r="C181" s="32" t="str">
        <x:v>Named service / product family</x:v>
      </x:c>
      <x:c r="D181" s="32" t="str">
        <x:v>Developer Tools &amp; DevOps</x:v>
      </x:c>
      <x:c r="E181" s="32" t="str">
        <x:v>Cloud IDE</x:v>
      </x:c>
      <x:c r="F181" s="32" t="str">
        <x:v>Browser-based cloud development environment</x:v>
      </x:c>
      <x:c r="G181" s="32" t="str">
        <x:v>Provide managed browser-accessible development environments connected to cloud resources.</x:v>
      </x:c>
      <x:c r="H181" s="32" t="str">
        <x:v>Close</x:v>
      </x:c>
      <x:c r="I181" s="32"/>
      <x:c r="J181" s="32" t="str">
        <x:v>https://docs.aws.amazon.com/whitepapers/latest/aws-overview/aws-services.html</x:v>
      </x:c>
      <x:c r="K181" s="32" t="str">
        <x:v>2026-07-12</x:v>
      </x:c>
    </x:row>
    <x:row r="182">
      <x:c r="A182" s="32" t="str">
        <x:v>AWS</x:v>
      </x:c>
      <x:c r="B182" s="32" t="str">
        <x:v>AWS CloudTrail</x:v>
      </x:c>
      <x:c r="C182" s="32" t="str">
        <x:v>Named service / product family</x:v>
      </x:c>
      <x:c r="D182" s="32" t="str">
        <x:v>Security, Identity &amp; Compliance</x:v>
      </x:c>
      <x:c r="E182" s="32" t="str">
        <x:v>Audit logs</x:v>
      </x:c>
      <x:c r="F182" s="32" t="str">
        <x:v>Cloud audit trail</x:v>
      </x:c>
      <x:c r="G182" s="32" t="str">
        <x:v>Record administrative and data-access activity for investigation and compliance.</x:v>
      </x:c>
      <x:c r="H182" s="32" t="str">
        <x:v>Exact</x:v>
      </x:c>
      <x:c r="I182" s="32"/>
      <x:c r="J182" s="32" t="str">
        <x:v>https://docs.aws.amazon.com/whitepapers/latest/aws-overview/aws-services.html</x:v>
      </x:c>
      <x:c r="K182" s="32" t="str">
        <x:v>2026-07-12</x:v>
      </x:c>
    </x:row>
    <x:row r="183">
      <x:c r="A183" s="32" t="str">
        <x:v>AWS</x:v>
      </x:c>
      <x:c r="B183" s="32" t="str">
        <x:v>AWS CloudTrail for provider events / AWS support controls</x:v>
      </x:c>
      <x:c r="C183" s="32" t="str">
        <x:v>Product family / combined pattern</x:v>
      </x:c>
      <x:c r="D183" s="32" t="str">
        <x:v>Security, Identity &amp; Compliance</x:v>
      </x:c>
      <x:c r="E183" s="32" t="str">
        <x:v>Access transparency</x:v>
      </x:c>
      <x:c r="F183" s="32" t="str">
        <x:v>Provider access transparency</x:v>
      </x:c>
      <x:c r="G183" s="32" t="str">
        <x:v>Show when and why provider personnel accessed customer content.</x:v>
      </x:c>
      <x:c r="H183" s="32" t="str">
        <x:v>Partial</x:v>
      </x:c>
      <x:c r="I183" s="32"/>
      <x:c r="J183" s="32" t="str">
        <x:v>https://docs.aws.amazon.com/whitepapers/latest/aws-overview/aws-services.html</x:v>
      </x:c>
      <x:c r="K183" s="32" t="str">
        <x:v>2026-07-12</x:v>
      </x:c>
    </x:row>
    <x:row r="184">
      <x:c r="A184" s="32" t="str">
        <x:v>AWS</x:v>
      </x:c>
      <x:c r="B184" s="32" t="str">
        <x:v>AWS CodeArtifact</x:v>
      </x:c>
      <x:c r="C184" s="32" t="str">
        <x:v>Named service / product family</x:v>
      </x:c>
      <x:c r="D184" s="32" t="str">
        <x:v>Developer Tools &amp; DevOps</x:v>
      </x:c>
      <x:c r="E184" s="32" t="str">
        <x:v>Artifacts</x:v>
      </x:c>
      <x:c r="F184" s="32" t="str">
        <x:v>Artifact and package repository</x:v>
      </x:c>
      <x:c r="G184" s="32" t="str">
        <x:v>Store application packages, dependencies and build artifacts.</x:v>
      </x:c>
      <x:c r="H184" s="32" t="str">
        <x:v>Close</x:v>
      </x:c>
      <x:c r="I184" s="32"/>
      <x:c r="J184" s="32" t="str">
        <x:v>https://docs.aws.amazon.com/whitepapers/latest/aws-overview/aws-services.html</x:v>
      </x:c>
      <x:c r="K184" s="32" t="str">
        <x:v>2026-07-12</x:v>
      </x:c>
    </x:row>
    <x:row r="185">
      <x:c r="A185" s="32" t="str">
        <x:v>AWS</x:v>
      </x:c>
      <x:c r="B185" s="32" t="str">
        <x:v>AWS CodeBuild</x:v>
      </x:c>
      <x:c r="C185" s="32" t="str">
        <x:v>Named service / product family</x:v>
      </x:c>
      <x:c r="D185" s="32" t="str">
        <x:v>Developer Tools &amp; DevOps</x:v>
      </x:c>
      <x:c r="E185" s="32" t="str">
        <x:v>Continuous integration</x:v>
      </x:c>
      <x:c r="F185" s="32" t="str">
        <x:v>Managed continuous integration</x:v>
      </x:c>
      <x:c r="G185" s="32" t="str">
        <x:v>Build and test source code in automated pipelines.</x:v>
      </x:c>
      <x:c r="H185" s="32" t="str">
        <x:v>Close</x:v>
      </x:c>
      <x:c r="I185" s="32"/>
      <x:c r="J185" s="32" t="str">
        <x:v>https://docs.aws.amazon.com/whitepapers/latest/aws-overview/aws-services.html</x:v>
      </x:c>
      <x:c r="K185" s="32" t="str">
        <x:v>2026-07-12</x:v>
      </x:c>
    </x:row>
    <x:row r="186">
      <x:c r="A186" s="32" t="str">
        <x:v>AWS</x:v>
      </x:c>
      <x:c r="B186" s="32" t="str">
        <x:v>AWS CodeCatalyst</x:v>
      </x:c>
      <x:c r="C186" s="32" t="str">
        <x:v>Named service / product family</x:v>
      </x:c>
      <x:c r="D186" s="32" t="str">
        <x:v>Developer Tools &amp; DevOps</x:v>
      </x:c>
      <x:c r="E186" s="32" t="str">
        <x:v>Continuous integration</x:v>
      </x:c>
      <x:c r="F186" s="32" t="str">
        <x:v>Managed continuous integration</x:v>
      </x:c>
      <x:c r="G186" s="32" t="str">
        <x:v>Build and test source code in automated pipelines.</x:v>
      </x:c>
      <x:c r="H186" s="32" t="str">
        <x:v>Close</x:v>
      </x:c>
      <x:c r="I186" s="32"/>
      <x:c r="J186" s="32" t="str">
        <x:v>https://docs.aws.amazon.com/whitepapers/latest/aws-overview/aws-services.html</x:v>
      </x:c>
      <x:c r="K186" s="32" t="str">
        <x:v>2026-07-12</x:v>
      </x:c>
    </x:row>
    <x:row r="187">
      <x:c r="A187" s="32" t="str">
        <x:v>AWS</x:v>
      </x:c>
      <x:c r="B187" s="32" t="str">
        <x:v>AWS CodeCommit</x:v>
      </x:c>
      <x:c r="C187" s="32" t="str">
        <x:v>Named service / product family</x:v>
      </x:c>
      <x:c r="D187" s="32" t="str">
        <x:v>Developer Tools &amp; DevOps</x:v>
      </x:c>
      <x:c r="E187" s="32" t="str">
        <x:v>Source control</x:v>
      </x:c>
      <x:c r="F187" s="32" t="str">
        <x:v>Managed Git repositories</x:v>
      </x:c>
      <x:c r="G187" s="32" t="str">
        <x:v>Host private Git repositories with access control and development integrations.</x:v>
      </x:c>
      <x:c r="H187" s="32" t="str">
        <x:v>Close</x:v>
      </x:c>
      <x:c r="I187" s="32"/>
      <x:c r="J187" s="32" t="str">
        <x:v>https://docs.aws.amazon.com/whitepapers/latest/aws-overview/aws-services.html</x:v>
      </x:c>
      <x:c r="K187" s="32" t="str">
        <x:v>2026-07-12</x:v>
      </x:c>
    </x:row>
    <x:row r="188">
      <x:c r="A188" s="32" t="str">
        <x:v>AWS</x:v>
      </x:c>
      <x:c r="B188" s="32" t="str">
        <x:v>AWS CodeDeploy</x:v>
      </x:c>
      <x:c r="C188" s="32" t="str">
        <x:v>Named service / product family</x:v>
      </x:c>
      <x:c r="D188" s="32" t="str">
        <x:v>Developer Tools &amp; DevOps</x:v>
      </x:c>
      <x:c r="E188" s="32" t="str">
        <x:v>Continuous delivery</x:v>
      </x:c>
      <x:c r="F188" s="32" t="str">
        <x:v>Managed continuous delivery</x:v>
      </x:c>
      <x:c r="G188" s="32" t="str">
        <x:v>Deploy application and infrastructure changes through controlled release pipelines.</x:v>
      </x:c>
      <x:c r="H188" s="32" t="str">
        <x:v>Close</x:v>
      </x:c>
      <x:c r="I188" s="32"/>
      <x:c r="J188" s="32" t="str">
        <x:v>https://docs.aws.amazon.com/whitepapers/latest/aws-overview/aws-services.html</x:v>
      </x:c>
      <x:c r="K188" s="32" t="str">
        <x:v>2026-07-12</x:v>
      </x:c>
    </x:row>
    <x:row r="189">
      <x:c r="A189" s="32" t="str">
        <x:v>AWS</x:v>
      </x:c>
      <x:c r="B189" s="32" t="str">
        <x:v>AWS CodePipeline</x:v>
      </x:c>
      <x:c r="C189" s="32" t="str">
        <x:v>Named service / product family</x:v>
      </x:c>
      <x:c r="D189" s="32" t="str">
        <x:v>Developer Tools &amp; DevOps</x:v>
      </x:c>
      <x:c r="E189" s="32" t="str">
        <x:v>Continuous delivery</x:v>
      </x:c>
      <x:c r="F189" s="32" t="str">
        <x:v>Managed continuous delivery</x:v>
      </x:c>
      <x:c r="G189" s="32" t="str">
        <x:v>Deploy application and infrastructure changes through controlled release pipelines.</x:v>
      </x:c>
      <x:c r="H189" s="32" t="str">
        <x:v>Close</x:v>
      </x:c>
      <x:c r="I189" s="32"/>
      <x:c r="J189" s="32" t="str">
        <x:v>https://docs.aws.amazon.com/whitepapers/latest/aws-overview/aws-services.html</x:v>
      </x:c>
      <x:c r="K189" s="32" t="str">
        <x:v>2026-07-12</x:v>
      </x:c>
    </x:row>
    <x:row r="190">
      <x:c r="A190" s="32" t="str">
        <x:v>AWS</x:v>
      </x:c>
      <x:c r="B190" s="32" t="str">
        <x:v>AWS Compute Optimizer</x:v>
      </x:c>
      <x:c r="C190" s="32" t="str">
        <x:v>Named service / product family</x:v>
      </x:c>
      <x:c r="D190" s="32" t="str">
        <x:v>FinOps &amp; Commercial</x:v>
      </x:c>
      <x:c r="E190" s="32" t="str">
        <x:v>Cost management</x:v>
      </x:c>
      <x:c r="F190" s="32" t="str">
        <x:v>Cost analysis and optimisation</x:v>
      </x:c>
      <x:c r="G190" s="32" t="str">
        <x:v>Analyse cloud spend, allocation, trends and optimisation opportunities.</x:v>
      </x:c>
      <x:c r="H190" s="32" t="str">
        <x:v>Close</x:v>
      </x:c>
      <x:c r="I190" s="32"/>
      <x:c r="J190" s="32" t="str">
        <x:v>https://docs.aws.amazon.com/whitepapers/latest/aws-overview/aws-services.html</x:v>
      </x:c>
      <x:c r="K190" s="32" t="str">
        <x:v>2026-07-12</x:v>
      </x:c>
    </x:row>
    <x:row r="191">
      <x:c r="A191" s="32" t="str">
        <x:v>AWS</x:v>
      </x:c>
      <x:c r="B191" s="32" t="str">
        <x:v>AWS Config</x:v>
      </x:c>
      <x:c r="C191" s="32" t="str">
        <x:v>Named service / product family</x:v>
      </x:c>
      <x:c r="D191" s="32" t="str">
        <x:v>Governance &amp; Management</x:v>
      </x:c>
      <x:c r="E191" s="32" t="str">
        <x:v>Configuration management
Policy
Resource inventory</x:v>
      </x:c>
      <x:c r="F191" s="32" t="str">
        <x:v>Cloud asset inventory
Configuration compliance
Organisation policy enforcement</x:v>
      </x:c>
      <x:c r="G191" s="32" t="str">
        <x:v>Define and enforce preventive or detective policies across cloud resources.</x:v>
      </x:c>
      <x:c r="H191" s="32" t="str">
        <x:v>Close</x:v>
      </x:c>
      <x:c r="I191" s="32"/>
      <x:c r="J191" s="32" t="str">
        <x:v>https://docs.aws.amazon.com/whitepapers/latest/aws-overview/aws-services.html</x:v>
      </x:c>
      <x:c r="K191" s="32" t="str">
        <x:v>2026-07-12</x:v>
      </x:c>
    </x:row>
    <x:row r="192">
      <x:c r="A192" s="32" t="str">
        <x:v>AWS</x:v>
      </x:c>
      <x:c r="B192" s="32" t="str">
        <x:v>AWS Control Tower</x:v>
      </x:c>
      <x:c r="C192" s="32" t="str">
        <x:v>Named service / product family</x:v>
      </x:c>
      <x:c r="D192" s="32" t="str">
        <x:v>Governance &amp; Management</x:v>
      </x:c>
      <x:c r="E192" s="32" t="str">
        <x:v>Landing zones</x:v>
      </x:c>
      <x:c r="F192" s="32" t="str">
        <x:v>Enterprise landing zone</x:v>
      </x:c>
      <x:c r="G192" s="32" t="str">
        <x:v>Establish a governed multi-account or multi-subscription cloud foundation.</x:v>
      </x:c>
      <x:c r="H192" s="32" t="str">
        <x:v>Close</x:v>
      </x:c>
      <x:c r="I192" s="32" t="str">
        <x:v>Landing-zone implementations combine products, policies and reference architecture.</x:v>
      </x:c>
      <x:c r="J192" s="32" t="str">
        <x:v>https://docs.aws.amazon.com/whitepapers/latest/aws-overview/aws-services.html</x:v>
      </x:c>
      <x:c r="K192" s="32" t="str">
        <x:v>2026-07-12</x:v>
      </x:c>
    </x:row>
    <x:row r="193">
      <x:c r="A193" s="32" t="str">
        <x:v>AWS</x:v>
      </x:c>
      <x:c r="B193" s="32" t="str">
        <x:v>AWS Cost and Usage Report</x:v>
      </x:c>
      <x:c r="C193" s="32" t="str">
        <x:v>Named service / product family</x:v>
      </x:c>
      <x:c r="D193" s="32" t="str">
        <x:v>FinOps &amp; Commercial</x:v>
      </x:c>
      <x:c r="E193" s="32" t="str">
        <x:v>Billing allocation</x:v>
      </x:c>
      <x:c r="F193" s="32" t="str">
        <x:v>Custom billing and chargeback</x:v>
      </x:c>
      <x:c r="G193" s="32" t="str">
        <x:v>Allocate, group and charge back cloud costs to internal entities.</x:v>
      </x:c>
      <x:c r="H193" s="32" t="str">
        <x:v>Close</x:v>
      </x:c>
      <x:c r="I193" s="32"/>
      <x:c r="J193" s="32" t="str">
        <x:v>https://docs.aws.amazon.com/whitepapers/latest/aws-overview/aws-services.html</x:v>
      </x:c>
      <x:c r="K193" s="32" t="str">
        <x:v>2026-07-12</x:v>
      </x:c>
    </x:row>
    <x:row r="194">
      <x:c r="A194" s="32" t="str">
        <x:v>AWS</x:v>
      </x:c>
      <x:c r="B194" s="32" t="str">
        <x:v>AWS Cost Explorer</x:v>
      </x:c>
      <x:c r="C194" s="32" t="str">
        <x:v>Named service / product family</x:v>
      </x:c>
      <x:c r="D194" s="32" t="str">
        <x:v>FinOps &amp; Commercial</x:v>
      </x:c>
      <x:c r="E194" s="32" t="str">
        <x:v>Cost management</x:v>
      </x:c>
      <x:c r="F194" s="32" t="str">
        <x:v>Cost analysis and optimisation</x:v>
      </x:c>
      <x:c r="G194" s="32" t="str">
        <x:v>Analyse cloud spend, allocation, trends and optimisation opportunities.</x:v>
      </x:c>
      <x:c r="H194" s="32" t="str">
        <x:v>Close</x:v>
      </x:c>
      <x:c r="I194" s="32"/>
      <x:c r="J194" s="32" t="str">
        <x:v>https://docs.aws.amazon.com/whitepapers/latest/aws-overview/aws-services.html</x:v>
      </x:c>
      <x:c r="K194" s="32" t="str">
        <x:v>2026-07-12</x:v>
      </x:c>
    </x:row>
    <x:row r="195">
      <x:c r="A195" s="32" t="str">
        <x:v>AWS</x:v>
      </x:c>
      <x:c r="B195" s="32" t="str">
        <x:v>AWS Customer Carbon Footprint Tool</x:v>
      </x:c>
      <x:c r="C195" s="32" t="str">
        <x:v>Named service / product family</x:v>
      </x:c>
      <x:c r="D195" s="32" t="str">
        <x:v>FinOps &amp; Commercial</x:v>
      </x:c>
      <x:c r="E195" s="32" t="str">
        <x:v>Sustainability</x:v>
      </x:c>
      <x:c r="F195" s="32" t="str">
        <x:v>Cloud carbon reporting</x:v>
      </x:c>
      <x:c r="G195" s="32" t="str">
        <x:v>Estimate carbon emissions associated with cloud usage.</x:v>
      </x:c>
      <x:c r="H195" s="32" t="str">
        <x:v>Close</x:v>
      </x:c>
      <x:c r="I195" s="32"/>
      <x:c r="J195" s="32" t="str">
        <x:v>https://docs.aws.amazon.com/whitepapers/latest/aws-overview/aws-services.html</x:v>
      </x:c>
      <x:c r="K195" s="32" t="str">
        <x:v>2026-07-12</x:v>
      </x:c>
    </x:row>
    <x:row r="196">
      <x:c r="A196" s="32" t="str">
        <x:v>AWS</x:v>
      </x:c>
      <x:c r="B196" s="32" t="str">
        <x:v>AWS Data Exchange</x:v>
      </x:c>
      <x:c r="C196" s="32" t="str">
        <x:v>Named service / product family</x:v>
      </x:c>
      <x:c r="D196" s="32" t="str">
        <x:v>Data, Analytics &amp; BI</x:v>
      </x:c>
      <x:c r="E196" s="32" t="str">
        <x:v>Data sharing</x:v>
      </x:c>
      <x:c r="F196" s="32" t="str">
        <x:v>Governed data sharing</x:v>
      </x:c>
      <x:c r="G196" s="32" t="str">
        <x:v>Share datasets with internal or external consumers under controlled access.</x:v>
      </x:c>
      <x:c r="H196" s="32" t="str">
        <x:v>Close</x:v>
      </x:c>
      <x:c r="I196" s="32"/>
      <x:c r="J196" s="32" t="str">
        <x:v>https://docs.aws.amazon.com/whitepapers/latest/aws-overview/aws-services.html</x:v>
      </x:c>
      <x:c r="K196" s="32" t="str">
        <x:v>2026-07-12</x:v>
      </x:c>
    </x:row>
    <x:row r="197">
      <x:c r="A197" s="32" t="str">
        <x:v>AWS</x:v>
      </x:c>
      <x:c r="B197" s="32" t="str">
        <x:v>AWS Database Migration Service</x:v>
      </x:c>
      <x:c r="C197" s="32" t="str">
        <x:v>Named service / product family</x:v>
      </x:c>
      <x:c r="D197" s="32" t="str">
        <x:v>Data, Analytics &amp; BI
Databases</x:v>
      </x:c>
      <x:c r="E197" s="32" t="str">
        <x:v>Data replication
Database migration</x:v>
      </x:c>
      <x:c r="F197" s="32" t="str">
        <x:v>Change data capture and replication
Database migration service</x:v>
      </x:c>
      <x:c r="G197" s="32" t="str">
        <x:v>Assess, replicate and migrate databases with minimal downtime.</x:v>
      </x:c>
      <x:c r="H197" s="32" t="str">
        <x:v>Close, Exact</x:v>
      </x:c>
      <x:c r="I197" s="32"/>
      <x:c r="J197" s="32" t="str">
        <x:v>https://docs.aws.amazon.com/whitepapers/latest/aws-overview/aws-services.html</x:v>
      </x:c>
      <x:c r="K197" s="32" t="str">
        <x:v>2026-07-12</x:v>
      </x:c>
    </x:row>
    <x:row r="198">
      <x:c r="A198" s="32" t="str">
        <x:v>AWS</x:v>
      </x:c>
      <x:c r="B198" s="32" t="str">
        <x:v>AWS DataSync</x:v>
      </x:c>
      <x:c r="C198" s="32" t="str">
        <x:v>Named service / product family</x:v>
      </x:c>
      <x:c r="D198" s="32" t="str">
        <x:v>Migration &amp; Modernisation
Storage</x:v>
      </x:c>
      <x:c r="E198" s="32" t="str">
        <x:v>Cross-cloud data transfer
Data transfer</x:v>
      </x:c>
      <x:c r="F198" s="32" t="str">
        <x:v>Cross-cloud data movement
Online data transfer</x:v>
      </x:c>
      <x:c r="G198" s="32" t="str">
        <x:v>Transfer large datasets between on-premises systems, clouds and cloud storage.</x:v>
      </x:c>
      <x:c r="H198" s="32" t="str">
        <x:v>Close</x:v>
      </x:c>
      <x:c r="I198" s="32"/>
      <x:c r="J198" s="32" t="str">
        <x:v>https://docs.aws.amazon.com/whitepapers/latest/aws-overview/aws-services.html</x:v>
      </x:c>
      <x:c r="K198" s="32" t="str">
        <x:v>2026-07-12</x:v>
      </x:c>
    </x:row>
    <x:row r="199">
      <x:c r="A199" s="32" t="str">
        <x:v>AWS</x:v>
      </x:c>
      <x:c r="B199" s="32" t="str">
        <x:v>AWS DataSync Discovery</x:v>
      </x:c>
      <x:c r="C199" s="32" t="str">
        <x:v>Named service / product family</x:v>
      </x:c>
      <x:c r="D199" s="32" t="str">
        <x:v>Storage</x:v>
      </x:c>
      <x:c r="E199" s="32" t="str">
        <x:v>Storage management</x:v>
      </x:c>
      <x:c r="F199" s="32" t="str">
        <x:v>Storage resource management</x:v>
      </x:c>
      <x:c r="G199" s="32" t="str">
        <x:v>Discover, assess and automate actions across cloud storage resources.</x:v>
      </x:c>
      <x:c r="H199" s="32" t="str">
        <x:v>Partial</x:v>
      </x:c>
      <x:c r="I199" s="32"/>
      <x:c r="J199" s="32" t="str">
        <x:v>https://docs.aws.amazon.com/whitepapers/latest/aws-overview/aws-services.html</x:v>
      </x:c>
      <x:c r="K199" s="32" t="str">
        <x:v>2026-07-12</x:v>
      </x:c>
    </x:row>
    <x:row r="200">
      <x:c r="A200" s="32" t="str">
        <x:v>AWS</x:v>
      </x:c>
      <x:c r="B200" s="32" t="str">
        <x:v>AWS Device Farm</x:v>
      </x:c>
      <x:c r="C200" s="32" t="str">
        <x:v>Named service / product family</x:v>
      </x:c>
      <x:c r="D200" s="32" t="str">
        <x:v>Developer Tools &amp; DevOps</x:v>
      </x:c>
      <x:c r="E200" s="32" t="str">
        <x:v>Testing</x:v>
      </x:c>
      <x:c r="F200" s="32" t="str">
        <x:v>Cloud application testing</x:v>
      </x:c>
      <x:c r="G200" s="32" t="str">
        <x:v>Run browser, mobile or load tests through managed infrastructure.</x:v>
      </x:c>
      <x:c r="H200" s="32" t="str">
        <x:v>Close</x:v>
      </x:c>
      <x:c r="I200" s="32"/>
      <x:c r="J200" s="32" t="str">
        <x:v>https://docs.aws.amazon.com/whitepapers/latest/aws-overview/aws-services.html</x:v>
      </x:c>
      <x:c r="K200" s="32" t="str">
        <x:v>2026-07-12</x:v>
      </x:c>
    </x:row>
    <x:row r="201">
      <x:c r="A201" s="32" t="str">
        <x:v>AWS</x:v>
      </x:c>
      <x:c r="B201" s="32" t="str">
        <x:v>AWS Direct Connect</x:v>
      </x:c>
      <x:c r="C201" s="32" t="str">
        <x:v>Named service / product family</x:v>
      </x:c>
      <x:c r="D201" s="32" t="str">
        <x:v>Networking</x:v>
      </x:c>
      <x:c r="E201" s="32" t="str">
        <x:v>Hybrid connectivity</x:v>
      </x:c>
      <x:c r="F201" s="32" t="str">
        <x:v>Dedicated private connectivity</x:v>
      </x:c>
      <x:c r="G201" s="32" t="str">
        <x:v>Connect data centres to cloud through dedicated private circuits.</x:v>
      </x:c>
      <x:c r="H201" s="32" t="str">
        <x:v>Exact</x:v>
      </x:c>
      <x:c r="I201" s="32"/>
      <x:c r="J201" s="32" t="str">
        <x:v>https://docs.aws.amazon.com/whitepapers/latest/aws-overview/aws-services.html</x:v>
      </x:c>
      <x:c r="K201" s="32" t="str">
        <x:v>2026-07-12</x:v>
      </x:c>
    </x:row>
    <x:row r="202">
      <x:c r="A202" s="32" t="str">
        <x:v>AWS</x:v>
      </x:c>
      <x:c r="B202" s="32" t="str">
        <x:v>AWS Directory Service</x:v>
      </x:c>
      <x:c r="C202" s="32" t="str">
        <x:v>Named service / product family</x:v>
      </x:c>
      <x:c r="D202" s="32" t="str">
        <x:v>Security, Identity &amp; Compliance</x:v>
      </x:c>
      <x:c r="E202" s="32" t="str">
        <x:v>Directory</x:v>
      </x:c>
      <x:c r="F202" s="32" t="str">
        <x:v>Managed directory service</x:v>
      </x:c>
      <x:c r="G202" s="32" t="str">
        <x:v>Provide managed directory and domain services for enterprise workloads.</x:v>
      </x:c>
      <x:c r="H202" s="32" t="str">
        <x:v>Exact</x:v>
      </x:c>
      <x:c r="I202" s="32"/>
      <x:c r="J202" s="32" t="str">
        <x:v>https://docs.aws.amazon.com/whitepapers/latest/aws-overview/aws-services.html</x:v>
      </x:c>
      <x:c r="K202" s="32" t="str">
        <x:v>2026-07-12</x:v>
      </x:c>
    </x:row>
    <x:row r="203">
      <x:c r="A203" s="32" t="str">
        <x:v>AWS</x:v>
      </x:c>
      <x:c r="B203" s="32" t="str">
        <x:v>AWS Elastic Beanstalk</x:v>
      </x:c>
      <x:c r="C203" s="32" t="str">
        <x:v>Named service / product family</x:v>
      </x:c>
      <x:c r="D203" s="32" t="str">
        <x:v>Compute &amp; Application Hosting</x:v>
      </x:c>
      <x:c r="E203" s="32" t="str">
        <x:v>Application PaaS</x:v>
      </x:c>
      <x:c r="F203" s="32" t="str">
        <x:v>Managed web application platform</x:v>
      </x:c>
      <x:c r="G203" s="32" t="str">
        <x:v>Deploy web applications and APIs on a managed runtime platform.</x:v>
      </x:c>
      <x:c r="H203" s="32" t="str">
        <x:v>Close</x:v>
      </x:c>
      <x:c r="I203" s="32"/>
      <x:c r="J203" s="32" t="str">
        <x:v>https://docs.aws.amazon.com/whitepapers/latest/aws-overview/aws-services.html</x:v>
      </x:c>
      <x:c r="K203" s="32" t="str">
        <x:v>2026-07-12</x:v>
      </x:c>
    </x:row>
    <x:row r="204">
      <x:c r="A204" s="32" t="str">
        <x:v>AWS</x:v>
      </x:c>
      <x:c r="B204" s="32" t="str">
        <x:v>AWS Elastic Disaster Recovery</x:v>
      </x:c>
      <x:c r="C204" s="32" t="str">
        <x:v>Named service / product family</x:v>
      </x:c>
      <x:c r="D204" s="32" t="str">
        <x:v>Storage</x:v>
      </x:c>
      <x:c r="E204" s="32" t="str">
        <x:v>Disaster recovery</x:v>
      </x:c>
      <x:c r="F204" s="32" t="str">
        <x:v>Managed disaster recovery</x:v>
      </x:c>
      <x:c r="G204" s="32" t="str">
        <x:v>Replicate and recover workloads to meet recovery objectives.</x:v>
      </x:c>
      <x:c r="H204" s="32" t="str">
        <x:v>Close</x:v>
      </x:c>
      <x:c r="I204" s="32"/>
      <x:c r="J204" s="32" t="str">
        <x:v>https://docs.aws.amazon.com/whitepapers/latest/aws-overview/aws-services.html</x:v>
      </x:c>
      <x:c r="K204" s="32" t="str">
        <x:v>2026-07-12</x:v>
      </x:c>
    </x:row>
    <x:row r="205">
      <x:c r="A205" s="32" t="str">
        <x:v>AWS</x:v>
      </x:c>
      <x:c r="B205" s="32" t="str">
        <x:v>AWS Elemental MediaConnect</x:v>
      </x:c>
      <x:c r="C205" s="32" t="str">
        <x:v>Named service / product family</x:v>
      </x:c>
      <x:c r="D205" s="32" t="str">
        <x:v>Media &amp; Communications</x:v>
      </x:c>
      <x:c r="E205" s="32" t="str">
        <x:v>Video transport</x:v>
      </x:c>
      <x:c r="F205" s="32" t="str">
        <x:v>Live video transport</x:v>
      </x:c>
      <x:c r="G205" s="32" t="str">
        <x:v>Reliably transport high-quality live video between sites, partners and cloud workflows.</x:v>
      </x:c>
      <x:c r="H205" s="32" t="str">
        <x:v>Partial</x:v>
      </x:c>
      <x:c r="I205" s="32"/>
      <x:c r="J205" s="32" t="str">
        <x:v>https://docs.aws.amazon.com/whitepapers/latest/aws-overview/aws-services.html</x:v>
      </x:c>
      <x:c r="K205" s="32" t="str">
        <x:v>2026-07-12</x:v>
      </x:c>
    </x:row>
    <x:row r="206">
      <x:c r="A206" s="32" t="str">
        <x:v>AWS</x:v>
      </x:c>
      <x:c r="B206" s="32" t="str">
        <x:v>AWS Elemental MediaConvert</x:v>
      </x:c>
      <x:c r="C206" s="32" t="str">
        <x:v>Named service / product family</x:v>
      </x:c>
      <x:c r="D206" s="32" t="str">
        <x:v>Media &amp; Communications</x:v>
      </x:c>
      <x:c r="E206" s="32" t="str">
        <x:v>Media transcoding</x:v>
      </x:c>
      <x:c r="F206" s="32" t="str">
        <x:v>File-based media transcoding</x:v>
      </x:c>
      <x:c r="G206" s="32" t="str">
        <x:v>Convert stored audio and video into delivery-ready formats and renditions.</x:v>
      </x:c>
      <x:c r="H206" s="32" t="str">
        <x:v>Partial</x:v>
      </x:c>
      <x:c r="I206" s="32" t="str">
        <x:v>Azure Media Services was retired; current Azure architectures use partner solutions and general compute/services.</x:v>
      </x:c>
      <x:c r="J206" s="32" t="str">
        <x:v>https://docs.aws.amazon.com/whitepapers/latest/aws-overview/aws-services.html</x:v>
      </x:c>
      <x:c r="K206" s="32" t="str">
        <x:v>2026-07-12</x:v>
      </x:c>
    </x:row>
    <x:row r="207">
      <x:c r="A207" s="32" t="str">
        <x:v>AWS</x:v>
      </x:c>
      <x:c r="B207" s="32" t="str">
        <x:v>AWS Elemental MediaLive</x:v>
      </x:c>
      <x:c r="C207" s="32" t="str">
        <x:v>Named service / product family</x:v>
      </x:c>
      <x:c r="D207" s="32" t="str">
        <x:v>Media &amp; Communications</x:v>
      </x:c>
      <x:c r="E207" s="32" t="str">
        <x:v>Live video processing</x:v>
      </x:c>
      <x:c r="F207" s="32" t="str">
        <x:v>Live video encoding</x:v>
      </x:c>
      <x:c r="G207" s="32" t="str">
        <x:v>Encode and transform live video streams for broadcast and online distribution.</x:v>
      </x:c>
      <x:c r="H207" s="32" t="str">
        <x:v>Partial</x:v>
      </x:c>
      <x:c r="I207" s="32"/>
      <x:c r="J207" s="32" t="str">
        <x:v>https://docs.aws.amazon.com/whitepapers/latest/aws-overview/aws-services.html</x:v>
      </x:c>
      <x:c r="K207" s="32" t="str">
        <x:v>2026-07-12</x:v>
      </x:c>
    </x:row>
    <x:row r="208">
      <x:c r="A208" s="32" t="str">
        <x:v>AWS</x:v>
      </x:c>
      <x:c r="B208" s="32" t="str">
        <x:v>AWS Elemental MediaPackage</x:v>
      </x:c>
      <x:c r="C208" s="32" t="str">
        <x:v>Named service / product family</x:v>
      </x:c>
      <x:c r="D208" s="32" t="str">
        <x:v>Media &amp; Communications</x:v>
      </x:c>
      <x:c r="E208" s="32" t="str">
        <x:v>Video packaging</x:v>
      </x:c>
      <x:c r="F208" s="32" t="str">
        <x:v>Video packaging and origin</x:v>
      </x:c>
      <x:c r="G208" s="32" t="str">
        <x:v>Package live or on-demand video into streaming formats and serve manifests.</x:v>
      </x:c>
      <x:c r="H208" s="32" t="str">
        <x:v>Partial</x:v>
      </x:c>
      <x:c r="I208" s="32"/>
      <x:c r="J208" s="32" t="str">
        <x:v>https://docs.aws.amazon.com/whitepapers/latest/aws-overview/aws-services.html</x:v>
      </x:c>
      <x:c r="K208" s="32" t="str">
        <x:v>2026-07-12</x:v>
      </x:c>
    </x:row>
    <x:row r="209">
      <x:c r="A209" s="32" t="str">
        <x:v>AWS</x:v>
      </x:c>
      <x:c r="B209" s="32" t="str">
        <x:v>AWS Elemental MediaStore</x:v>
      </x:c>
      <x:c r="C209" s="32" t="str">
        <x:v>Named service / product family</x:v>
      </x:c>
      <x:c r="D209" s="32" t="str">
        <x:v>Media &amp; Communications</x:v>
      </x:c>
      <x:c r="E209" s="32" t="str">
        <x:v>Video packaging</x:v>
      </x:c>
      <x:c r="F209" s="32" t="str">
        <x:v>Video packaging and origin</x:v>
      </x:c>
      <x:c r="G209" s="32" t="str">
        <x:v>Package live or on-demand video into streaming formats and serve manifests.</x:v>
      </x:c>
      <x:c r="H209" s="32" t="str">
        <x:v>Partial</x:v>
      </x:c>
      <x:c r="I209" s="32"/>
      <x:c r="J209" s="32" t="str">
        <x:v>https://docs.aws.amazon.com/whitepapers/latest/aws-overview/aws-services.html</x:v>
      </x:c>
      <x:c r="K209" s="32" t="str">
        <x:v>2026-07-12</x:v>
      </x:c>
    </x:row>
    <x:row r="210">
      <x:c r="A210" s="32" t="str">
        <x:v>AWS</x:v>
      </x:c>
      <x:c r="B210" s="32" t="str">
        <x:v>AWS Elemental MediaTailor</x:v>
      </x:c>
      <x:c r="C210" s="32" t="str">
        <x:v>Named service / product family</x:v>
      </x:c>
      <x:c r="D210" s="32" t="str">
        <x:v>Media &amp; Communications</x:v>
      </x:c>
      <x:c r="E210" s="32" t="str">
        <x:v>Ad insertion</x:v>
      </x:c>
      <x:c r="F210" s="32" t="str">
        <x:v>Server-side ad insertion</x:v>
      </x:c>
      <x:c r="G210" s="32" t="str">
        <x:v>Personalise and insert advertising into streaming video on the server side.</x:v>
      </x:c>
      <x:c r="H210" s="32" t="str">
        <x:v>Partial</x:v>
      </x:c>
      <x:c r="I210" s="32"/>
      <x:c r="J210" s="32" t="str">
        <x:v>https://docs.aws.amazon.com/whitepapers/latest/aws-overview/aws-services.html</x:v>
      </x:c>
      <x:c r="K210" s="32" t="str">
        <x:v>2026-07-12</x:v>
      </x:c>
    </x:row>
    <x:row r="211">
      <x:c r="A211" s="32" t="str">
        <x:v>AWS</x:v>
      </x:c>
      <x:c r="B211" s="32" t="str">
        <x:v>AWS Entity Resolution</x:v>
      </x:c>
      <x:c r="C211" s="32" t="str">
        <x:v>Named service / product family</x:v>
      </x:c>
      <x:c r="D211" s="32" t="str">
        <x:v>Data, Analytics &amp; BI</x:v>
      </x:c>
      <x:c r="E211" s="32" t="str">
        <x:v>Entity resolution</x:v>
      </x:c>
      <x:c r="F211" s="32" t="str">
        <x:v>Entity matching</x:v>
      </x:c>
      <x:c r="G211" s="32" t="str">
        <x:v>Match and link records that refer to the same real-world entity.</x:v>
      </x:c>
      <x:c r="H211" s="32" t="str">
        <x:v>Partial</x:v>
      </x:c>
      <x:c r="I211" s="32"/>
      <x:c r="J211" s="32" t="str">
        <x:v>https://docs.aws.amazon.com/whitepapers/latest/aws-overview/aws-services.html</x:v>
      </x:c>
      <x:c r="K211" s="32" t="str">
        <x:v>2026-07-12</x:v>
      </x:c>
    </x:row>
    <x:row r="212">
      <x:c r="A212" s="32" t="str">
        <x:v>AWS</x:v>
      </x:c>
      <x:c r="B212" s="32" t="str">
        <x:v>AWS European Sovereign Cloud / AWS Dedicated Local Zones</x:v>
      </x:c>
      <x:c r="C212" s="32" t="str">
        <x:v>Product family / combined pattern</x:v>
      </x:c>
      <x:c r="D212" s="32" t="str">
        <x:v>Industry &amp; Specialist</x:v>
      </x:c>
      <x:c r="E212" s="32" t="str">
        <x:v>Sovereign cloud</x:v>
      </x:c>
      <x:c r="F212" s="32" t="str">
        <x:v>Sovereign and regulated cloud controls</x:v>
      </x:c>
      <x:c r="G212" s="32" t="str">
        <x:v>Meet residency, operational sovereignty and regulated-industry control requirements.</x:v>
      </x:c>
      <x:c r="H212" s="32" t="str">
        <x:v>Close</x:v>
      </x:c>
      <x:c r="I212" s="32"/>
      <x:c r="J212" s="32" t="str">
        <x:v>https://docs.aws.amazon.com/whitepapers/latest/aws-overview/aws-services.html</x:v>
      </x:c>
      <x:c r="K212" s="32" t="str">
        <x:v>2026-07-12</x:v>
      </x:c>
    </x:row>
    <x:row r="213">
      <x:c r="A213" s="32" t="str">
        <x:v>AWS</x:v>
      </x:c>
      <x:c r="B213" s="32" t="str">
        <x:v>AWS Fargate</x:v>
      </x:c>
      <x:c r="C213" s="32" t="str">
        <x:v>Named service / product family</x:v>
      </x:c>
      <x:c r="D213" s="32" t="str">
        <x:v>Compute &amp; Application Hosting</x:v>
      </x:c>
      <x:c r="E213" s="32" t="str">
        <x:v>Container PaaS
Container instances</x:v>
      </x:c>
      <x:c r="F213" s="32" t="str">
        <x:v>Serverless container application platform
Serverless container instances</x:v>
      </x:c>
      <x:c r="G213" s="32" t="str">
        <x:v>Run containers without directly managing virtual machines or Kubernetes clusters.</x:v>
      </x:c>
      <x:c r="H213" s="32" t="str">
        <x:v>Close</x:v>
      </x:c>
      <x:c r="I213" s="32"/>
      <x:c r="J213" s="32" t="str">
        <x:v>https://docs.aws.amazon.com/whitepapers/latest/aws-overview/aws-services.html</x:v>
      </x:c>
      <x:c r="K213" s="32" t="str">
        <x:v>2026-07-12</x:v>
      </x:c>
    </x:row>
    <x:row r="214">
      <x:c r="A214" s="32" t="str">
        <x:v>AWS</x:v>
      </x:c>
      <x:c r="B214" s="32" t="str">
        <x:v>AWS Fault Injection Service</x:v>
      </x:c>
      <x:c r="C214" s="32" t="str">
        <x:v>Named service / product family</x:v>
      </x:c>
      <x:c r="D214" s="32" t="str">
        <x:v>Developer Tools &amp; DevOps</x:v>
      </x:c>
      <x:c r="E214" s="32" t="str">
        <x:v>Chaos engineering</x:v>
      </x:c>
      <x:c r="F214" s="32" t="str">
        <x:v>Fault-injection testing</x:v>
      </x:c>
      <x:c r="G214" s="32" t="str">
        <x:v>Inject controlled failures to validate resilience and recovery behaviour.</x:v>
      </x:c>
      <x:c r="H214" s="32" t="str">
        <x:v>Partial</x:v>
      </x:c>
      <x:c r="I214" s="32"/>
      <x:c r="J214" s="32" t="str">
        <x:v>https://docs.aws.amazon.com/whitepapers/latest/aws-overview/aws-services.html</x:v>
      </x:c>
      <x:c r="K214" s="32" t="str">
        <x:v>2026-07-12</x:v>
      </x:c>
    </x:row>
    <x:row r="215">
      <x:c r="A215" s="32" t="str">
        <x:v>AWS</x:v>
      </x:c>
      <x:c r="B215" s="32" t="str">
        <x:v>AWS Firewall Manager</x:v>
      </x:c>
      <x:c r="C215" s="32" t="str">
        <x:v>Named service / product family</x:v>
      </x:c>
      <x:c r="D215" s="32" t="str">
        <x:v>Security, Identity &amp; Compliance</x:v>
      </x:c>
      <x:c r="E215" s="32" t="str">
        <x:v>Firewall governance</x:v>
      </x:c>
      <x:c r="F215" s="32" t="str">
        <x:v>Central firewall policy management</x:v>
      </x:c>
      <x:c r="G215" s="32" t="str">
        <x:v>Centrally deploy and govern firewall and web-protection policies.</x:v>
      </x:c>
      <x:c r="H215" s="32" t="str">
        <x:v>Close</x:v>
      </x:c>
      <x:c r="I215" s="32"/>
      <x:c r="J215" s="32" t="str">
        <x:v>https://docs.aws.amazon.com/whitepapers/latest/aws-overview/aws-services.html</x:v>
      </x:c>
      <x:c r="K215" s="32" t="str">
        <x:v>2026-07-12</x:v>
      </x:c>
    </x:row>
    <x:row r="216">
      <x:c r="A216" s="32" t="str">
        <x:v>AWS</x:v>
      </x:c>
      <x:c r="B216" s="32" t="str">
        <x:v>AWS Global Accelerator</x:v>
      </x:c>
      <x:c r="C216" s="32" t="str">
        <x:v>Named service / product family</x:v>
      </x:c>
      <x:c r="D216" s="32" t="str">
        <x:v>Networking</x:v>
      </x:c>
      <x:c r="E216" s="32" t="str">
        <x:v>Global traffic</x:v>
      </x:c>
      <x:c r="F216" s="32" t="str">
        <x:v>Global application acceleration</x:v>
      </x:c>
      <x:c r="G216" s="32" t="str">
        <x:v>Route users to healthy regional endpoints over the provider's global network.</x:v>
      </x:c>
      <x:c r="H216" s="32" t="str">
        <x:v>Close</x:v>
      </x:c>
      <x:c r="I216" s="32"/>
      <x:c r="J216" s="32" t="str">
        <x:v>https://docs.aws.amazon.com/whitepapers/latest/aws-overview/aws-services.html</x:v>
      </x:c>
      <x:c r="K216" s="32" t="str">
        <x:v>2026-07-12</x:v>
      </x:c>
    </x:row>
    <x:row r="217">
      <x:c r="A217" s="32" t="str">
        <x:v>AWS</x:v>
      </x:c>
      <x:c r="B217" s="32" t="str">
        <x:v>AWS Glue</x:v>
      </x:c>
      <x:c r="C217" s="32" t="str">
        <x:v>Named service / product family</x:v>
      </x:c>
      <x:c r="D217" s="32" t="str">
        <x:v>Data, Analytics &amp; BI</x:v>
      </x:c>
      <x:c r="E217" s="32" t="str">
        <x:v>ETL and integration
Lakehouse</x:v>
      </x:c>
      <x:c r="F217" s="32" t="str">
        <x:v>Lakehouse platform
Managed ETL and data integration</x:v>
      </x:c>
      <x:c r="G217" s="32" t="str">
        <x:v>Combine data-lake flexibility with warehouse governance and analytics.</x:v>
      </x:c>
      <x:c r="H217" s="32" t="str">
        <x:v>Close</x:v>
      </x:c>
      <x:c r="I217" s="32"/>
      <x:c r="J217" s="32" t="str">
        <x:v>https://docs.aws.amazon.com/whitepapers/latest/aws-overview/aws-services.html</x:v>
      </x:c>
      <x:c r="K217" s="32" t="str">
        <x:v>2026-07-12</x:v>
      </x:c>
    </x:row>
    <x:row r="218">
      <x:c r="A218" s="32" t="str">
        <x:v>AWS</x:v>
      </x:c>
      <x:c r="B218" s="32" t="str">
        <x:v>AWS Glue Data Catalog</x:v>
      </x:c>
      <x:c r="C218" s="32" t="str">
        <x:v>Named service / product family</x:v>
      </x:c>
      <x:c r="D218" s="32" t="str">
        <x:v>Data, Analytics &amp; BI</x:v>
      </x:c>
      <x:c r="E218" s="32" t="str">
        <x:v>Data catalogue</x:v>
      </x:c>
      <x:c r="F218" s="32" t="str">
        <x:v>Data catalogue and metadata</x:v>
      </x:c>
      <x:c r="G218" s="32" t="str">
        <x:v>Discover, classify and understand data assets through searchable metadata.</x:v>
      </x:c>
      <x:c r="H218" s="32" t="str">
        <x:v>Close</x:v>
      </x:c>
      <x:c r="I218" s="32"/>
      <x:c r="J218" s="32" t="str">
        <x:v>https://docs.aws.amazon.com/whitepapers/latest/aws-overview/aws-services.html</x:v>
      </x:c>
      <x:c r="K218" s="32" t="str">
        <x:v>2026-07-12</x:v>
      </x:c>
    </x:row>
    <x:row r="219">
      <x:c r="A219" s="32" t="str">
        <x:v>AWS</x:v>
      </x:c>
      <x:c r="B219" s="32" t="str">
        <x:v>AWS Glue DataBrew</x:v>
      </x:c>
      <x:c r="C219" s="32" t="str">
        <x:v>Named service / product family</x:v>
      </x:c>
      <x:c r="D219" s="32" t="str">
        <x:v>Data, Analytics &amp; BI</x:v>
      </x:c>
      <x:c r="E219" s="32" t="str">
        <x:v>ELT</x:v>
      </x:c>
      <x:c r="F219" s="32" t="str">
        <x:v>SQL transformation and modelling</x:v>
      </x:c>
      <x:c r="G219" s="32" t="str">
        <x:v>Transform warehouse data through managed SQL development and dependency workflows.</x:v>
      </x:c>
      <x:c r="H219" s="32" t="str">
        <x:v>Close</x:v>
      </x:c>
      <x:c r="I219" s="32"/>
      <x:c r="J219" s="32" t="str">
        <x:v>https://docs.aws.amazon.com/whitepapers/latest/aws-overview/aws-services.html</x:v>
      </x:c>
      <x:c r="K219" s="32" t="str">
        <x:v>2026-07-12</x:v>
      </x:c>
    </x:row>
    <x:row r="220">
      <x:c r="A220" s="32" t="str">
        <x:v>AWS</x:v>
      </x:c>
      <x:c r="B220" s="32" t="str">
        <x:v>AWS Ground Station</x:v>
      </x:c>
      <x:c r="C220" s="32" t="str">
        <x:v>Named service / product family</x:v>
      </x:c>
      <x:c r="D220" s="32" t="str">
        <x:v>Industry &amp; Specialist</x:v>
      </x:c>
      <x:c r="E220" s="32" t="str">
        <x:v>Satellite</x:v>
      </x:c>
      <x:c r="F220" s="32" t="str">
        <x:v>Ground-station as a service</x:v>
      </x:c>
      <x:c r="G220" s="32" t="str">
        <x:v>Schedule satellite contacts and downlink data through managed ground-station infrastructure.</x:v>
      </x:c>
      <x:c r="H220" s="32" t="str">
        <x:v>Close</x:v>
      </x:c>
      <x:c r="I220" s="32"/>
      <x:c r="J220" s="32" t="str">
        <x:v>https://docs.aws.amazon.com/whitepapers/latest/aws-overview/aws-services.html</x:v>
      </x:c>
      <x:c r="K220" s="32" t="str">
        <x:v>2026-07-12</x:v>
      </x:c>
    </x:row>
    <x:row r="221">
      <x:c r="A221" s="32" t="str">
        <x:v>AWS</x:v>
      </x:c>
      <x:c r="B221" s="32" t="str">
        <x:v>AWS Health</x:v>
      </x:c>
      <x:c r="C221" s="32" t="str">
        <x:v>Named service / product family</x:v>
      </x:c>
      <x:c r="D221" s="32" t="str">
        <x:v>Governance &amp; Management
Observability &amp; Reliability</x:v>
      </x:c>
      <x:c r="E221" s="32" t="str">
        <x:v>Health
Status and maintenance</x:v>
      </x:c>
      <x:c r="F221" s="32" t="str">
        <x:v>Maintenance coordination
Personalised cloud service health</x:v>
      </x:c>
      <x:c r="G221" s="32" t="str">
        <x:v>Show provider incidents, planned maintenance and resource-specific impact.</x:v>
      </x:c>
      <x:c r="H221" s="32" t="str">
        <x:v>Close, Exact</x:v>
      </x:c>
      <x:c r="I221" s="32"/>
      <x:c r="J221" s="32" t="str">
        <x:v>https://docs.aws.amazon.com/whitepapers/latest/aws-overview/aws-services.html</x:v>
      </x:c>
      <x:c r="K221" s="32" t="str">
        <x:v>2026-07-12</x:v>
      </x:c>
    </x:row>
    <x:row r="222">
      <x:c r="A222" s="32" t="str">
        <x:v>AWS</x:v>
      </x:c>
      <x:c r="B222" s="32" t="str">
        <x:v>AWS HealthLake</x:v>
      </x:c>
      <x:c r="C222" s="32" t="str">
        <x:v>Named service / product family</x:v>
      </x:c>
      <x:c r="D222" s="32" t="str">
        <x:v>AI &amp; Machine Learning</x:v>
      </x:c>
      <x:c r="E222" s="32" t="str">
        <x:v>Healthcare AI</x:v>
      </x:c>
      <x:c r="F222" s="32" t="str">
        <x:v>Healthcare data and AI</x:v>
      </x:c>
      <x:c r="G222" s="32" t="str">
        <x:v>Ingest, normalise, search and apply AI to healthcare information.</x:v>
      </x:c>
      <x:c r="H222" s="32" t="str">
        <x:v>Close</x:v>
      </x:c>
      <x:c r="I222" s="32"/>
      <x:c r="J222" s="32" t="str">
        <x:v>https://docs.aws.amazon.com/whitepapers/latest/aws-overview/aws-services.html</x:v>
      </x:c>
      <x:c r="K222" s="32" t="str">
        <x:v>2026-07-12</x:v>
      </x:c>
    </x:row>
    <x:row r="223">
      <x:c r="A223" s="32" t="str">
        <x:v>AWS</x:v>
      </x:c>
      <x:c r="B223" s="32" t="str">
        <x:v>AWS HealthScribe</x:v>
      </x:c>
      <x:c r="C223" s="32" t="str">
        <x:v>Named service / product family</x:v>
      </x:c>
      <x:c r="D223" s="32" t="str">
        <x:v>AI &amp; Machine Learning</x:v>
      </x:c>
      <x:c r="E223" s="32" t="str">
        <x:v>Healthcare AI</x:v>
      </x:c>
      <x:c r="F223" s="32" t="str">
        <x:v>Healthcare data and AI</x:v>
      </x:c>
      <x:c r="G223" s="32" t="str">
        <x:v>Ingest, normalise, search and apply AI to healthcare information.</x:v>
      </x:c>
      <x:c r="H223" s="32" t="str">
        <x:v>Close</x:v>
      </x:c>
      <x:c r="I223" s="32"/>
      <x:c r="J223" s="32" t="str">
        <x:v>https://docs.aws.amazon.com/whitepapers/latest/aws-overview/aws-services.html</x:v>
      </x:c>
      <x:c r="K223" s="32" t="str">
        <x:v>2026-07-12</x:v>
      </x:c>
    </x:row>
    <x:row r="224">
      <x:c r="A224" s="32" t="str">
        <x:v>AWS</x:v>
      </x:c>
      <x:c r="B224" s="32" t="str">
        <x:v>AWS Identity and Access Management</x:v>
      </x:c>
      <x:c r="C224" s="32" t="str">
        <x:v>Named service / product family</x:v>
      </x:c>
      <x:c r="D224" s="32" t="str">
        <x:v>Security, Identity &amp; Compliance</x:v>
      </x:c>
      <x:c r="E224" s="32" t="str">
        <x:v>Workforce identity</x:v>
      </x:c>
      <x:c r="F224" s="32" t="str">
        <x:v>Identity and access management</x:v>
      </x:c>
      <x:c r="G224" s="32" t="str">
        <x:v>Authenticate identities and authorise access to cloud resources.</x:v>
      </x:c>
      <x:c r="H224" s="32" t="str">
        <x:v>Close</x:v>
      </x:c>
      <x:c r="I224" s="32"/>
      <x:c r="J224" s="32" t="str">
        <x:v>https://docs.aws.amazon.com/whitepapers/latest/aws-overview/aws-services.html</x:v>
      </x:c>
      <x:c r="K224" s="32" t="str">
        <x:v>2026-07-12</x:v>
      </x:c>
    </x:row>
    <x:row r="225">
      <x:c r="A225" s="32" t="str">
        <x:v>AWS</x:v>
      </x:c>
      <x:c r="B225" s="32" t="str">
        <x:v>AWS Inferentia</x:v>
      </x:c>
      <x:c r="C225" s="32" t="str">
        <x:v>Named service / product family</x:v>
      </x:c>
      <x:c r="D225" s="32" t="str">
        <x:v>AI &amp; Machine Learning</x:v>
      </x:c>
      <x:c r="E225" s="32" t="str">
        <x:v>AI infrastructure</x:v>
      </x:c>
      <x:c r="F225" s="32" t="str">
        <x:v>AI accelerators</x:v>
      </x:c>
      <x:c r="G225" s="32" t="str">
        <x:v>Provide specialised GPU or accelerator infrastructure for training and inference.</x:v>
      </x:c>
      <x:c r="H225" s="32" t="str">
        <x:v>Close</x:v>
      </x:c>
      <x:c r="I225" s="32"/>
      <x:c r="J225" s="32" t="str">
        <x:v>https://docs.aws.amazon.com/whitepapers/latest/aws-overview/aws-services.html</x:v>
      </x:c>
      <x:c r="K225" s="32" t="str">
        <x:v>2026-07-12</x:v>
      </x:c>
    </x:row>
    <x:row r="226">
      <x:c r="A226" s="32" t="str">
        <x:v>AWS</x:v>
      </x:c>
      <x:c r="B226" s="32" t="str">
        <x:v>AWS Infrastructure Composer</x:v>
      </x:c>
      <x:c r="C226" s="32" t="str">
        <x:v>Named service / product family</x:v>
      </x:c>
      <x:c r="D226" s="32" t="str">
        <x:v>Governance &amp; Management</x:v>
      </x:c>
      <x:c r="E226" s="32" t="str">
        <x:v>Infrastructure as code</x:v>
      </x:c>
      <x:c r="F226" s="32" t="str">
        <x:v>Native infrastructure as code</x:v>
      </x:c>
      <x:c r="G226" s="32" t="str">
        <x:v>Provision and manage cloud resources from declarative templates.</x:v>
      </x:c>
      <x:c r="H226" s="32" t="str">
        <x:v>Close</x:v>
      </x:c>
      <x:c r="I226" s="32"/>
      <x:c r="J226" s="32" t="str">
        <x:v>https://docs.aws.amazon.com/whitepapers/latest/aws-overview/aws-services.html</x:v>
      </x:c>
      <x:c r="K226" s="32" t="str">
        <x:v>2026-07-12</x:v>
      </x:c>
    </x:row>
    <x:row r="227">
      <x:c r="A227" s="32" t="str">
        <x:v>AWS</x:v>
      </x:c>
      <x:c r="B227" s="32" t="str">
        <x:v>AWS IoT Core</x:v>
      </x:c>
      <x:c r="C227" s="32" t="str">
        <x:v>Named service / product family</x:v>
      </x:c>
      <x:c r="D227" s="32" t="str">
        <x:v>IoT &amp; Edge</x:v>
      </x:c>
      <x:c r="E227" s="32" t="str">
        <x:v>IoT connectivity</x:v>
      </x:c>
      <x:c r="F227" s="32" t="str">
        <x:v>Managed IoT messaging</x:v>
      </x:c>
      <x:c r="G227" s="32" t="str">
        <x:v>Securely connect devices and exchange telemetry and commands at scale.</x:v>
      </x:c>
      <x:c r="H227" s="32" t="str">
        <x:v>Partial</x:v>
      </x:c>
      <x:c r="I227" s="32" t="str">
        <x:v>Google Cloud retired its first-party IoT Core; current implementations use partners and core platform services.</x:v>
      </x:c>
      <x:c r="J227" s="32" t="str">
        <x:v>https://docs.aws.amazon.com/whitepapers/latest/aws-overview/aws-services.html</x:v>
      </x:c>
      <x:c r="K227" s="32" t="str">
        <x:v>2026-07-12</x:v>
      </x:c>
    </x:row>
    <x:row r="228">
      <x:c r="A228" s="32" t="str">
        <x:v>AWS</x:v>
      </x:c>
      <x:c r="B228" s="32" t="str">
        <x:v>AWS IoT Device Defender</x:v>
      </x:c>
      <x:c r="C228" s="32" t="str">
        <x:v>Named service / product family</x:v>
      </x:c>
      <x:c r="D228" s="32" t="str">
        <x:v>IoT &amp; Edge</x:v>
      </x:c>
      <x:c r="E228" s="32" t="str">
        <x:v>IoT security</x:v>
      </x:c>
      <x:c r="F228" s="32" t="str">
        <x:v>IoT security monitoring</x:v>
      </x:c>
      <x:c r="G228" s="32" t="str">
        <x:v>Audit device configurations and detect anomalous IoT behaviour.</x:v>
      </x:c>
      <x:c r="H228" s="32" t="str">
        <x:v>Partial</x:v>
      </x:c>
      <x:c r="I228" s="32"/>
      <x:c r="J228" s="32" t="str">
        <x:v>https://docs.aws.amazon.com/whitepapers/latest/aws-overview/aws-services.html</x:v>
      </x:c>
      <x:c r="K228" s="32" t="str">
        <x:v>2026-07-12</x:v>
      </x:c>
    </x:row>
    <x:row r="229">
      <x:c r="A229" s="32" t="str">
        <x:v>AWS</x:v>
      </x:c>
      <x:c r="B229" s="32" t="str">
        <x:v>AWS IoT Device Management</x:v>
      </x:c>
      <x:c r="C229" s="32" t="str">
        <x:v>Named service / product family</x:v>
      </x:c>
      <x:c r="D229" s="32" t="str">
        <x:v>IoT &amp; Edge</x:v>
      </x:c>
      <x:c r="E229" s="32" t="str">
        <x:v>Device management</x:v>
      </x:c>
      <x:c r="F229" s="32" t="str">
        <x:v>IoT device management</x:v>
      </x:c>
      <x:c r="G229" s="32" t="str">
        <x:v>Register, organise, monitor and remotely manage device fleets.</x:v>
      </x:c>
      <x:c r="H229" s="32" t="str">
        <x:v>Partial</x:v>
      </x:c>
      <x:c r="I229" s="32"/>
      <x:c r="J229" s="32" t="str">
        <x:v>https://docs.aws.amazon.com/whitepapers/latest/aws-overview/aws-services.html</x:v>
      </x:c>
      <x:c r="K229" s="32" t="str">
        <x:v>2026-07-12</x:v>
      </x:c>
    </x:row>
    <x:row r="230">
      <x:c r="A230" s="32" t="str">
        <x:v>AWS</x:v>
      </x:c>
      <x:c r="B230" s="32" t="str">
        <x:v>AWS IoT Events</x:v>
      </x:c>
      <x:c r="C230" s="32" t="str">
        <x:v>Named service / product family</x:v>
      </x:c>
      <x:c r="D230" s="32" t="str">
        <x:v>IoT &amp; Edge</x:v>
      </x:c>
      <x:c r="E230" s="32" t="str">
        <x:v>Event detection</x:v>
      </x:c>
      <x:c r="F230" s="32" t="str">
        <x:v>IoT event detection</x:v>
      </x:c>
      <x:c r="G230" s="32" t="str">
        <x:v>Detect operational states and events from IoT telemetry.</x:v>
      </x:c>
      <x:c r="H230" s="32" t="str">
        <x:v>Partial</x:v>
      </x:c>
      <x:c r="I230" s="32"/>
      <x:c r="J230" s="32" t="str">
        <x:v>https://docs.aws.amazon.com/whitepapers/latest/aws-overview/aws-services.html</x:v>
      </x:c>
      <x:c r="K230" s="32" t="str">
        <x:v>2026-07-12</x:v>
      </x:c>
    </x:row>
    <x:row r="231">
      <x:c r="A231" s="32" t="str">
        <x:v>AWS</x:v>
      </x:c>
      <x:c r="B231" s="32" t="str">
        <x:v>AWS IoT FleetWise</x:v>
      </x:c>
      <x:c r="C231" s="32" t="str">
        <x:v>Named service / product family</x:v>
      </x:c>
      <x:c r="D231" s="32" t="str">
        <x:v>IoT &amp; Edge</x:v>
      </x:c>
      <x:c r="E231" s="32" t="str">
        <x:v>Vehicle telemetry</x:v>
      </x:c>
      <x:c r="F231" s="32" t="str">
        <x:v>Connected vehicle data</x:v>
      </x:c>
      <x:c r="G231" s="32" t="str">
        <x:v>Collect and process vehicle telemetry and fleet data.</x:v>
      </x:c>
      <x:c r="H231" s="32" t="str">
        <x:v>Partial</x:v>
      </x:c>
      <x:c r="I231" s="32"/>
      <x:c r="J231" s="32" t="str">
        <x:v>https://docs.aws.amazon.com/whitepapers/latest/aws-overview/aws-services.html</x:v>
      </x:c>
      <x:c r="K231" s="32" t="str">
        <x:v>2026-07-12</x:v>
      </x:c>
    </x:row>
    <x:row r="232">
      <x:c r="A232" s="32" t="str">
        <x:v>AWS</x:v>
      </x:c>
      <x:c r="B232" s="32" t="str">
        <x:v>AWS IoT Greengrass</x:v>
      </x:c>
      <x:c r="C232" s="32" t="str">
        <x:v>Named service / product family</x:v>
      </x:c>
      <x:c r="D232" s="32" t="str">
        <x:v>IoT &amp; Edge</x:v>
      </x:c>
      <x:c r="E232" s="32" t="str">
        <x:v>Edge runtime</x:v>
      </x:c>
      <x:c r="F232" s="32" t="str">
        <x:v>IoT edge runtime</x:v>
      </x:c>
      <x:c r="G232" s="32" t="str">
        <x:v>Run local messaging, compute and ML inference on edge devices.</x:v>
      </x:c>
      <x:c r="H232" s="32" t="str">
        <x:v>Partial</x:v>
      </x:c>
      <x:c r="I232" s="32"/>
      <x:c r="J232" s="32" t="str">
        <x:v>https://docs.aws.amazon.com/whitepapers/latest/aws-overview/aws-services.html</x:v>
      </x:c>
      <x:c r="K232" s="32" t="str">
        <x:v>2026-07-12</x:v>
      </x:c>
    </x:row>
    <x:row r="233">
      <x:c r="A233" s="32" t="str">
        <x:v>AWS</x:v>
      </x:c>
      <x:c r="B233" s="32" t="str">
        <x:v>AWS IoT SiteWise</x:v>
      </x:c>
      <x:c r="C233" s="32" t="str">
        <x:v>Named service / product family</x:v>
      </x:c>
      <x:c r="D233" s="32" t="str">
        <x:v>IoT &amp; Edge</x:v>
      </x:c>
      <x:c r="E233" s="32" t="str">
        <x:v>Industrial IoT</x:v>
      </x:c>
      <x:c r="F233" s="32" t="str">
        <x:v>Industrial equipment data platform</x:v>
      </x:c>
      <x:c r="G233" s="32" t="str">
        <x:v>Collect, contextualise and monitor industrial equipment and process data.</x:v>
      </x:c>
      <x:c r="H233" s="32" t="str">
        <x:v>Close</x:v>
      </x:c>
      <x:c r="I233" s="32"/>
      <x:c r="J233" s="32" t="str">
        <x:v>https://docs.aws.amazon.com/whitepapers/latest/aws-overview/aws-services.html</x:v>
      </x:c>
      <x:c r="K233" s="32" t="str">
        <x:v>2026-07-12</x:v>
      </x:c>
    </x:row>
    <x:row r="234">
      <x:c r="A234" s="32" t="str">
        <x:v>AWS</x:v>
      </x:c>
      <x:c r="B234" s="32" t="str">
        <x:v>AWS IoT TwinMaker</x:v>
      </x:c>
      <x:c r="C234" s="32" t="str">
        <x:v>Named service / product family</x:v>
      </x:c>
      <x:c r="D234" s="32" t="str">
        <x:v>IoT &amp; Edge</x:v>
      </x:c>
      <x:c r="E234" s="32" t="str">
        <x:v>Digital twins</x:v>
      </x:c>
      <x:c r="F234" s="32" t="str">
        <x:v>Digital twin platform</x:v>
      </x:c>
      <x:c r="G234" s="32" t="str">
        <x:v>Model physical environments, assets and relationships using digital representations.</x:v>
      </x:c>
      <x:c r="H234" s="32" t="str">
        <x:v>Partial</x:v>
      </x:c>
      <x:c r="I234" s="32"/>
      <x:c r="J234" s="32" t="str">
        <x:v>https://docs.aws.amazon.com/whitepapers/latest/aws-overview/aws-services.html</x:v>
      </x:c>
      <x:c r="K234" s="32" t="str">
        <x:v>2026-07-12</x:v>
      </x:c>
    </x:row>
    <x:row r="235">
      <x:c r="A235" s="32" t="str">
        <x:v>AWS</x:v>
      </x:c>
      <x:c r="B235" s="32" t="str">
        <x:v>AWS Key Management Service</x:v>
      </x:c>
      <x:c r="C235" s="32" t="str">
        <x:v>Named service / product family</x:v>
      </x:c>
      <x:c r="D235" s="32" t="str">
        <x:v>Security, Identity &amp; Compliance</x:v>
      </x:c>
      <x:c r="E235" s="32" t="str">
        <x:v>Keys</x:v>
      </x:c>
      <x:c r="F235" s="32" t="str">
        <x:v>Key management service</x:v>
      </x:c>
      <x:c r="G235" s="32" t="str">
        <x:v>Create and control encryption keys for cloud data and applications.</x:v>
      </x:c>
      <x:c r="H235" s="32" t="str">
        <x:v>Exact</x:v>
      </x:c>
      <x:c r="I235" s="32"/>
      <x:c r="J235" s="32" t="str">
        <x:v>https://docs.aws.amazon.com/whitepapers/latest/aws-overview/aws-services.html</x:v>
      </x:c>
      <x:c r="K235" s="32" t="str">
        <x:v>2026-07-12</x:v>
      </x:c>
    </x:row>
    <x:row r="236">
      <x:c r="A236" s="32" t="str">
        <x:v>AWS</x:v>
      </x:c>
      <x:c r="B236" s="32" t="str">
        <x:v>AWS Lake Formation</x:v>
      </x:c>
      <x:c r="C236" s="32" t="str">
        <x:v>Named service / product family</x:v>
      </x:c>
      <x:c r="D236" s="32" t="str">
        <x:v>Data, Analytics &amp; BI</x:v>
      </x:c>
      <x:c r="E236" s="32" t="str">
        <x:v>Data governance
Data lake
Data sharing
Lakehouse</x:v>
      </x:c>
      <x:c r="F236" s="32" t="str">
        <x:v>Cloud data lake storage
Enterprise data governance
Governed data sharing
Lakehouse platform</x:v>
      </x:c>
      <x:c r="G236" s="32" t="str">
        <x:v>Combine data-lake flexibility with warehouse governance and analytics.</x:v>
      </x:c>
      <x:c r="H236" s="32" t="str">
        <x:v>Close</x:v>
      </x:c>
      <x:c r="I236" s="32"/>
      <x:c r="J236" s="32" t="str">
        <x:v>https://docs.aws.amazon.com/whitepapers/latest/aws-overview/aws-services.html</x:v>
      </x:c>
      <x:c r="K236" s="32" t="str">
        <x:v>2026-07-12</x:v>
      </x:c>
    </x:row>
    <x:row r="237">
      <x:c r="A237" s="32" t="str">
        <x:v>AWS</x:v>
      </x:c>
      <x:c r="B237" s="32" t="str">
        <x:v>AWS Lambda</x:v>
      </x:c>
      <x:c r="C237" s="32" t="str">
        <x:v>Named service / product family</x:v>
      </x:c>
      <x:c r="D237" s="32" t="str">
        <x:v>Compute &amp; Application Hosting</x:v>
      </x:c>
      <x:c r="E237" s="32" t="str">
        <x:v>Serverless functions</x:v>
      </x:c>
      <x:c r="F237" s="32" t="str">
        <x:v>Functions as a service</x:v>
      </x:c>
      <x:c r="G237" s="32" t="str">
        <x:v>Run event-driven code without managing servers.</x:v>
      </x:c>
      <x:c r="H237" s="32" t="str">
        <x:v>Exact</x:v>
      </x:c>
      <x:c r="I237" s="32"/>
      <x:c r="J237" s="32" t="str">
        <x:v>https://docs.aws.amazon.com/whitepapers/latest/aws-overview/aws-services.html</x:v>
      </x:c>
      <x:c r="K237" s="32" t="str">
        <x:v>2026-07-12</x:v>
      </x:c>
    </x:row>
    <x:row r="238">
      <x:c r="A238" s="32" t="str">
        <x:v>AWS</x:v>
      </x:c>
      <x:c r="B238" s="32" t="str">
        <x:v>AWS License Manager</x:v>
      </x:c>
      <x:c r="C238" s="32" t="str">
        <x:v>Named service / product family</x:v>
      </x:c>
      <x:c r="D238" s="32" t="str">
        <x:v>Governance &amp; Management</x:v>
      </x:c>
      <x:c r="E238" s="32" t="str">
        <x:v>Licensing</x:v>
      </x:c>
      <x:c r="F238" s="32" t="str">
        <x:v>Software licence management</x:v>
      </x:c>
      <x:c r="G238" s="32" t="str">
        <x:v>Track and enforce licence usage across cloud and hybrid servers.</x:v>
      </x:c>
      <x:c r="H238" s="32" t="str">
        <x:v>Partial</x:v>
      </x:c>
      <x:c r="I238" s="32"/>
      <x:c r="J238" s="32" t="str">
        <x:v>https://docs.aws.amazon.com/whitepapers/latest/aws-overview/aws-services.html</x:v>
      </x:c>
      <x:c r="K238" s="32" t="str">
        <x:v>2026-07-12</x:v>
      </x:c>
    </x:row>
    <x:row r="239">
      <x:c r="A239" s="32" t="str">
        <x:v>AWS</x:v>
      </x:c>
      <x:c r="B239" s="32" t="str">
        <x:v>AWS Mainframe Modernization Service</x:v>
      </x:c>
      <x:c r="C239" s="32" t="str">
        <x:v>Named service / product family</x:v>
      </x:c>
      <x:c r="D239" s="32" t="str">
        <x:v>Migration &amp; Modernisation</x:v>
      </x:c>
      <x:c r="E239" s="32" t="str">
        <x:v>Mainframe</x:v>
      </x:c>
      <x:c r="F239" s="32" t="str">
        <x:v>Mainframe modernisation</x:v>
      </x:c>
      <x:c r="G239" s="32" t="str">
        <x:v>Assess, replatform, refactor or incrementally modernise mainframe workloads.</x:v>
      </x:c>
      <x:c r="H239" s="32" t="str">
        <x:v>Partial</x:v>
      </x:c>
      <x:c r="I239" s="32"/>
      <x:c r="J239" s="32" t="str">
        <x:v>https://docs.aws.amazon.com/whitepapers/latest/aws-overview/aws-services.html</x:v>
      </x:c>
      <x:c r="K239" s="32" t="str">
        <x:v>2026-07-12</x:v>
      </x:c>
    </x:row>
    <x:row r="240">
      <x:c r="A240" s="32" t="str">
        <x:v>AWS</x:v>
      </x:c>
      <x:c r="B240" s="32" t="str">
        <x:v>AWS Managed Services</x:v>
      </x:c>
      <x:c r="C240" s="32" t="str">
        <x:v>Named service / product family</x:v>
      </x:c>
      <x:c r="D240" s="32" t="str">
        <x:v>Governance &amp; Management</x:v>
      </x:c>
      <x:c r="E240" s="32" t="str">
        <x:v>Managed operations</x:v>
      </x:c>
      <x:c r="F240" s="32" t="str">
        <x:v>Managed cloud operations</x:v>
      </x:c>
      <x:c r="G240" s="32" t="str">
        <x:v>Provider-operated governance and operations for enterprise cloud estates.</x:v>
      </x:c>
      <x:c r="H240" s="32" t="str">
        <x:v>Partial</x:v>
      </x:c>
      <x:c r="I240" s="32" t="str">
        <x:v>Azure and Google generally deliver this through service offerings and partners rather than a single equivalent product.</x:v>
      </x:c>
      <x:c r="J240" s="32" t="str">
        <x:v>https://docs.aws.amazon.com/whitepapers/latest/aws-overview/aws-services.html</x:v>
      </x:c>
      <x:c r="K240" s="32" t="str">
        <x:v>2026-07-12</x:v>
      </x:c>
    </x:row>
    <x:row r="241">
      <x:c r="A241" s="32" t="str">
        <x:v>AWS</x:v>
      </x:c>
      <x:c r="B241" s="32" t="str">
        <x:v>AWS Migration Hub</x:v>
      </x:c>
      <x:c r="C241" s="32" t="str">
        <x:v>Named service / product family</x:v>
      </x:c>
      <x:c r="D241" s="32" t="str">
        <x:v>Developer Tools &amp; DevOps
Migration &amp; Modernisation</x:v>
      </x:c>
      <x:c r="E241" s="32" t="str">
        <x:v>Application lifecycle
Discovery
Migration portfolio</x:v>
      </x:c>
      <x:c r="F241" s="32" t="str">
        <x:v>Application portfolio hub
Migration discovery and assessment
Migration programme hub</x:v>
      </x:c>
      <x:c r="G241" s="32" t="str">
        <x:v>Model applications and dependencies across cloud resources for operational ownership.</x:v>
      </x:c>
      <x:c r="H241" s="32" t="str">
        <x:v>Close, Partial</x:v>
      </x:c>
      <x:c r="I241" s="32"/>
      <x:c r="J241" s="32" t="str">
        <x:v>https://docs.aws.amazon.com/whitepapers/latest/aws-overview/aws-services.html</x:v>
      </x:c>
      <x:c r="K241" s="32" t="str">
        <x:v>2026-07-12</x:v>
      </x:c>
    </x:row>
    <x:row r="242">
      <x:c r="A242" s="32" t="str">
        <x:v>AWS</x:v>
      </x:c>
      <x:c r="B242" s="32" t="str">
        <x:v>AWS Network Firewall</x:v>
      </x:c>
      <x:c r="C242" s="32" t="str">
        <x:v>Named service / product family</x:v>
      </x:c>
      <x:c r="D242" s="32" t="str">
        <x:v>Security, Identity &amp; Compliance</x:v>
      </x:c>
      <x:c r="E242" s="32" t="str">
        <x:v>Data perimeter
Network security</x:v>
      </x:c>
      <x:c r="F242" s="32" t="str">
        <x:v>Managed network firewall
Service data perimeter</x:v>
      </x:c>
      <x:c r="G242" s="32" t="str">
        <x:v>Inspect and filter network traffic using managed firewall policies.</x:v>
      </x:c>
      <x:c r="H242" s="32" t="str">
        <x:v>Close, Exact</x:v>
      </x:c>
      <x:c r="I242" s="32"/>
      <x:c r="J242" s="32" t="str">
        <x:v>https://docs.aws.amazon.com/whitepapers/latest/aws-overview/aws-services.html</x:v>
      </x:c>
      <x:c r="K242" s="32" t="str">
        <x:v>2026-07-12</x:v>
      </x:c>
    </x:row>
    <x:row r="243">
      <x:c r="A243" s="32" t="str">
        <x:v>AWS</x:v>
      </x:c>
      <x:c r="B243" s="32" t="str">
        <x:v>AWS Network Manager</x:v>
      </x:c>
      <x:c r="C243" s="32" t="str">
        <x:v>Named service / product family</x:v>
      </x:c>
      <x:c r="D243" s="32" t="str">
        <x:v>Networking</x:v>
      </x:c>
      <x:c r="E243" s="32" t="str">
        <x:v>Network management</x:v>
      </x:c>
      <x:c r="F243" s="32" t="str">
        <x:v>Central network management</x:v>
      </x:c>
      <x:c r="G243" s="32" t="str">
        <x:v>Centrally configure and govern virtual networks, connectivity and routing.</x:v>
      </x:c>
      <x:c r="H243" s="32" t="str">
        <x:v>Close</x:v>
      </x:c>
      <x:c r="I243" s="32"/>
      <x:c r="J243" s="32" t="str">
        <x:v>https://docs.aws.amazon.com/whitepapers/latest/aws-overview/aws-services.html</x:v>
      </x:c>
      <x:c r="K243" s="32" t="str">
        <x:v>2026-07-12</x:v>
      </x:c>
    </x:row>
    <x:row r="244">
      <x:c r="A244" s="32" t="str">
        <x:v>AWS</x:v>
      </x:c>
      <x:c r="B244" s="32" t="str">
        <x:v>AWS Nitro Enclaves</x:v>
      </x:c>
      <x:c r="C244" s="32" t="str">
        <x:v>Named service / product family</x:v>
      </x:c>
      <x:c r="D244" s="32" t="str">
        <x:v>Security, Identity &amp; Compliance</x:v>
      </x:c>
      <x:c r="E244" s="32" t="str">
        <x:v>Confidential computing</x:v>
      </x:c>
      <x:c r="F244" s="32" t="str">
        <x:v>Confidential virtual machines</x:v>
      </x:c>
      <x:c r="G244" s="32" t="str">
        <x:v>Protect data in use with hardware-backed trusted execution environments.</x:v>
      </x:c>
      <x:c r="H244" s="32" t="str">
        <x:v>Close</x:v>
      </x:c>
      <x:c r="I244" s="32"/>
      <x:c r="J244" s="32" t="str">
        <x:v>https://docs.aws.amazon.com/whitepapers/latest/aws-overview/aws-services.html</x:v>
      </x:c>
      <x:c r="K244" s="32" t="str">
        <x:v>2026-07-12</x:v>
      </x:c>
    </x:row>
    <x:row r="245">
      <x:c r="A245" s="32" t="str">
        <x:v>AWS</x:v>
      </x:c>
      <x:c r="B245" s="32" t="str">
        <x:v>AWS Nitro Enclaves attestation</x:v>
      </x:c>
      <x:c r="C245" s="32" t="str">
        <x:v>Named service / product family</x:v>
      </x:c>
      <x:c r="D245" s="32" t="str">
        <x:v>Security, Identity &amp; Compliance</x:v>
      </x:c>
      <x:c r="E245" s="32" t="str">
        <x:v>Attestation</x:v>
      </x:c>
      <x:c r="F245" s="32" t="str">
        <x:v>Trusted environment attestation</x:v>
      </x:c>
      <x:c r="G245" s="32" t="str">
        <x:v>Verify the integrity and trust state of confidential-computing environments.</x:v>
      </x:c>
      <x:c r="H245" s="32" t="str">
        <x:v>Close</x:v>
      </x:c>
      <x:c r="I245" s="32"/>
      <x:c r="J245" s="32" t="str">
        <x:v>https://docs.aws.amazon.com/whitepapers/latest/aws-overview/aws-services.html</x:v>
      </x:c>
      <x:c r="K245" s="32" t="str">
        <x:v>2026-07-12</x:v>
      </x:c>
    </x:row>
    <x:row r="246">
      <x:c r="A246" s="32" t="str">
        <x:v>AWS</x:v>
      </x:c>
      <x:c r="B246" s="32" t="str">
        <x:v>AWS Organizations</x:v>
      </x:c>
      <x:c r="C246" s="32" t="str">
        <x:v>Named service / product family</x:v>
      </x:c>
      <x:c r="D246" s="32" t="str">
        <x:v>Governance &amp; Management</x:v>
      </x:c>
      <x:c r="E246" s="32" t="str">
        <x:v>Organisation governance</x:v>
      </x:c>
      <x:c r="F246" s="32" t="str">
        <x:v>Cloud organisation and account hierarchy</x:v>
      </x:c>
      <x:c r="G246" s="32" t="str">
        <x:v>Centrally organise subscriptions/accounts/projects, apply hierarchy and consolidate governance.</x:v>
      </x:c>
      <x:c r="H246" s="32" t="str">
        <x:v>Exact</x:v>
      </x:c>
      <x:c r="I246" s="32"/>
      <x:c r="J246" s="32" t="str">
        <x:v>https://docs.aws.amazon.com/whitepapers/latest/aws-overview/aws-services.html</x:v>
      </x:c>
      <x:c r="K246" s="32" t="str">
        <x:v>2026-07-12</x:v>
      </x:c>
    </x:row>
    <x:row r="247">
      <x:c r="A247" s="32" t="str">
        <x:v>AWS</x:v>
      </x:c>
      <x:c r="B247" s="32" t="str">
        <x:v>AWS Organizations SCPs</x:v>
      </x:c>
      <x:c r="C247" s="32" t="str">
        <x:v>Named service / product family</x:v>
      </x:c>
      <x:c r="D247" s="32" t="str">
        <x:v>Security, Identity &amp; Compliance</x:v>
      </x:c>
      <x:c r="E247" s="32" t="str">
        <x:v>Data perimeter</x:v>
      </x:c>
      <x:c r="F247" s="32" t="str">
        <x:v>Service data perimeter</x:v>
      </x:c>
      <x:c r="G247" s="32" t="str">
        <x:v>Restrict data movement and service access across trusted cloud boundaries.</x:v>
      </x:c>
      <x:c r="H247" s="32" t="str">
        <x:v>Close</x:v>
      </x:c>
      <x:c r="I247" s="32"/>
      <x:c r="J247" s="32" t="str">
        <x:v>https://docs.aws.amazon.com/whitepapers/latest/aws-overview/aws-services.html</x:v>
      </x:c>
      <x:c r="K247" s="32" t="str">
        <x:v>2026-07-12</x:v>
      </x:c>
    </x:row>
    <x:row r="248">
      <x:c r="A248" s="32" t="str">
        <x:v>AWS</x:v>
      </x:c>
      <x:c r="B248" s="32" t="str">
        <x:v>AWS Organizations Service Control Policies</x:v>
      </x:c>
      <x:c r="C248" s="32" t="str">
        <x:v>Named service / product family</x:v>
      </x:c>
      <x:c r="D248" s="32" t="str">
        <x:v>Governance &amp; Management</x:v>
      </x:c>
      <x:c r="E248" s="32" t="str">
        <x:v>Policy</x:v>
      </x:c>
      <x:c r="F248" s="32" t="str">
        <x:v>Organisation policy enforcement</x:v>
      </x:c>
      <x:c r="G248" s="32" t="str">
        <x:v>Define and enforce preventive or detective policies across cloud resources.</x:v>
      </x:c>
      <x:c r="H248" s="32" t="str">
        <x:v>Close</x:v>
      </x:c>
      <x:c r="I248" s="32"/>
      <x:c r="J248" s="32" t="str">
        <x:v>https://docs.aws.amazon.com/whitepapers/latest/aws-overview/aws-services.html</x:v>
      </x:c>
      <x:c r="K248" s="32" t="str">
        <x:v>2026-07-12</x:v>
      </x:c>
    </x:row>
    <x:row r="249">
      <x:c r="A249" s="32" t="str">
        <x:v>AWS</x:v>
      </x:c>
      <x:c r="B249" s="32" t="str">
        <x:v>AWS Outposts</x:v>
      </x:c>
      <x:c r="C249" s="32" t="str">
        <x:v>Named service / product family</x:v>
      </x:c>
      <x:c r="D249" s="32" t="str">
        <x:v>Compute &amp; Application Hosting
Hybrid &amp; Multicloud</x:v>
      </x:c>
      <x:c r="E249" s="32" t="str">
        <x:v>Edge compute
Hybrid cloud platform</x:v>
      </x:c>
      <x:c r="F249" s="32" t="str">
        <x:v>On-premises cloud infrastructure
Provider edge compute</x:v>
      </x:c>
      <x:c r="G249" s="32" t="str">
        <x:v>Run cloud compute and services near users, devices or telecom networks.</x:v>
      </x:c>
      <x:c r="H249" s="32" t="str">
        <x:v>Close</x:v>
      </x:c>
      <x:c r="I249" s="32"/>
      <x:c r="J249" s="32" t="str">
        <x:v>https://docs.aws.amazon.com/whitepapers/latest/aws-overview/aws-services.html</x:v>
      </x:c>
      <x:c r="K249" s="32" t="str">
        <x:v>2026-07-12</x:v>
      </x:c>
    </x:row>
    <x:row r="250">
      <x:c r="A250" s="32" t="str">
        <x:v>AWS</x:v>
      </x:c>
      <x:c r="B250" s="32" t="str">
        <x:v>AWS ParallelCluster</x:v>
      </x:c>
      <x:c r="C250" s="32" t="str">
        <x:v>Named service / product family</x:v>
      </x:c>
      <x:c r="D250" s="32" t="str">
        <x:v>AI &amp; Machine Learning
Compute &amp; Application Hosting</x:v>
      </x:c>
      <x:c r="E250" s="32" t="str">
        <x:v>Distributed ML
HPC</x:v>
      </x:c>
      <x:c r="F250" s="32" t="str">
        <x:v>Distributed ML execution
High-performance computing platform</x:v>
      </x:c>
      <x:c r="G250" s="32" t="str">
        <x:v>Scale Python, ML and AI workloads across distributed compute clusters.</x:v>
      </x:c>
      <x:c r="H250" s="32" t="str">
        <x:v>Close</x:v>
      </x:c>
      <x:c r="I250" s="32"/>
      <x:c r="J250" s="32" t="str">
        <x:v>https://docs.aws.amazon.com/whitepapers/latest/aws-overview/aws-services.html</x:v>
      </x:c>
      <x:c r="K250" s="32" t="str">
        <x:v>2026-07-12</x:v>
      </x:c>
    </x:row>
    <x:row r="251">
      <x:c r="A251" s="32" t="str">
        <x:v>AWS</x:v>
      </x:c>
      <x:c r="B251" s="32" t="str">
        <x:v>AWS Private 5G</x:v>
      </x:c>
      <x:c r="C251" s="32" t="str">
        <x:v>Named service / product family</x:v>
      </x:c>
      <x:c r="D251" s="32" t="str">
        <x:v>Networking</x:v>
      </x:c>
      <x:c r="E251" s="32" t="str">
        <x:v>Private wireless</x:v>
      </x:c>
      <x:c r="F251" s="32" t="str">
        <x:v>Private 5G and edge networking</x:v>
      </x:c>
      <x:c r="G251" s="32" t="str">
        <x:v>Deploy private cellular connectivity integrated with cloud management.</x:v>
      </x:c>
      <x:c r="H251" s="32" t="str">
        <x:v>Partial</x:v>
      </x:c>
      <x:c r="I251" s="32"/>
      <x:c r="J251" s="32" t="str">
        <x:v>https://docs.aws.amazon.com/whitepapers/latest/aws-overview/aws-services.html</x:v>
      </x:c>
      <x:c r="K251" s="32" t="str">
        <x:v>2026-07-12</x:v>
      </x:c>
    </x:row>
    <x:row r="252">
      <x:c r="A252" s="32" t="str">
        <x:v>AWS</x:v>
      </x:c>
      <x:c r="B252" s="32" t="str">
        <x:v>AWS Private CA</x:v>
      </x:c>
      <x:c r="C252" s="32" t="str">
        <x:v>Named service / product family</x:v>
      </x:c>
      <x:c r="D252" s="32" t="str">
        <x:v>Security, Identity &amp; Compliance</x:v>
      </x:c>
      <x:c r="E252" s="32" t="str">
        <x:v>Certificates</x:v>
      </x:c>
      <x:c r="F252" s="32" t="str">
        <x:v>Certificate management</x:v>
      </x:c>
      <x:c r="G252" s="32" t="str">
        <x:v>Provision, manage and rotate public or private TLS certificates.</x:v>
      </x:c>
      <x:c r="H252" s="32" t="str">
        <x:v>Close</x:v>
      </x:c>
      <x:c r="I252" s="32"/>
      <x:c r="J252" s="32" t="str">
        <x:v>https://docs.aws.amazon.com/whitepapers/latest/aws-overview/aws-services.html</x:v>
      </x:c>
      <x:c r="K252" s="32" t="str">
        <x:v>2026-07-12</x:v>
      </x:c>
    </x:row>
    <x:row r="253">
      <x:c r="A253" s="32" t="str">
        <x:v>AWS</x:v>
      </x:c>
      <x:c r="B253" s="32" t="str">
        <x:v>AWS PrivateLink</x:v>
      </x:c>
      <x:c r="C253" s="32" t="str">
        <x:v>Named service / product family</x:v>
      </x:c>
      <x:c r="D253" s="32" t="str">
        <x:v>Networking</x:v>
      </x:c>
      <x:c r="E253" s="32" t="str">
        <x:v>Private services</x:v>
      </x:c>
      <x:c r="F253" s="32" t="str">
        <x:v>Private service endpoint</x:v>
      </x:c>
      <x:c r="G253" s="32" t="str">
        <x:v>Access managed services privately without traversing the public internet.</x:v>
      </x:c>
      <x:c r="H253" s="32" t="str">
        <x:v>Exact</x:v>
      </x:c>
      <x:c r="I253" s="32"/>
      <x:c r="J253" s="32" t="str">
        <x:v>https://docs.aws.amazon.com/whitepapers/latest/aws-overview/aws-services.html</x:v>
      </x:c>
      <x:c r="K253" s="32" t="str">
        <x:v>2026-07-12</x:v>
      </x:c>
    </x:row>
    <x:row r="254">
      <x:c r="A254" s="32" t="str">
        <x:v>AWS</x:v>
      </x:c>
      <x:c r="B254" s="32" t="str">
        <x:v>AWS Proton</x:v>
      </x:c>
      <x:c r="C254" s="32" t="str">
        <x:v>Named service / product family</x:v>
      </x:c>
      <x:c r="D254" s="32" t="str">
        <x:v>Developer Tools &amp; DevOps</x:v>
      </x:c>
      <x:c r="E254" s="32" t="str">
        <x:v>Developer portal</x:v>
      </x:c>
      <x:c r="F254" s="32" t="str">
        <x:v>Internal developer platform</x:v>
      </x:c>
      <x:c r="G254" s="32" t="str">
        <x:v>Standardise approved application templates, environments and developer self-service.</x:v>
      </x:c>
      <x:c r="H254" s="32" t="str">
        <x:v>Close</x:v>
      </x:c>
      <x:c r="I254" s="32"/>
      <x:c r="J254" s="32" t="str">
        <x:v>https://docs.aws.amazon.com/whitepapers/latest/aws-overview/aws-services.html</x:v>
      </x:c>
      <x:c r="K254" s="32" t="str">
        <x:v>2026-07-12</x:v>
      </x:c>
    </x:row>
    <x:row r="255">
      <x:c r="A255" s="32" t="str">
        <x:v>AWS</x:v>
      </x:c>
      <x:c r="B255" s="32" t="str">
        <x:v>AWS Savings Plans</x:v>
      </x:c>
      <x:c r="C255" s="32" t="str">
        <x:v>Named service / product family</x:v>
      </x:c>
      <x:c r="D255" s="32" t="str">
        <x:v>FinOps &amp; Commercial</x:v>
      </x:c>
      <x:c r="E255" s="32" t="str">
        <x:v>Commitment discounts</x:v>
      </x:c>
      <x:c r="F255" s="32" t="str">
        <x:v>Committed-use savings</x:v>
      </x:c>
      <x:c r="G255" s="32" t="str">
        <x:v>Reduce eligible compute costs through term-based usage commitments.</x:v>
      </x:c>
      <x:c r="H255" s="32" t="str">
        <x:v>Exact</x:v>
      </x:c>
      <x:c r="I255" s="32"/>
      <x:c r="J255" s="32" t="str">
        <x:v>https://docs.aws.amazon.com/whitepapers/latest/aws-overview/aws-services.html</x:v>
      </x:c>
      <x:c r="K255" s="32" t="str">
        <x:v>2026-07-12</x:v>
      </x:c>
    </x:row>
    <x:row r="256">
      <x:c r="A256" s="32" t="str">
        <x:v>AWS</x:v>
      </x:c>
      <x:c r="B256" s="32" t="str">
        <x:v>AWS Schema Conversion Tool</x:v>
      </x:c>
      <x:c r="C256" s="32" t="str">
        <x:v>Named service / product family</x:v>
      </x:c>
      <x:c r="D256" s="32" t="str">
        <x:v>Databases</x:v>
      </x:c>
      <x:c r="E256" s="32" t="str">
        <x:v>Database migration</x:v>
      </x:c>
      <x:c r="F256" s="32" t="str">
        <x:v>Database migration service</x:v>
      </x:c>
      <x:c r="G256" s="32" t="str">
        <x:v>Assess, replicate and migrate databases with minimal downtime.</x:v>
      </x:c>
      <x:c r="H256" s="32" t="str">
        <x:v>Exact</x:v>
      </x:c>
      <x:c r="I256" s="32"/>
      <x:c r="J256" s="32" t="str">
        <x:v>https://docs.aws.amazon.com/whitepapers/latest/aws-overview/aws-services.html</x:v>
      </x:c>
      <x:c r="K256" s="32" t="str">
        <x:v>2026-07-12</x:v>
      </x:c>
    </x:row>
    <x:row r="257">
      <x:c r="A257" s="32" t="str">
        <x:v>AWS</x:v>
      </x:c>
      <x:c r="B257" s="32" t="str">
        <x:v>AWS SDKs</x:v>
      </x:c>
      <x:c r="C257" s="32" t="str">
        <x:v>Named service / product family</x:v>
      </x:c>
      <x:c r="D257" s="32" t="str">
        <x:v>Developer Tools &amp; DevOps</x:v>
      </x:c>
      <x:c r="E257" s="32" t="str">
        <x:v>SDK and CLI</x:v>
      </x:c>
      <x:c r="F257" s="32" t="str">
        <x:v>Cloud command-line and SDK tools</x:v>
      </x:c>
      <x:c r="G257" s="32" t="str">
        <x:v>Manage cloud resources and build applications through command-line tools and language SDKs.</x:v>
      </x:c>
      <x:c r="H257" s="32" t="str">
        <x:v>Exact</x:v>
      </x:c>
      <x:c r="I257" s="32"/>
      <x:c r="J257" s="32" t="str">
        <x:v>https://docs.aws.amazon.com/whitepapers/latest/aws-overview/aws-services.html</x:v>
      </x:c>
      <x:c r="K257" s="32" t="str">
        <x:v>2026-07-12</x:v>
      </x:c>
    </x:row>
    <x:row r="258">
      <x:c r="A258" s="32" t="str">
        <x:v>AWS</x:v>
      </x:c>
      <x:c r="B258" s="32" t="str">
        <x:v>AWS Secrets Manager</x:v>
      </x:c>
      <x:c r="C258" s="32" t="str">
        <x:v>Named service / product family</x:v>
      </x:c>
      <x:c r="D258" s="32" t="str">
        <x:v>Security, Identity &amp; Compliance</x:v>
      </x:c>
      <x:c r="E258" s="32" t="str">
        <x:v>Secrets</x:v>
      </x:c>
      <x:c r="F258" s="32" t="str">
        <x:v>Secrets management</x:v>
      </x:c>
      <x:c r="G258" s="32" t="str">
        <x:v>Securely store, rotate and retrieve application credentials and secrets.</x:v>
      </x:c>
      <x:c r="H258" s="32" t="str">
        <x:v>Exact</x:v>
      </x:c>
      <x:c r="I258" s="32"/>
      <x:c r="J258" s="32" t="str">
        <x:v>https://docs.aws.amazon.com/whitepapers/latest/aws-overview/aws-services.html</x:v>
      </x:c>
      <x:c r="K258" s="32" t="str">
        <x:v>2026-07-12</x:v>
      </x:c>
    </x:row>
    <x:row r="259">
      <x:c r="A259" s="32" t="str">
        <x:v>AWS</x:v>
      </x:c>
      <x:c r="B259" s="32" t="str">
        <x:v>AWS Security Hub</x:v>
      </x:c>
      <x:c r="C259" s="32" t="str">
        <x:v>Named service / product family</x:v>
      </x:c>
      <x:c r="D259" s="32" t="str">
        <x:v>AI &amp; Machine Learning
Security, Identity &amp; Compliance</x:v>
      </x:c>
      <x:c r="E259" s="32" t="str">
        <x:v>AI security
External attack surface
Security posture</x:v>
      </x:c>
      <x:c r="F259" s="32" t="str">
        <x:v>AI security posture management
Cloud security posture management
External attack-surface management</x:v>
      </x:c>
      <x:c r="G259" s="32" t="str">
        <x:v>Discover AI workloads, identify risks and monitor threats affecting AI systems.</x:v>
      </x:c>
      <x:c r="H259" s="32" t="str">
        <x:v>Exact, Partial</x:v>
      </x:c>
      <x:c r="I259" s="32"/>
      <x:c r="J259" s="32" t="str">
        <x:v>https://docs.aws.amazon.com/whitepapers/latest/aws-overview/aws-services.html</x:v>
      </x:c>
      <x:c r="K259" s="32" t="str">
        <x:v>2026-07-12</x:v>
      </x:c>
    </x:row>
    <x:row r="260">
      <x:c r="A260" s="32" t="str">
        <x:v>AWS</x:v>
      </x:c>
      <x:c r="B260" s="32" t="str">
        <x:v>AWS Service Catalog</x:v>
      </x:c>
      <x:c r="C260" s="32" t="str">
        <x:v>Named service / product family</x:v>
      </x:c>
      <x:c r="D260" s="32" t="str">
        <x:v>Developer Tools &amp; DevOps
Governance &amp; Management</x:v>
      </x:c>
      <x:c r="E260" s="32" t="str">
        <x:v>Developer portal
Service catalogue</x:v>
      </x:c>
      <x:c r="F260" s="32" t="str">
        <x:v>Approved service catalogue
Internal developer platform</x:v>
      </x:c>
      <x:c r="G260" s="32" t="str">
        <x:v>Publish governed, reusable infrastructure and application products for internal teams.</x:v>
      </x:c>
      <x:c r="H260" s="32" t="str">
        <x:v>Close, Partial</x:v>
      </x:c>
      <x:c r="I260" s="32"/>
      <x:c r="J260" s="32" t="str">
        <x:v>https://docs.aws.amazon.com/whitepapers/latest/aws-overview/aws-services.html</x:v>
      </x:c>
      <x:c r="K260" s="32" t="str">
        <x:v>2026-07-12</x:v>
      </x:c>
    </x:row>
    <x:row r="261">
      <x:c r="A261" s="32" t="str">
        <x:v>AWS</x:v>
      </x:c>
      <x:c r="B261" s="32" t="str">
        <x:v>AWS Service Quotas</x:v>
      </x:c>
      <x:c r="C261" s="32" t="str">
        <x:v>Named service / product family</x:v>
      </x:c>
      <x:c r="D261" s="32" t="str">
        <x:v>Governance &amp; Management</x:v>
      </x:c>
      <x:c r="E261" s="32" t="str">
        <x:v>Quotas</x:v>
      </x:c>
      <x:c r="F261" s="32" t="str">
        <x:v>Service quota management</x:v>
      </x:c>
      <x:c r="G261" s="32" t="str">
        <x:v>View, monitor and request changes to cloud service quotas.</x:v>
      </x:c>
      <x:c r="H261" s="32" t="str">
        <x:v>Exact</x:v>
      </x:c>
      <x:c r="I261" s="32"/>
      <x:c r="J261" s="32" t="str">
        <x:v>https://docs.aws.amazon.com/whitepapers/latest/aws-overview/aws-services.html</x:v>
      </x:c>
      <x:c r="K261" s="32" t="str">
        <x:v>2026-07-12</x:v>
      </x:c>
    </x:row>
    <x:row r="262">
      <x:c r="A262" s="32" t="str">
        <x:v>AWS</x:v>
      </x:c>
      <x:c r="B262" s="32" t="str">
        <x:v>AWS Shield</x:v>
      </x:c>
      <x:c r="C262" s="32" t="str">
        <x:v>Named service / product family</x:v>
      </x:c>
      <x:c r="D262" s="32" t="str">
        <x:v>Security, Identity &amp; Compliance</x:v>
      </x:c>
      <x:c r="E262" s="32" t="str">
        <x:v>DDoS</x:v>
      </x:c>
      <x:c r="F262" s="32" t="str">
        <x:v>DDoS protection</x:v>
      </x:c>
      <x:c r="G262" s="32" t="str">
        <x:v>Detect and mitigate volumetric and protocol denial-of-service attacks.</x:v>
      </x:c>
      <x:c r="H262" s="32" t="str">
        <x:v>Close</x:v>
      </x:c>
      <x:c r="I262" s="32"/>
      <x:c r="J262" s="32" t="str">
        <x:v>https://docs.aws.amazon.com/whitepapers/latest/aws-overview/aws-services.html</x:v>
      </x:c>
      <x:c r="K262" s="32" t="str">
        <x:v>2026-07-12</x:v>
      </x:c>
    </x:row>
    <x:row r="263">
      <x:c r="A263" s="32" t="str">
        <x:v>AWS</x:v>
      </x:c>
      <x:c r="B263" s="32" t="str">
        <x:v>AWS Signer</x:v>
      </x:c>
      <x:c r="C263" s="32" t="str">
        <x:v>Named service / product family</x:v>
      </x:c>
      <x:c r="D263" s="32" t="str">
        <x:v>Developer Tools &amp; DevOps</x:v>
      </x:c>
      <x:c r="E263" s="32" t="str">
        <x:v>Code signing</x:v>
      </x:c>
      <x:c r="F263" s="32" t="str">
        <x:v>Artifact and code signing</x:v>
      </x:c>
      <x:c r="G263" s="32" t="str">
        <x:v>Sign software artifacts to verify publisher identity and integrity.</x:v>
      </x:c>
      <x:c r="H263" s="32" t="str">
        <x:v>Close</x:v>
      </x:c>
      <x:c r="I263" s="32"/>
      <x:c r="J263" s="32" t="str">
        <x:v>https://docs.aws.amazon.com/whitepapers/latest/aws-overview/aws-services.html</x:v>
      </x:c>
      <x:c r="K263" s="32" t="str">
        <x:v>2026-07-12</x:v>
      </x:c>
    </x:row>
    <x:row r="264">
      <x:c r="A264" s="32" t="str">
        <x:v>AWS</x:v>
      </x:c>
      <x:c r="B264" s="32" t="str">
        <x:v>AWS Site-to-Site VPN</x:v>
      </x:c>
      <x:c r="C264" s="32" t="str">
        <x:v>Named service / product family</x:v>
      </x:c>
      <x:c r="D264" s="32" t="str">
        <x:v>Networking</x:v>
      </x:c>
      <x:c r="E264" s="32" t="str">
        <x:v>Hybrid connectivity</x:v>
      </x:c>
      <x:c r="F264" s="32" t="str">
        <x:v>Site-to-site VPN</x:v>
      </x:c>
      <x:c r="G264" s="32" t="str">
        <x:v>Connect on-premises networks to cloud virtual networks through encrypted tunnels.</x:v>
      </x:c>
      <x:c r="H264" s="32" t="str">
        <x:v>Exact</x:v>
      </x:c>
      <x:c r="I264" s="32"/>
      <x:c r="J264" s="32" t="str">
        <x:v>https://docs.aws.amazon.com/whitepapers/latest/aws-overview/aws-services.html</x:v>
      </x:c>
      <x:c r="K264" s="32" t="str">
        <x:v>2026-07-12</x:v>
      </x:c>
    </x:row>
    <x:row r="265">
      <x:c r="A265" s="32" t="str">
        <x:v>AWS</x:v>
      </x:c>
      <x:c r="B265" s="32" t="str">
        <x:v>AWS Snow Family</x:v>
      </x:c>
      <x:c r="C265" s="32" t="str">
        <x:v>Named service / product family</x:v>
      </x:c>
      <x:c r="D265" s="32" t="str">
        <x:v>Hybrid &amp; Multicloud
Storage</x:v>
      </x:c>
      <x:c r="E265" s="32" t="str">
        <x:v>Edge appliance
Transfer appliance</x:v>
      </x:c>
      <x:c r="F265" s="32" t="str">
        <x:v>Cloud edge appliance
Offline data transfer appliance</x:v>
      </x:c>
      <x:c r="G265" s="32" t="str">
        <x:v>Deploy provider-managed compute and data-transfer hardware at remote sites.</x:v>
      </x:c>
      <x:c r="H265" s="32" t="str">
        <x:v>Close, Exact</x:v>
      </x:c>
      <x:c r="I265" s="32"/>
      <x:c r="J265" s="32" t="str">
        <x:v>https://docs.aws.amazon.com/whitepapers/latest/aws-overview/aws-services.html</x:v>
      </x:c>
      <x:c r="K265" s="32" t="str">
        <x:v>2026-07-12</x:v>
      </x:c>
    </x:row>
    <x:row r="266">
      <x:c r="A266" s="32" t="str">
        <x:v>AWS</x:v>
      </x:c>
      <x:c r="B266" s="32" t="str">
        <x:v>AWS Snowball Edge / AWS Outposts variants</x:v>
      </x:c>
      <x:c r="C266" s="32" t="str">
        <x:v>Architecture / partner alternative</x:v>
      </x:c>
      <x:c r="D266" s="32" t="str">
        <x:v>Hybrid &amp; Multicloud</x:v>
      </x:c>
      <x:c r="E266" s="32" t="str">
        <x:v>Air-gapped cloud</x:v>
      </x:c>
      <x:c r="F266" s="32" t="str">
        <x:v>Air-gapped cloud platform</x:v>
      </x:c>
      <x:c r="G266" s="32" t="str">
        <x:v>Run cloud capabilities in disconnected or highly restricted environments.</x:v>
      </x:c>
      <x:c r="H266" s="32" t="str">
        <x:v>Partial</x:v>
      </x:c>
      <x:c r="I266" s="32"/>
      <x:c r="J266" s="32" t="str">
        <x:v>https://docs.aws.amazon.com/whitepapers/latest/aws-overview/aws-services.html</x:v>
      </x:c>
      <x:c r="K266" s="32" t="str">
        <x:v>2026-07-12</x:v>
      </x:c>
    </x:row>
    <x:row r="267">
      <x:c r="A267" s="32" t="str">
        <x:v>AWS</x:v>
      </x:c>
      <x:c r="B267" s="32" t="str">
        <x:v>AWS Step Functions</x:v>
      </x:c>
      <x:c r="C267" s="32" t="str">
        <x:v>Named service / product family</x:v>
      </x:c>
      <x:c r="D267" s="32" t="str">
        <x:v>Application Integration
Data, Analytics &amp; BI</x:v>
      </x:c>
      <x:c r="E267" s="32" t="str">
        <x:v>Data orchestration
Workflow</x:v>
      </x:c>
      <x:c r="F267" s="32" t="str">
        <x:v>Data workflow orchestration
Serverless workflow orchestration</x:v>
      </x:c>
      <x:c r="G267" s="32" t="str">
        <x:v>Schedule and orchestrate dependent data pipelines and processing tasks.</x:v>
      </x:c>
      <x:c r="H267" s="32" t="str">
        <x:v>Close</x:v>
      </x:c>
      <x:c r="I267" s="32"/>
      <x:c r="J267" s="32" t="str">
        <x:v>https://docs.aws.amazon.com/whitepapers/latest/aws-overview/aws-services.html</x:v>
      </x:c>
      <x:c r="K267" s="32" t="str">
        <x:v>2026-07-12</x:v>
      </x:c>
    </x:row>
    <x:row r="268">
      <x:c r="A268" s="32" t="str">
        <x:v>AWS</x:v>
      </x:c>
      <x:c r="B268" s="32" t="str">
        <x:v>AWS Storage Gateway</x:v>
      </x:c>
      <x:c r="C268" s="32" t="str">
        <x:v>Named service / product family</x:v>
      </x:c>
      <x:c r="D268" s="32" t="str">
        <x:v>Storage</x:v>
      </x:c>
      <x:c r="E268" s="32" t="str">
        <x:v>Hybrid storage</x:v>
      </x:c>
      <x:c r="F268" s="32" t="str">
        <x:v>Hybrid storage gateway</x:v>
      </x:c>
      <x:c r="G268" s="32" t="str">
        <x:v>Connect on-premises applications to cloud storage through local protocols and caching.</x:v>
      </x:c>
      <x:c r="H268" s="32" t="str">
        <x:v>Partial</x:v>
      </x:c>
      <x:c r="I268" s="32"/>
      <x:c r="J268" s="32" t="str">
        <x:v>https://docs.aws.amazon.com/whitepapers/latest/aws-overview/aws-services.html</x:v>
      </x:c>
      <x:c r="K268" s="32" t="str">
        <x:v>2026-07-12</x:v>
      </x:c>
    </x:row>
    <x:row r="269">
      <x:c r="A269" s="32" t="str">
        <x:v>AWS</x:v>
      </x:c>
      <x:c r="B269" s="32" t="str">
        <x:v>AWS Systems Manager</x:v>
      </x:c>
      <x:c r="C269" s="32" t="str">
        <x:v>Named service / product family</x:v>
      </x:c>
      <x:c r="D269" s="32" t="str">
        <x:v>Databases
Governance &amp; Management
Hybrid &amp; Multicloud</x:v>
      </x:c>
      <x:c r="E269" s="32" t="str">
        <x:v>Database fleet
Hybrid management
Operations automation</x:v>
      </x:c>
      <x:c r="F269" s="32" t="str">
        <x:v>Cloud operations automation
Database fleet management
Hybrid and multicloud control plane</x:v>
      </x:c>
      <x:c r="G269" s="32" t="str">
        <x:v>Automate patching, runbooks, configuration and routine operational actions.</x:v>
      </x:c>
      <x:c r="H269" s="32" t="str">
        <x:v>Close, Partial</x:v>
      </x:c>
      <x:c r="I269" s="32"/>
      <x:c r="J269" s="32" t="str">
        <x:v>https://docs.aws.amazon.com/whitepapers/latest/aws-overview/aws-services.html</x:v>
      </x:c>
      <x:c r="K269" s="32" t="str">
        <x:v>2026-07-12</x:v>
      </x:c>
    </x:row>
    <x:row r="270">
      <x:c r="A270" s="32" t="str">
        <x:v>AWS</x:v>
      </x:c>
      <x:c r="B270" s="32" t="str">
        <x:v>AWS Systems Manager Application Manager</x:v>
      </x:c>
      <x:c r="C270" s="32" t="str">
        <x:v>Named service / product family</x:v>
      </x:c>
      <x:c r="D270" s="32" t="str">
        <x:v>Developer Tools &amp; DevOps</x:v>
      </x:c>
      <x:c r="E270" s="32" t="str">
        <x:v>Application lifecycle</x:v>
      </x:c>
      <x:c r="F270" s="32" t="str">
        <x:v>Application portfolio hub</x:v>
      </x:c>
      <x:c r="G270" s="32" t="str">
        <x:v>Model applications and dependencies across cloud resources for operational ownership.</x:v>
      </x:c>
      <x:c r="H270" s="32" t="str">
        <x:v>Partial</x:v>
      </x:c>
      <x:c r="I270" s="32"/>
      <x:c r="J270" s="32" t="str">
        <x:v>https://docs.aws.amazon.com/whitepapers/latest/aws-overview/aws-services.html</x:v>
      </x:c>
      <x:c r="K270" s="32" t="str">
        <x:v>2026-07-12</x:v>
      </x:c>
    </x:row>
    <x:row r="271">
      <x:c r="A271" s="32" t="str">
        <x:v>AWS</x:v>
      </x:c>
      <x:c r="B271" s="32" t="str">
        <x:v>AWS Systems Manager Maintenance Windows</x:v>
      </x:c>
      <x:c r="C271" s="32" t="str">
        <x:v>Named service / product family</x:v>
      </x:c>
      <x:c r="D271" s="32" t="str">
        <x:v>Observability &amp; Reliability</x:v>
      </x:c>
      <x:c r="E271" s="32" t="str">
        <x:v>Status and maintenance</x:v>
      </x:c>
      <x:c r="F271" s="32" t="str">
        <x:v>Maintenance coordination</x:v>
      </x:c>
      <x:c r="G271" s="32" t="str">
        <x:v>Coordinate provider maintenance and workload updates to reduce disruption.</x:v>
      </x:c>
      <x:c r="H271" s="32" t="str">
        <x:v>Close</x:v>
      </x:c>
      <x:c r="I271" s="32"/>
      <x:c r="J271" s="32" t="str">
        <x:v>https://docs.aws.amazon.com/whitepapers/latest/aws-overview/aws-services.html</x:v>
      </x:c>
      <x:c r="K271" s="32" t="str">
        <x:v>2026-07-12</x:v>
      </x:c>
    </x:row>
    <x:row r="272">
      <x:c r="A272" s="32" t="str">
        <x:v>AWS</x:v>
      </x:c>
      <x:c r="B272" s="32" t="str">
        <x:v>AWS Systems Manager Session Manager</x:v>
      </x:c>
      <x:c r="C272" s="32" t="str">
        <x:v>Named service / product family</x:v>
      </x:c>
      <x:c r="D272" s="32" t="str">
        <x:v>Security, Identity &amp; Compliance</x:v>
      </x:c>
      <x:c r="E272" s="32" t="str">
        <x:v>Bastion access</x:v>
      </x:c>
      <x:c r="F272" s="32" t="str">
        <x:v>Managed bastion access</x:v>
      </x:c>
      <x:c r="G272" s="32" t="str">
        <x:v>Provide controlled administrative access to private virtual machines.</x:v>
      </x:c>
      <x:c r="H272" s="32" t="str">
        <x:v>Close</x:v>
      </x:c>
      <x:c r="I272" s="32"/>
      <x:c r="J272" s="32" t="str">
        <x:v>https://docs.aws.amazon.com/whitepapers/latest/aws-overview/aws-services.html</x:v>
      </x:c>
      <x:c r="K272" s="32" t="str">
        <x:v>2026-07-12</x:v>
      </x:c>
    </x:row>
    <x:row r="273">
      <x:c r="A273" s="32" t="str">
        <x:v>AWS</x:v>
      </x:c>
      <x:c r="B273" s="32" t="str">
        <x:v>AWS Telco Network Builder</x:v>
      </x:c>
      <x:c r="C273" s="32" t="str">
        <x:v>Named service / product family</x:v>
      </x:c>
      <x:c r="D273" s="32" t="str">
        <x:v>Industry &amp; Specialist</x:v>
      </x:c>
      <x:c r="E273" s="32" t="str">
        <x:v>Telecommunications</x:v>
      </x:c>
      <x:c r="F273" s="32" t="str">
        <x:v>Telecom network automation</x:v>
      </x:c>
      <x:c r="G273" s="32" t="str">
        <x:v>Automate and optimise telecom network operations using cloud-native capabilities.</x:v>
      </x:c>
      <x:c r="H273" s="32" t="str">
        <x:v>Close</x:v>
      </x:c>
      <x:c r="I273" s="32"/>
      <x:c r="J273" s="32" t="str">
        <x:v>https://docs.aws.amazon.com/whitepapers/latest/aws-overview/aws-services.html</x:v>
      </x:c>
      <x:c r="K273" s="32" t="str">
        <x:v>2026-07-12</x:v>
      </x:c>
    </x:row>
    <x:row r="274">
      <x:c r="A274" s="32" t="str">
        <x:v>AWS</x:v>
      </x:c>
      <x:c r="B274" s="32" t="str">
        <x:v>AWS Trainium</x:v>
      </x:c>
      <x:c r="C274" s="32" t="str">
        <x:v>Named service / product family</x:v>
      </x:c>
      <x:c r="D274" s="32" t="str">
        <x:v>AI &amp; Machine Learning</x:v>
      </x:c>
      <x:c r="E274" s="32" t="str">
        <x:v>AI infrastructure</x:v>
      </x:c>
      <x:c r="F274" s="32" t="str">
        <x:v>AI accelerators</x:v>
      </x:c>
      <x:c r="G274" s="32" t="str">
        <x:v>Provide specialised GPU or accelerator infrastructure for training and inference.</x:v>
      </x:c>
      <x:c r="H274" s="32" t="str">
        <x:v>Close</x:v>
      </x:c>
      <x:c r="I274" s="32"/>
      <x:c r="J274" s="32" t="str">
        <x:v>https://docs.aws.amazon.com/whitepapers/latest/aws-overview/aws-services.html</x:v>
      </x:c>
      <x:c r="K274" s="32" t="str">
        <x:v>2026-07-12</x:v>
      </x:c>
    </x:row>
    <x:row r="275">
      <x:c r="A275" s="32" t="str">
        <x:v>AWS</x:v>
      </x:c>
      <x:c r="B275" s="32" t="str">
        <x:v>AWS Transfer Family</x:v>
      </x:c>
      <x:c r="C275" s="32" t="str">
        <x:v>Named service / product family</x:v>
      </x:c>
      <x:c r="D275" s="32" t="str">
        <x:v>Migration &amp; Modernisation
Storage</x:v>
      </x:c>
      <x:c r="E275" s="32" t="str">
        <x:v>Data transfer
File transfer</x:v>
      </x:c>
      <x:c r="F275" s="32" t="str">
        <x:v>Managed file transfer
Online data transfer</x:v>
      </x:c>
      <x:c r="G275" s="32" t="str">
        <x:v>Transfer large datasets between on-premises systems, clouds and cloud storage.</x:v>
      </x:c>
      <x:c r="H275" s="32" t="str">
        <x:v>Close, Partial</x:v>
      </x:c>
      <x:c r="I275" s="32"/>
      <x:c r="J275" s="32" t="str">
        <x:v>https://docs.aws.amazon.com/whitepapers/latest/aws-overview/aws-services.html</x:v>
      </x:c>
      <x:c r="K275" s="32" t="str">
        <x:v>2026-07-12</x:v>
      </x:c>
    </x:row>
    <x:row r="276">
      <x:c r="A276" s="32" t="str">
        <x:v>AWS</x:v>
      </x:c>
      <x:c r="B276" s="32" t="str">
        <x:v>AWS Transform</x:v>
      </x:c>
      <x:c r="C276" s="32" t="str">
        <x:v>Named service / product family</x:v>
      </x:c>
      <x:c r="D276" s="32" t="str">
        <x:v>Migration &amp; Modernisation</x:v>
      </x:c>
      <x:c r="E276" s="32" t="str">
        <x:v>Application modernisation
Mainframe</x:v>
      </x:c>
      <x:c r="F276" s="32" t="str">
        <x:v>Application modernisation
Mainframe modernisation</x:v>
      </x:c>
      <x:c r="G276" s="32" t="str">
        <x:v>Assess and transform legacy applications into cloud-native architectures.</x:v>
      </x:c>
      <x:c r="H276" s="32" t="str">
        <x:v>Close, Partial</x:v>
      </x:c>
      <x:c r="I276" s="32"/>
      <x:c r="J276" s="32" t="str">
        <x:v>https://docs.aws.amazon.com/whitepapers/latest/aws-overview/aws-services.html</x:v>
      </x:c>
      <x:c r="K276" s="32" t="str">
        <x:v>2026-07-12</x:v>
      </x:c>
    </x:row>
    <x:row r="277">
      <x:c r="A277" s="32" t="str">
        <x:v>AWS</x:v>
      </x:c>
      <x:c r="B277" s="32" t="str">
        <x:v>AWS Transit Gateway</x:v>
      </x:c>
      <x:c r="C277" s="32" t="str">
        <x:v>Named service / product family</x:v>
      </x:c>
      <x:c r="D277" s="32" t="str">
        <x:v>Networking</x:v>
      </x:c>
      <x:c r="E277" s="32" t="str">
        <x:v>Transit networking</x:v>
      </x:c>
      <x:c r="F277" s="32" t="str">
        <x:v>Cloud network transit hub</x:v>
      </x:c>
      <x:c r="G277" s="32" t="str">
        <x:v>Connect many virtual networks, branches and hybrid links through a central hub.</x:v>
      </x:c>
      <x:c r="H277" s="32" t="str">
        <x:v>Close</x:v>
      </x:c>
      <x:c r="I277" s="32"/>
      <x:c r="J277" s="32" t="str">
        <x:v>https://docs.aws.amazon.com/whitepapers/latest/aws-overview/aws-services.html</x:v>
      </x:c>
      <x:c r="K277" s="32" t="str">
        <x:v>2026-07-12</x:v>
      </x:c>
    </x:row>
    <x:row r="278">
      <x:c r="A278" s="32" t="str">
        <x:v>AWS</x:v>
      </x:c>
      <x:c r="B278" s="32" t="str">
        <x:v>AWS Trusted Advisor</x:v>
      </x:c>
      <x:c r="C278" s="32" t="str">
        <x:v>Named service / product family</x:v>
      </x:c>
      <x:c r="D278" s="32" t="str">
        <x:v>Governance &amp; Management</x:v>
      </x:c>
      <x:c r="E278" s="32" t="str">
        <x:v>Architecture assurance</x:v>
      </x:c>
      <x:c r="F278" s="32" t="str">
        <x:v>Well-architected assessment</x:v>
      </x:c>
      <x:c r="G278" s="32" t="str">
        <x:v>Assess workloads against cloud architecture, resilience, security and cost practices.</x:v>
      </x:c>
      <x:c r="H278" s="32" t="str">
        <x:v>Close</x:v>
      </x:c>
      <x:c r="I278" s="32"/>
      <x:c r="J278" s="32" t="str">
        <x:v>https://docs.aws.amazon.com/whitepapers/latest/aws-overview/aws-services.html</x:v>
      </x:c>
      <x:c r="K278" s="32" t="str">
        <x:v>2026-07-12</x:v>
      </x:c>
    </x:row>
    <x:row r="279">
      <x:c r="A279" s="32" t="str">
        <x:v>AWS</x:v>
      </x:c>
      <x:c r="B279" s="32" t="str">
        <x:v>AWS User Notifications</x:v>
      </x:c>
      <x:c r="C279" s="32" t="str">
        <x:v>Named service / product family</x:v>
      </x:c>
      <x:c r="D279" s="32" t="str">
        <x:v>Governance &amp; Management</x:v>
      </x:c>
      <x:c r="E279" s="32" t="str">
        <x:v>Notifications</x:v>
      </x:c>
      <x:c r="F279" s="32" t="str">
        <x:v>Central cloud notifications</x:v>
      </x:c>
      <x:c r="G279" s="32" t="str">
        <x:v>Route cloud operational and governance notifications to users and channels.</x:v>
      </x:c>
      <x:c r="H279" s="32" t="str">
        <x:v>Close</x:v>
      </x:c>
      <x:c r="I279" s="32"/>
      <x:c r="J279" s="32" t="str">
        <x:v>https://docs.aws.amazon.com/whitepapers/latest/aws-overview/aws-services.html</x:v>
      </x:c>
      <x:c r="K279" s="32" t="str">
        <x:v>2026-07-12</x:v>
      </x:c>
    </x:row>
    <x:row r="280">
      <x:c r="A280" s="32" t="str">
        <x:v>AWS</x:v>
      </x:c>
      <x:c r="B280" s="32" t="str">
        <x:v>AWS Verified Access</x:v>
      </x:c>
      <x:c r="C280" s="32" t="str">
        <x:v>Named service / product family</x:v>
      </x:c>
      <x:c r="D280" s="32" t="str">
        <x:v>Networking</x:v>
      </x:c>
      <x:c r="E280" s="32" t="str">
        <x:v>Zero trust access</x:v>
      </x:c>
      <x:c r="F280" s="32" t="str">
        <x:v>Identity-aware application access</x:v>
      </x:c>
      <x:c r="G280" s="32" t="str">
        <x:v>Provide identity-based access to private applications without broad network access.</x:v>
      </x:c>
      <x:c r="H280" s="32" t="str">
        <x:v>Close</x:v>
      </x:c>
      <x:c r="I280" s="32"/>
      <x:c r="J280" s="32" t="str">
        <x:v>https://docs.aws.amazon.com/whitepapers/latest/aws-overview/aws-services.html</x:v>
      </x:c>
      <x:c r="K280" s="32" t="str">
        <x:v>2026-07-12</x:v>
      </x:c>
    </x:row>
    <x:row r="281">
      <x:c r="A281" s="32" t="str">
        <x:v>AWS</x:v>
      </x:c>
      <x:c r="B281" s="32" t="str">
        <x:v>AWS WAF</x:v>
      </x:c>
      <x:c r="C281" s="32" t="str">
        <x:v>Named service / product family</x:v>
      </x:c>
      <x:c r="D281" s="32" t="str">
        <x:v>Security, Identity &amp; Compliance</x:v>
      </x:c>
      <x:c r="E281" s="32" t="str">
        <x:v>Web security</x:v>
      </x:c>
      <x:c r="F281" s="32" t="str">
        <x:v>Web application firewall</x:v>
      </x:c>
      <x:c r="G281" s="32" t="str">
        <x:v>Protect web applications from common exploits and malicious HTTP traffic.</x:v>
      </x:c>
      <x:c r="H281" s="32" t="str">
        <x:v>Exact</x:v>
      </x:c>
      <x:c r="I281" s="32"/>
      <x:c r="J281" s="32" t="str">
        <x:v>https://docs.aws.amazon.com/whitepapers/latest/aws-overview/aws-services.html</x:v>
      </x:c>
      <x:c r="K281" s="32" t="str">
        <x:v>2026-07-12</x:v>
      </x:c>
    </x:row>
    <x:row r="282">
      <x:c r="A282" s="32" t="str">
        <x:v>AWS</x:v>
      </x:c>
      <x:c r="B282" s="32" t="str">
        <x:v>AWS Wavelength</x:v>
      </x:c>
      <x:c r="C282" s="32" t="str">
        <x:v>Named service / product family</x:v>
      </x:c>
      <x:c r="D282" s="32" t="str">
        <x:v>Compute &amp; Application Hosting
Industry &amp; Specialist</x:v>
      </x:c>
      <x:c r="E282" s="32" t="str">
        <x:v>Edge compute
Telecommunications</x:v>
      </x:c>
      <x:c r="F282" s="32" t="str">
        <x:v>Provider edge compute
Telecom network automation</x:v>
      </x:c>
      <x:c r="G282" s="32" t="str">
        <x:v>Run cloud compute and services near users, devices or telecom networks.</x:v>
      </x:c>
      <x:c r="H282" s="32" t="str">
        <x:v>Close</x:v>
      </x:c>
      <x:c r="I282" s="32"/>
      <x:c r="J282" s="32" t="str">
        <x:v>https://docs.aws.amazon.com/whitepapers/latest/aws-overview/aws-services.html</x:v>
      </x:c>
      <x:c r="K282" s="32" t="str">
        <x:v>2026-07-12</x:v>
      </x:c>
    </x:row>
    <x:row r="283">
      <x:c r="A283" s="32" t="str">
        <x:v>AWS</x:v>
      </x:c>
      <x:c r="B283" s="32" t="str">
        <x:v>AWS Well-Architected Tool</x:v>
      </x:c>
      <x:c r="C283" s="32" t="str">
        <x:v>Named service / product family</x:v>
      </x:c>
      <x:c r="D283" s="32" t="str">
        <x:v>Governance &amp; Management</x:v>
      </x:c>
      <x:c r="E283" s="32" t="str">
        <x:v>Architecture assurance</x:v>
      </x:c>
      <x:c r="F283" s="32" t="str">
        <x:v>Well-architected assessment</x:v>
      </x:c>
      <x:c r="G283" s="32" t="str">
        <x:v>Assess workloads against cloud architecture, resilience, security and cost practices.</x:v>
      </x:c>
      <x:c r="H283" s="32" t="str">
        <x:v>Close</x:v>
      </x:c>
      <x:c r="I283" s="32"/>
      <x:c r="J283" s="32" t="str">
        <x:v>https://docs.aws.amazon.com/whitepapers/latest/aws-overview/aws-services.html</x:v>
      </x:c>
      <x:c r="K283" s="32" t="str">
        <x:v>2026-07-12</x:v>
      </x:c>
    </x:row>
    <x:row r="284">
      <x:c r="A284" s="32" t="str">
        <x:v>AWS</x:v>
      </x:c>
      <x:c r="B284" s="32" t="str">
        <x:v>AWS X-Ray</x:v>
      </x:c>
      <x:c r="C284" s="32" t="str">
        <x:v>Named service / product family</x:v>
      </x:c>
      <x:c r="D284" s="32" t="str">
        <x:v>Observability &amp; Reliability</x:v>
      </x:c>
      <x:c r="E284" s="32" t="str">
        <x:v>APM
Error tracking
Tracing</x:v>
      </x:c>
      <x:c r="F284" s="32" t="str">
        <x:v>Application error reporting
Application performance monitoring
Distributed tracing</x:v>
      </x:c>
      <x:c r="G284" s="32" t="str">
        <x:v>Trace requests across distributed services to diagnose latency and failures.</x:v>
      </x:c>
      <x:c r="H284" s="32" t="str">
        <x:v>Close, Exact</x:v>
      </x:c>
      <x:c r="I284" s="32"/>
      <x:c r="J284" s="32" t="str">
        <x:v>https://docs.aws.amazon.com/whitepapers/latest/aws-overview/aws-services.html</x:v>
      </x:c>
      <x:c r="K284" s="32" t="str">
        <x:v>2026-07-12</x:v>
      </x:c>
    </x:row>
    <x:row r="285">
      <x:c r="A285" s="32" t="str">
        <x:v>AWS</x:v>
      </x:c>
      <x:c r="B285" s="32" t="str">
        <x:v>confidential EC2 instances</x:v>
      </x:c>
      <x:c r="C285" s="32" t="str">
        <x:v>Named service / product family</x:v>
      </x:c>
      <x:c r="D285" s="32" t="str">
        <x:v>Security, Identity &amp; Compliance</x:v>
      </x:c>
      <x:c r="E285" s="32" t="str">
        <x:v>Confidential computing</x:v>
      </x:c>
      <x:c r="F285" s="32" t="str">
        <x:v>Confidential virtual machines</x:v>
      </x:c>
      <x:c r="G285" s="32" t="str">
        <x:v>Protect data in use with hardware-backed trusted execution environments.</x:v>
      </x:c>
      <x:c r="H285" s="32" t="str">
        <x:v>Close</x:v>
      </x:c>
      <x:c r="I285" s="32"/>
      <x:c r="J285" s="32" t="str">
        <x:v>https://docs.aws.amazon.com/whitepapers/latest/aws-overview/aws-services.html</x:v>
      </x:c>
      <x:c r="K285" s="32" t="str">
        <x:v>2026-07-12</x:v>
      </x:c>
    </x:row>
    <x:row r="286">
      <x:c r="A286" s="32" t="str">
        <x:v>AWS</x:v>
      </x:c>
      <x:c r="B286" s="32" t="str">
        <x:v>Contact Lens</x:v>
      </x:c>
      <x:c r="C286" s="32" t="str">
        <x:v>Named service / product family</x:v>
      </x:c>
      <x:c r="D286" s="32" t="str">
        <x:v>AI &amp; Machine Learning</x:v>
      </x:c>
      <x:c r="E286" s="32" t="str">
        <x:v>Contact-centre AI</x:v>
      </x:c>
      <x:c r="F286" s="32" t="str">
        <x:v>Agent assistance and conversation analytics</x:v>
      </x:c>
      <x:c r="G286" s="32" t="str">
        <x:v>Assist human contact-centre agents and analyse customer interactions.</x:v>
      </x:c>
      <x:c r="H286" s="32" t="str">
        <x:v>Partial</x:v>
      </x:c>
      <x:c r="I286" s="32"/>
      <x:c r="J286" s="32" t="str">
        <x:v>https://docs.aws.amazon.com/whitepapers/latest/aws-overview/aws-services.html</x:v>
      </x:c>
      <x:c r="K286" s="32" t="str">
        <x:v>2026-07-12</x:v>
      </x:c>
    </x:row>
    <x:row r="287">
      <x:c r="A287" s="32" t="str">
        <x:v>AWS</x:v>
      </x:c>
      <x:c r="B287" s="32" t="str">
        <x:v>EC2 Image Builder</x:v>
      </x:c>
      <x:c r="C287" s="32" t="str">
        <x:v>Named service / product family</x:v>
      </x:c>
      <x:c r="D287" s="32" t="str">
        <x:v>Compute &amp; Application Hosting</x:v>
      </x:c>
      <x:c r="E287" s="32" t="str">
        <x:v>Image management</x:v>
      </x:c>
      <x:c r="F287" s="32" t="str">
        <x:v>Machine image builder</x:v>
      </x:c>
      <x:c r="G287" s="32" t="str">
        <x:v>Automate creation, validation and distribution of hardened machine images.</x:v>
      </x:c>
      <x:c r="H287" s="32" t="str">
        <x:v>Close</x:v>
      </x:c>
      <x:c r="I287" s="32"/>
      <x:c r="J287" s="32" t="str">
        <x:v>https://docs.aws.amazon.com/whitepapers/latest/aws-overview/aws-services.html</x:v>
      </x:c>
      <x:c r="K287" s="32" t="str">
        <x:v>2026-07-12</x:v>
      </x:c>
    </x:row>
    <x:row r="288">
      <x:c r="A288" s="32" t="str">
        <x:v>AWS</x:v>
      </x:c>
      <x:c r="B288" s="32" t="str">
        <x:v>EC2 Instance Connect Endpoint</x:v>
      </x:c>
      <x:c r="C288" s="32" t="str">
        <x:v>Named service / product family</x:v>
      </x:c>
      <x:c r="D288" s="32" t="str">
        <x:v>Security, Identity &amp; Compliance</x:v>
      </x:c>
      <x:c r="E288" s="32" t="str">
        <x:v>Bastion access</x:v>
      </x:c>
      <x:c r="F288" s="32" t="str">
        <x:v>Managed bastion access</x:v>
      </x:c>
      <x:c r="G288" s="32" t="str">
        <x:v>Provide controlled administrative access to private virtual machines.</x:v>
      </x:c>
      <x:c r="H288" s="32" t="str">
        <x:v>Close</x:v>
      </x:c>
      <x:c r="I288" s="32"/>
      <x:c r="J288" s="32" t="str">
        <x:v>https://docs.aws.amazon.com/whitepapers/latest/aws-overview/aws-services.html</x:v>
      </x:c>
      <x:c r="K288" s="32" t="str">
        <x:v>2026-07-12</x:v>
      </x:c>
    </x:row>
    <x:row r="289">
      <x:c r="A289" s="32" t="str">
        <x:v>AWS</x:v>
      </x:c>
      <x:c r="B289" s="32" t="str">
        <x:v>EC2 instance store</x:v>
      </x:c>
      <x:c r="C289" s="32" t="str">
        <x:v>Named service / product family</x:v>
      </x:c>
      <x:c r="D289" s="32" t="str">
        <x:v>Storage</x:v>
      </x:c>
      <x:c r="E289" s="32" t="str">
        <x:v>Local storage</x:v>
      </x:c>
      <x:c r="F289" s="32" t="str">
        <x:v>Local ephemeral SSD</x:v>
      </x:c>
      <x:c r="G289" s="32" t="str">
        <x:v>Provide high-performance storage physically attached to the compute host.</x:v>
      </x:c>
      <x:c r="H289" s="32" t="str">
        <x:v>Close</x:v>
      </x:c>
      <x:c r="I289" s="32"/>
      <x:c r="J289" s="32" t="str">
        <x:v>https://docs.aws.amazon.com/whitepapers/latest/aws-overview/aws-services.html</x:v>
      </x:c>
      <x:c r="K289" s="32" t="str">
        <x:v>2026-07-12</x:v>
      </x:c>
    </x:row>
    <x:row r="290">
      <x:c r="A290" s="32" t="str">
        <x:v>AWS</x:v>
      </x:c>
      <x:c r="B290" s="32" t="str">
        <x:v>FreeRTOS</x:v>
      </x:c>
      <x:c r="C290" s="32" t="str">
        <x:v>Named service / product family</x:v>
      </x:c>
      <x:c r="D290" s="32" t="str">
        <x:v>IoT &amp; Edge</x:v>
      </x:c>
      <x:c r="E290" s="32" t="str">
        <x:v>Embedded OS</x:v>
      </x:c>
      <x:c r="F290" s="32" t="str">
        <x:v>Embedded real-time operating system</x:v>
      </x:c>
      <x:c r="G290" s="32" t="str">
        <x:v>Provide an open real-time operating system and cloud integration for microcontrollers.</x:v>
      </x:c>
      <x:c r="H290" s="32" t="str">
        <x:v>Partial</x:v>
      </x:c>
      <x:c r="I290" s="32"/>
      <x:c r="J290" s="32" t="str">
        <x:v>https://docs.aws.amazon.com/whitepapers/latest/aws-overview/aws-services.html</x:v>
      </x:c>
      <x:c r="K290" s="32" t="str">
        <x:v>2026-07-12</x:v>
      </x:c>
    </x:row>
    <x:row r="291">
      <x:c r="A291" s="32" t="str">
        <x:v>AWS</x:v>
      </x:c>
      <x:c r="B291" s="32" t="str">
        <x:v>Gateway Load Balancer</x:v>
      </x:c>
      <x:c r="C291" s="32" t="str">
        <x:v>Named service / product family</x:v>
      </x:c>
      <x:c r="D291" s="32" t="str">
        <x:v>Networking</x:v>
      </x:c>
      <x:c r="E291" s="32" t="str">
        <x:v>Load balancing</x:v>
      </x:c>
      <x:c r="F291" s="32" t="str">
        <x:v>Layer 4 load balancing</x:v>
      </x:c>
      <x:c r="G291" s="32" t="str">
        <x:v>Distribute TCP or UDP traffic across healthy backend services.</x:v>
      </x:c>
      <x:c r="H291" s="32" t="str">
        <x:v>Close</x:v>
      </x:c>
      <x:c r="I291" s="32"/>
      <x:c r="J291" s="32" t="str">
        <x:v>https://docs.aws.amazon.com/whitepapers/latest/aws-overview/aws-services.html</x:v>
      </x:c>
      <x:c r="K291" s="32" t="str">
        <x:v>2026-07-12</x:v>
      </x:c>
    </x:row>
    <x:row r="292">
      <x:c r="A292" s="32" t="str">
        <x:v>AWS</x:v>
      </x:c>
      <x:c r="B292" s="32" t="str">
        <x:v>Guardrails for Amazon Bedrock</x:v>
      </x:c>
      <x:c r="C292" s="32" t="str">
        <x:v>Named service / product family</x:v>
      </x:c>
      <x:c r="D292" s="32" t="str">
        <x:v>AI &amp; Machine Learning</x:v>
      </x:c>
      <x:c r="E292" s="32" t="str">
        <x:v>AI safety</x:v>
      </x:c>
      <x:c r="F292" s="32" t="str">
        <x:v>Generative-AI guardrails
Prompt-injection protection</x:v>
      </x:c>
      <x:c r="G292" s="32" t="str">
        <x:v>Apply safety policies, topic controls, grounding checks and content filters to model interactions.</x:v>
      </x:c>
      <x:c r="H292" s="32" t="str">
        <x:v>Close</x:v>
      </x:c>
      <x:c r="I292" s="32"/>
      <x:c r="J292" s="32" t="str">
        <x:v>https://docs.aws.amazon.com/whitepapers/latest/aws-overview/aws-services.html</x:v>
      </x:c>
      <x:c r="K292" s="32" t="str">
        <x:v>2026-07-12</x:v>
      </x:c>
    </x:row>
    <x:row r="293">
      <x:c r="A293" s="32" t="str">
        <x:v>AWS</x:v>
      </x:c>
      <x:c r="B293" s="32" t="str">
        <x:v>Integrated Private Wireless on AWS</x:v>
      </x:c>
      <x:c r="C293" s="32" t="str">
        <x:v>Named service / product family</x:v>
      </x:c>
      <x:c r="D293" s="32" t="str">
        <x:v>Networking</x:v>
      </x:c>
      <x:c r="E293" s="32" t="str">
        <x:v>Private wireless</x:v>
      </x:c>
      <x:c r="F293" s="32" t="str">
        <x:v>Private 5G and edge networking</x:v>
      </x:c>
      <x:c r="G293" s="32" t="str">
        <x:v>Deploy private cellular connectivity integrated with cloud management.</x:v>
      </x:c>
      <x:c r="H293" s="32" t="str">
        <x:v>Partial</x:v>
      </x:c>
      <x:c r="I293" s="32"/>
      <x:c r="J293" s="32" t="str">
        <x:v>https://docs.aws.amazon.com/whitepapers/latest/aws-overview/aws-services.html</x:v>
      </x:c>
      <x:c r="K293" s="32" t="str">
        <x:v>2026-07-12</x:v>
      </x:c>
    </x:row>
    <x:row r="294">
      <x:c r="A294" s="32" t="str">
        <x:v>AWS</x:v>
      </x:c>
      <x:c r="B294" s="32" t="str">
        <x:v>Kiro</x:v>
      </x:c>
      <x:c r="C294" s="32" t="str">
        <x:v>Named service / product family</x:v>
      </x:c>
      <x:c r="D294" s="32" t="str">
        <x:v>AI &amp; Machine Learning</x:v>
      </x:c>
      <x:c r="E294" s="32" t="str">
        <x:v>Developer AI</x:v>
      </x:c>
      <x:c r="F294" s="32" t="str">
        <x:v>AI coding assistant</x:v>
      </x:c>
      <x:c r="G294" s="32" t="str">
        <x:v>Generate, explain, review and transform code within developer workflows.</x:v>
      </x:c>
      <x:c r="H294" s="32" t="str">
        <x:v>Close</x:v>
      </x:c>
      <x:c r="I294" s="32"/>
      <x:c r="J294" s="32" t="str">
        <x:v>https://docs.aws.amazon.com/whitepapers/latest/aws-overview/aws-services.html</x:v>
      </x:c>
      <x:c r="K294" s="32" t="str">
        <x:v>2026-07-12</x:v>
      </x:c>
    </x:row>
    <x:row r="295">
      <x:c r="A295" s="32" t="str">
        <x:v>AWS</x:v>
      </x:c>
      <x:c r="B295" s="32" t="str">
        <x:v>Knowledge Bases for Amazon Bedrock</x:v>
      </x:c>
      <x:c r="C295" s="32" t="str">
        <x:v>Named service / product family</x:v>
      </x:c>
      <x:c r="D295" s="32" t="str">
        <x:v>AI &amp; Machine Learning</x:v>
      </x:c>
      <x:c r="E295" s="32" t="str">
        <x:v>RAG</x:v>
      </x:c>
      <x:c r="F295" s="32" t="str">
        <x:v>Managed knowledge bases for RAG</x:v>
      </x:c>
      <x:c r="G295" s="32" t="str">
        <x:v>Connect enterprise content to foundation models for grounded retrieval-augmented generation.</x:v>
      </x:c>
      <x:c r="H295" s="32" t="str">
        <x:v>Close</x:v>
      </x:c>
      <x:c r="I295" s="32"/>
      <x:c r="J295" s="32" t="str">
        <x:v>https://docs.aws.amazon.com/whitepapers/latest/aws-overview/aws-services.html</x:v>
      </x:c>
      <x:c r="K295" s="32" t="str">
        <x:v>2026-07-12</x:v>
      </x:c>
    </x:row>
    <x:row r="296">
      <x:c r="A296" s="32" t="str">
        <x:v>AWS</x:v>
      </x:c>
      <x:c r="B296" s="32" t="str">
        <x:v>NAT Gateway</x:v>
      </x:c>
      <x:c r="C296" s="32" t="str">
        <x:v>Named service / product family</x:v>
      </x:c>
      <x:c r="D296" s="32" t="str">
        <x:v>Networking</x:v>
      </x:c>
      <x:c r="E296" s="32" t="str">
        <x:v>NAT</x:v>
      </x:c>
      <x:c r="F296" s="32" t="str">
        <x:v>Managed network address translation</x:v>
      </x:c>
      <x:c r="G296" s="32" t="str">
        <x:v>Provide controlled outbound internet access for private workloads.</x:v>
      </x:c>
      <x:c r="H296" s="32" t="str">
        <x:v>Exact</x:v>
      </x:c>
      <x:c r="I296" s="32"/>
      <x:c r="J296" s="32" t="str">
        <x:v>https://docs.aws.amazon.com/whitepapers/latest/aws-overview/aws-services.html</x:v>
      </x:c>
      <x:c r="K296" s="32" t="str">
        <x:v>2026-07-12</x:v>
      </x:c>
    </x:row>
    <x:row r="297">
      <x:c r="A297" s="32" t="str">
        <x:v>AWS</x:v>
      </x:c>
      <x:c r="B297" s="32" t="str">
        <x:v>Network Access Analyzer</x:v>
      </x:c>
      <x:c r="C297" s="32" t="str">
        <x:v>Named service / product family</x:v>
      </x:c>
      <x:c r="D297" s="32" t="str">
        <x:v>Networking</x:v>
      </x:c>
      <x:c r="E297" s="32" t="str">
        <x:v>Network visibility</x:v>
      </x:c>
      <x:c r="F297" s="32" t="str">
        <x:v>Network monitoring and diagnostics</x:v>
      </x:c>
      <x:c r="G297" s="32" t="str">
        <x:v>Analyse topology, flows, connectivity, latency and network health.</x:v>
      </x:c>
      <x:c r="H297" s="32" t="str">
        <x:v>Close</x:v>
      </x:c>
      <x:c r="I297" s="32"/>
      <x:c r="J297" s="32" t="str">
        <x:v>https://docs.aws.amazon.com/whitepapers/latest/aws-overview/aws-services.html</x:v>
      </x:c>
      <x:c r="K297" s="32" t="str">
        <x:v>2026-07-12</x:v>
      </x:c>
    </x:row>
    <x:row r="298">
      <x:c r="A298" s="32" t="str">
        <x:v>AWS</x:v>
      </x:c>
      <x:c r="B298" s="32" t="str">
        <x:v>Network ACLs</x:v>
      </x:c>
      <x:c r="C298" s="32" t="str">
        <x:v>Named service / product family</x:v>
      </x:c>
      <x:c r="D298" s="32" t="str">
        <x:v>Networking</x:v>
      </x:c>
      <x:c r="E298" s="32" t="str">
        <x:v>Network segmentation</x:v>
      </x:c>
      <x:c r="F298" s="32" t="str">
        <x:v>Network security groups</x:v>
      </x:c>
      <x:c r="G298" s="32" t="str">
        <x:v>Apply stateful network access rules to interfaces, workloads or subnets.</x:v>
      </x:c>
      <x:c r="H298" s="32" t="str">
        <x:v>Close</x:v>
      </x:c>
      <x:c r="I298" s="32"/>
      <x:c r="J298" s="32" t="str">
        <x:v>https://docs.aws.amazon.com/whitepapers/latest/aws-overview/aws-services.html</x:v>
      </x:c>
      <x:c r="K298" s="32" t="str">
        <x:v>2026-07-12</x:v>
      </x:c>
    </x:row>
    <x:row r="299">
      <x:c r="A299" s="32" t="str">
        <x:v>AWS</x:v>
      </x:c>
      <x:c r="B299" s="32" t="str">
        <x:v>Network Load Balancer</x:v>
      </x:c>
      <x:c r="C299" s="32" t="str">
        <x:v>Named service / product family</x:v>
      </x:c>
      <x:c r="D299" s="32" t="str">
        <x:v>Networking</x:v>
      </x:c>
      <x:c r="E299" s="32" t="str">
        <x:v>Load balancing</x:v>
      </x:c>
      <x:c r="F299" s="32" t="str">
        <x:v>Layer 4 load balancing</x:v>
      </x:c>
      <x:c r="G299" s="32" t="str">
        <x:v>Distribute TCP or UDP traffic across healthy backend services.</x:v>
      </x:c>
      <x:c r="H299" s="32" t="str">
        <x:v>Close</x:v>
      </x:c>
      <x:c r="I299" s="32"/>
      <x:c r="J299" s="32" t="str">
        <x:v>https://docs.aws.amazon.com/whitepapers/latest/aws-overview/aws-services.html</x:v>
      </x:c>
      <x:c r="K299" s="32" t="str">
        <x:v>2026-07-12</x:v>
      </x:c>
    </x:row>
    <x:row r="300">
      <x:c r="A300" s="32" t="str">
        <x:v>AWS</x:v>
      </x:c>
      <x:c r="B300" s="32" t="str">
        <x:v>Oracle Database@AWS</x:v>
      </x:c>
      <x:c r="C300" s="32" t="str">
        <x:v>Named service / product family</x:v>
      </x:c>
      <x:c r="D300" s="32" t="str">
        <x:v>Databases</x:v>
      </x:c>
      <x:c r="E300" s="32" t="str">
        <x:v>Oracle</x:v>
      </x:c>
      <x:c r="F300" s="32" t="str">
        <x:v>Managed Oracle database</x:v>
      </x:c>
      <x:c r="G300" s="32" t="str">
        <x:v>Operate Oracle database workloads through managed or cloud-hosted services.</x:v>
      </x:c>
      <x:c r="H300" s="32" t="str">
        <x:v>Close</x:v>
      </x:c>
      <x:c r="I300" s="32"/>
      <x:c r="J300" s="32" t="str">
        <x:v>https://docs.aws.amazon.com/whitepapers/latest/aws-overview/aws-services.html</x:v>
      </x:c>
      <x:c r="K300" s="32" t="str">
        <x:v>2026-07-12</x:v>
      </x:c>
    </x:row>
    <x:row r="301">
      <x:c r="A301" s="32" t="str">
        <x:v>AWS</x:v>
      </x:c>
      <x:c r="B301" s="32" t="str">
        <x:v>partner SIEM</x:v>
      </x:c>
      <x:c r="C301" s="32" t="str">
        <x:v>Architecture / partner alternative</x:v>
      </x:c>
      <x:c r="D301" s="32" t="str">
        <x:v>Security, Identity &amp; Compliance</x:v>
      </x:c>
      <x:c r="E301" s="32" t="str">
        <x:v>SIEM and SOAR</x:v>
      </x:c>
      <x:c r="F301" s="32" t="str">
        <x:v>Cloud-native SIEM and SOAR</x:v>
      </x:c>
      <x:c r="G301" s="32" t="str">
        <x:v>Centralise security telemetry, detect threats and automate incident response.</x:v>
      </x:c>
      <x:c r="H301" s="32" t="str">
        <x:v>Partial</x:v>
      </x:c>
      <x:c r="I301" s="32" t="str">
        <x:v>AWS provides the data lake and analytics building blocks but does not position one identical first-party SIEM product.</x:v>
      </x:c>
      <x:c r="J301" s="32" t="str">
        <x:v>https://docs.aws.amazon.com/whitepapers/latest/aws-overview/aws-services.html</x:v>
      </x:c>
      <x:c r="K301" s="32" t="str">
        <x:v>2026-07-12</x:v>
      </x:c>
    </x:row>
    <x:row r="302">
      <x:c r="A302" s="32" t="str">
        <x:v>AWS</x:v>
      </x:c>
      <x:c r="B302" s="32" t="str">
        <x:v>Reachability Analyzer</x:v>
      </x:c>
      <x:c r="C302" s="32" t="str">
        <x:v>Named service / product family</x:v>
      </x:c>
      <x:c r="D302" s="32" t="str">
        <x:v>Networking</x:v>
      </x:c>
      <x:c r="E302" s="32" t="str">
        <x:v>Network visibility</x:v>
      </x:c>
      <x:c r="F302" s="32" t="str">
        <x:v>Network monitoring and diagnostics</x:v>
      </x:c>
      <x:c r="G302" s="32" t="str">
        <x:v>Analyse topology, flows, connectivity, latency and network health.</x:v>
      </x:c>
      <x:c r="H302" s="32" t="str">
        <x:v>Close</x:v>
      </x:c>
      <x:c r="I302" s="32"/>
      <x:c r="J302" s="32" t="str">
        <x:v>https://docs.aws.amazon.com/whitepapers/latest/aws-overview/aws-services.html</x:v>
      </x:c>
      <x:c r="K302" s="32" t="str">
        <x:v>2026-07-12</x:v>
      </x:c>
    </x:row>
    <x:row r="303">
      <x:c r="A303" s="32" t="str">
        <x:v>AWS</x:v>
      </x:c>
      <x:c r="B303" s="32" t="str">
        <x:v>Reserved Instances</x:v>
      </x:c>
      <x:c r="C303" s="32" t="str">
        <x:v>Named service / product family</x:v>
      </x:c>
      <x:c r="D303" s="32" t="str">
        <x:v>FinOps &amp; Commercial</x:v>
      </x:c>
      <x:c r="E303" s="32" t="str">
        <x:v>Commitment discounts</x:v>
      </x:c>
      <x:c r="F303" s="32" t="str">
        <x:v>Committed-use savings</x:v>
      </x:c>
      <x:c r="G303" s="32" t="str">
        <x:v>Reduce eligible compute costs through term-based usage commitments.</x:v>
      </x:c>
      <x:c r="H303" s="32" t="str">
        <x:v>Exact</x:v>
      </x:c>
      <x:c r="I303" s="32"/>
      <x:c r="J303" s="32" t="str">
        <x:v>https://docs.aws.amazon.com/whitepapers/latest/aws-overview/aws-services.html</x:v>
      </x:c>
      <x:c r="K303" s="32" t="str">
        <x:v>2026-07-12</x:v>
      </x:c>
    </x:row>
    <x:row r="304">
      <x:c r="A304" s="32" t="str">
        <x:v>AWS</x:v>
      </x:c>
      <x:c r="B304" s="32" t="str">
        <x:v>SageMaker AI</x:v>
      </x:c>
      <x:c r="C304" s="32" t="str">
        <x:v>Named service / product family</x:v>
      </x:c>
      <x:c r="D304" s="32" t="str">
        <x:v>AI &amp; Machine Learning
Industry &amp; Specialist</x:v>
      </x:c>
      <x:c r="E304" s="32" t="str">
        <x:v>Financial crime
Fraud &amp; risk
Talent matching</x:v>
      </x:c>
      <x:c r="F304" s="32" t="str">
        <x:v>Anti-money-laundering AI
Fraud detection
Talent and job matching</x:v>
      </x:c>
      <x:c r="G304" s="32" t="str">
        <x:v>Build or consume models that identify suspicious transactions and behaviour.</x:v>
      </x:c>
      <x:c r="H304" s="32" t="str">
        <x:v>Partial</x:v>
      </x:c>
      <x:c r="I304" s="32"/>
      <x:c r="J304" s="32" t="str">
        <x:v>https://docs.aws.amazon.com/whitepapers/latest/aws-overview/aws-services.html</x:v>
      </x:c>
      <x:c r="K304" s="32" t="str">
        <x:v>2026-07-12</x:v>
      </x:c>
    </x:row>
    <x:row r="305">
      <x:c r="A305" s="32" t="str">
        <x:v>AWS</x:v>
      </x:c>
      <x:c r="B305" s="32" t="str">
        <x:v>SageMaker Autopilot</x:v>
      </x:c>
      <x:c r="C305" s="32" t="str">
        <x:v>Named service / product family</x:v>
      </x:c>
      <x:c r="D305" s="32" t="str">
        <x:v>AI &amp; Machine Learning</x:v>
      </x:c>
      <x:c r="E305" s="32" t="str">
        <x:v>AutoML</x:v>
      </x:c>
      <x:c r="F305" s="32" t="str">
        <x:v>Automated machine learning</x:v>
      </x:c>
      <x:c r="G305" s="32" t="str">
        <x:v>Automatically build and optimise models with reduced manual feature and algorithm work.</x:v>
      </x:c>
      <x:c r="H305" s="32" t="str">
        <x:v>Exact</x:v>
      </x:c>
      <x:c r="I305" s="32"/>
      <x:c r="J305" s="32" t="str">
        <x:v>https://docs.aws.amazon.com/whitepapers/latest/aws-overview/aws-services.html</x:v>
      </x:c>
      <x:c r="K305" s="32" t="str">
        <x:v>2026-07-12</x:v>
      </x:c>
    </x:row>
    <x:row r="306">
      <x:c r="A306" s="32" t="str">
        <x:v>AWS</x:v>
      </x:c>
      <x:c r="B306" s="32" t="str">
        <x:v>SageMaker Batch Transform</x:v>
      </x:c>
      <x:c r="C306" s="32" t="str">
        <x:v>Named service / product family</x:v>
      </x:c>
      <x:c r="D306" s="32" t="str">
        <x:v>AI &amp; Machine Learning</x:v>
      </x:c>
      <x:c r="E306" s="32" t="str">
        <x:v>Inference</x:v>
      </x:c>
      <x:c r="F306" s="32" t="str">
        <x:v>Batch model inference</x:v>
      </x:c>
      <x:c r="G306" s="32" t="str">
        <x:v>Run asynchronous predictions over large datasets.</x:v>
      </x:c>
      <x:c r="H306" s="32" t="str">
        <x:v>Exact</x:v>
      </x:c>
      <x:c r="I306" s="32"/>
      <x:c r="J306" s="32" t="str">
        <x:v>https://docs.aws.amazon.com/whitepapers/latest/aws-overview/aws-services.html</x:v>
      </x:c>
      <x:c r="K306" s="32" t="str">
        <x:v>2026-07-12</x:v>
      </x:c>
    </x:row>
    <x:row r="307">
      <x:c r="A307" s="32" t="str">
        <x:v>AWS</x:v>
      </x:c>
      <x:c r="B307" s="32" t="str">
        <x:v>SageMaker Clarify</x:v>
      </x:c>
      <x:c r="C307" s="32" t="str">
        <x:v>Named service / product family</x:v>
      </x:c>
      <x:c r="D307" s="32" t="str">
        <x:v>AI &amp; Machine Learning</x:v>
      </x:c>
      <x:c r="E307" s="32" t="str">
        <x:v>AI evaluation
Responsible AI</x:v>
      </x:c>
      <x:c r="F307" s="32" t="str">
        <x:v>Foundation-model evaluation
Responsible-AI assessment</x:v>
      </x:c>
      <x:c r="G307" s="32" t="str">
        <x:v>Evaluate fairness, explainability, errors and model behaviour before and after deployment.</x:v>
      </x:c>
      <x:c r="H307" s="32" t="str">
        <x:v>Close</x:v>
      </x:c>
      <x:c r="I307" s="32"/>
      <x:c r="J307" s="32" t="str">
        <x:v>https://docs.aws.amazon.com/whitepapers/latest/aws-overview/aws-services.html</x:v>
      </x:c>
      <x:c r="K307" s="32" t="str">
        <x:v>2026-07-12</x:v>
      </x:c>
    </x:row>
    <x:row r="308">
      <x:c r="A308" s="32" t="str">
        <x:v>AWS</x:v>
      </x:c>
      <x:c r="B308" s="32" t="str">
        <x:v>SageMaker Feature Store</x:v>
      </x:c>
      <x:c r="C308" s="32" t="str">
        <x:v>Named service / product family</x:v>
      </x:c>
      <x:c r="D308" s="32" t="str">
        <x:v>AI &amp; Machine Learning</x:v>
      </x:c>
      <x:c r="E308" s="32" t="str">
        <x:v>MLOps</x:v>
      </x:c>
      <x:c r="F308" s="32" t="str">
        <x:v>Feature store</x:v>
      </x:c>
      <x:c r="G308" s="32" t="str">
        <x:v>Create, govern and serve reusable machine-learning features online and offline.</x:v>
      </x:c>
      <x:c r="H308" s="32" t="str">
        <x:v>Exact</x:v>
      </x:c>
      <x:c r="I308" s="32"/>
      <x:c r="J308" s="32" t="str">
        <x:v>https://docs.aws.amazon.com/whitepapers/latest/aws-overview/aws-services.html</x:v>
      </x:c>
      <x:c r="K308" s="32" t="str">
        <x:v>2026-07-12</x:v>
      </x:c>
    </x:row>
    <x:row r="309">
      <x:c r="A309" s="32" t="str">
        <x:v>AWS</x:v>
      </x:c>
      <x:c r="B309" s="32" t="str">
        <x:v>SageMaker HyperPod</x:v>
      </x:c>
      <x:c r="C309" s="32" t="str">
        <x:v>Named service / product family</x:v>
      </x:c>
      <x:c r="D309" s="32" t="str">
        <x:v>AI &amp; Machine Learning</x:v>
      </x:c>
      <x:c r="E309" s="32" t="str">
        <x:v>Distributed ML</x:v>
      </x:c>
      <x:c r="F309" s="32" t="str">
        <x:v>Distributed ML execution</x:v>
      </x:c>
      <x:c r="G309" s="32" t="str">
        <x:v>Scale Python, ML and AI workloads across distributed compute clusters.</x:v>
      </x:c>
      <x:c r="H309" s="32" t="str">
        <x:v>Close</x:v>
      </x:c>
      <x:c r="I309" s="32"/>
      <x:c r="J309" s="32" t="str">
        <x:v>https://docs.aws.amazon.com/whitepapers/latest/aws-overview/aws-services.html</x:v>
      </x:c>
      <x:c r="K309" s="32" t="str">
        <x:v>2026-07-12</x:v>
      </x:c>
    </x:row>
    <x:row r="310">
      <x:c r="A310" s="32" t="str">
        <x:v>AWS</x:v>
      </x:c>
      <x:c r="B310" s="32" t="str">
        <x:v>SageMaker Model Cards</x:v>
      </x:c>
      <x:c r="C310" s="32" t="str">
        <x:v>Named service / product family</x:v>
      </x:c>
      <x:c r="D310" s="32" t="str">
        <x:v>AI &amp; Machine Learning</x:v>
      </x:c>
      <x:c r="E310" s="32" t="str">
        <x:v>Responsible AI</x:v>
      </x:c>
      <x:c r="F310" s="32" t="str">
        <x:v>Responsible-AI assessment</x:v>
      </x:c>
      <x:c r="G310" s="32" t="str">
        <x:v>Evaluate fairness, explainability, errors and model behaviour before and after deployment.</x:v>
      </x:c>
      <x:c r="H310" s="32" t="str">
        <x:v>Close</x:v>
      </x:c>
      <x:c r="I310" s="32"/>
      <x:c r="J310" s="32" t="str">
        <x:v>https://docs.aws.amazon.com/whitepapers/latest/aws-overview/aws-services.html</x:v>
      </x:c>
      <x:c r="K310" s="32" t="str">
        <x:v>2026-07-12</x:v>
      </x:c>
    </x:row>
    <x:row r="311">
      <x:c r="A311" s="32" t="str">
        <x:v>AWS</x:v>
      </x:c>
      <x:c r="B311" s="32" t="str">
        <x:v>SageMaker Model Monitor</x:v>
      </x:c>
      <x:c r="C311" s="32" t="str">
        <x:v>Named service / product family</x:v>
      </x:c>
      <x:c r="D311" s="32" t="str">
        <x:v>AI &amp; Machine Learning</x:v>
      </x:c>
      <x:c r="E311" s="32" t="str">
        <x:v>MLOps</x:v>
      </x:c>
      <x:c r="F311" s="32" t="str">
        <x:v>Model monitoring</x:v>
      </x:c>
      <x:c r="G311" s="32" t="str">
        <x:v>Monitor deployed models for drift, skew, quality and operational issues.</x:v>
      </x:c>
      <x:c r="H311" s="32" t="str">
        <x:v>Exact</x:v>
      </x:c>
      <x:c r="I311" s="32"/>
      <x:c r="J311" s="32" t="str">
        <x:v>https://docs.aws.amazon.com/whitepapers/latest/aws-overview/aws-services.html</x:v>
      </x:c>
      <x:c r="K311" s="32" t="str">
        <x:v>2026-07-12</x:v>
      </x:c>
    </x:row>
    <x:row r="312">
      <x:c r="A312" s="32" t="str">
        <x:v>AWS</x:v>
      </x:c>
      <x:c r="B312" s="32" t="str">
        <x:v>SageMaker Model Registry</x:v>
      </x:c>
      <x:c r="C312" s="32" t="str">
        <x:v>Named service / product family</x:v>
      </x:c>
      <x:c r="D312" s="32" t="str">
        <x:v>AI &amp; Machine Learning</x:v>
      </x:c>
      <x:c r="E312" s="32" t="str">
        <x:v>MLOps</x:v>
      </x:c>
      <x:c r="F312" s="32" t="str">
        <x:v>Model registry</x:v>
      </x:c>
      <x:c r="G312" s="32" t="str">
        <x:v>Register, version, approve and promote trained models through lifecycle stages.</x:v>
      </x:c>
      <x:c r="H312" s="32" t="str">
        <x:v>Exact</x:v>
      </x:c>
      <x:c r="I312" s="32"/>
      <x:c r="J312" s="32" t="str">
        <x:v>https://docs.aws.amazon.com/whitepapers/latest/aws-overview/aws-services.html</x:v>
      </x:c>
      <x:c r="K312" s="32" t="str">
        <x:v>2026-07-12</x:v>
      </x:c>
    </x:row>
    <x:row r="313">
      <x:c r="A313" s="32" t="str">
        <x:v>AWS</x:v>
      </x:c>
      <x:c r="B313" s="32" t="str">
        <x:v>SageMaker Pipelines</x:v>
      </x:c>
      <x:c r="C313" s="32" t="str">
        <x:v>Named service / product family</x:v>
      </x:c>
      <x:c r="D313" s="32" t="str">
        <x:v>AI &amp; Machine Learning</x:v>
      </x:c>
      <x:c r="E313" s="32" t="str">
        <x:v>MLOps</x:v>
      </x:c>
      <x:c r="F313" s="32" t="str">
        <x:v>ML pipelines</x:v>
      </x:c>
      <x:c r="G313" s="32" t="str">
        <x:v>Orchestrate repeatable data preparation, training, validation and deployment pipelines.</x:v>
      </x:c>
      <x:c r="H313" s="32" t="str">
        <x:v>Exact</x:v>
      </x:c>
      <x:c r="I313" s="32"/>
      <x:c r="J313" s="32" t="str">
        <x:v>https://docs.aws.amazon.com/whitepapers/latest/aws-overview/aws-services.html</x:v>
      </x:c>
      <x:c r="K313" s="32" t="str">
        <x:v>2026-07-12</x:v>
      </x:c>
    </x:row>
    <x:row r="314">
      <x:c r="A314" s="32" t="str">
        <x:v>AWS</x:v>
      </x:c>
      <x:c r="B314" s="32" t="str">
        <x:v>SageMaker real-time inference</x:v>
      </x:c>
      <x:c r="C314" s="32" t="str">
        <x:v>Named service / product family</x:v>
      </x:c>
      <x:c r="D314" s="32" t="str">
        <x:v>AI &amp; Machine Learning</x:v>
      </x:c>
      <x:c r="E314" s="32" t="str">
        <x:v>Inference</x:v>
      </x:c>
      <x:c r="F314" s="32" t="str">
        <x:v>Managed real-time model endpoints</x:v>
      </x:c>
      <x:c r="G314" s="32" t="str">
        <x:v>Serve machine-learning models through autoscaling online inference endpoints.</x:v>
      </x:c>
      <x:c r="H314" s="32" t="str">
        <x:v>Exact</x:v>
      </x:c>
      <x:c r="I314" s="32"/>
      <x:c r="J314" s="32" t="str">
        <x:v>https://docs.aws.amazon.com/whitepapers/latest/aws-overview/aws-services.html</x:v>
      </x:c>
      <x:c r="K314" s="32" t="str">
        <x:v>2026-07-12</x:v>
      </x:c>
    </x:row>
    <x:row r="315">
      <x:c r="A315" s="32" t="str">
        <x:v>AWS</x:v>
      </x:c>
      <x:c r="B315" s="32" t="str">
        <x:v>SAP on AWS</x:v>
      </x:c>
      <x:c r="C315" s="32" t="str">
        <x:v>Named service / product family</x:v>
      </x:c>
      <x:c r="D315" s="32" t="str">
        <x:v>Compute &amp; Application Hosting</x:v>
      </x:c>
      <x:c r="E315" s="32" t="str">
        <x:v>SAP</x:v>
      </x:c>
      <x:c r="F315" s="32" t="str">
        <x:v>SAP workload platform</x:v>
      </x:c>
      <x:c r="G315" s="32" t="str">
        <x:v>Run certified SAP applications and databases on cloud infrastructure.</x:v>
      </x:c>
      <x:c r="H315" s="32" t="str">
        <x:v>Exact</x:v>
      </x:c>
      <x:c r="I315" s="32"/>
      <x:c r="J315" s="32" t="str">
        <x:v>https://docs.aws.amazon.com/whitepapers/latest/aws-overview/aws-services.html</x:v>
      </x:c>
      <x:c r="K315" s="32" t="str">
        <x:v>2026-07-12</x:v>
      </x:c>
    </x:row>
    <x:row r="316">
      <x:c r="A316" s="32" t="str">
        <x:v>AWS</x:v>
      </x:c>
      <x:c r="B316" s="32" t="str">
        <x:v>Security Groups</x:v>
      </x:c>
      <x:c r="C316" s="32" t="str">
        <x:v>Named service / product family</x:v>
      </x:c>
      <x:c r="D316" s="32" t="str">
        <x:v>Networking</x:v>
      </x:c>
      <x:c r="E316" s="32" t="str">
        <x:v>Network segmentation</x:v>
      </x:c>
      <x:c r="F316" s="32" t="str">
        <x:v>Network security groups</x:v>
      </x:c>
      <x:c r="G316" s="32" t="str">
        <x:v>Apply stateful network access rules to interfaces, workloads or subnets.</x:v>
      </x:c>
      <x:c r="H316" s="32" t="str">
        <x:v>Close</x:v>
      </x:c>
      <x:c r="I316" s="32"/>
      <x:c r="J316" s="32" t="str">
        <x:v>https://docs.aws.amazon.com/whitepapers/latest/aws-overview/aws-services.html</x:v>
      </x:c>
      <x:c r="K316" s="32" t="str">
        <x:v>2026-07-12</x:v>
      </x:c>
    </x:row>
    <x:row r="317">
      <x:c r="A317" s="32" t="str">
        <x:v>AWS</x:v>
      </x:c>
      <x:c r="B317" s="32" t="str">
        <x:v>SQL Server on Amazon EC2</x:v>
      </x:c>
      <x:c r="C317" s="32" t="str">
        <x:v>Architecture / partner alternative</x:v>
      </x:c>
      <x:c r="D317" s="32" t="str">
        <x:v>Databases</x:v>
      </x:c>
      <x:c r="E317" s="32" t="str">
        <x:v>SQL Server</x:v>
      </x:c>
      <x:c r="F317" s="32" t="str">
        <x:v>Managed SQL Server</x:v>
      </x:c>
      <x:c r="G317" s="32" t="str">
        <x:v>Run Microsoft SQL Server as a managed database or on cloud virtual machines.</x:v>
      </x:c>
      <x:c r="H317" s="32" t="str">
        <x:v>Close</x:v>
      </x:c>
      <x:c r="I317" s="32"/>
      <x:c r="J317" s="32" t="str">
        <x:v>https://docs.aws.amazon.com/whitepapers/latest/aws-overview/aws-services.html</x:v>
      </x:c>
      <x:c r="K317" s="32" t="str">
        <x:v>2026-07-12</x:v>
      </x:c>
    </x:row>
    <x:row r="318">
      <x:c r="A318" s="32" t="str">
        <x:v>AWS</x:v>
      </x:c>
      <x:c r="B318" s="32" t="str">
        <x:v>Systems Manager Parameter Store</x:v>
      </x:c>
      <x:c r="C318" s="32" t="str">
        <x:v>Named service / product family</x:v>
      </x:c>
      <x:c r="D318" s="32" t="str">
        <x:v>Developer Tools &amp; DevOps
Security, Identity &amp; Compliance</x:v>
      </x:c>
      <x:c r="E318" s="32" t="str">
        <x:v>Application configuration
Secrets</x:v>
      </x:c>
      <x:c r="F318" s="32" t="str">
        <x:v>Central application configuration
Secrets management</x:v>
      </x:c>
      <x:c r="G318" s="32" t="str">
        <x:v>Securely store, rotate and retrieve application credentials and secrets.</x:v>
      </x:c>
      <x:c r="H318" s="32" t="str">
        <x:v>Exact, Partial</x:v>
      </x:c>
      <x:c r="I318" s="32"/>
      <x:c r="J318" s="32" t="str">
        <x:v>https://docs.aws.amazon.com/whitepapers/latest/aws-overview/aws-services.html</x:v>
      </x:c>
      <x:c r="K318" s="32" t="str">
        <x:v>2026-07-12</x:v>
      </x:c>
    </x:row>
    <x:row r="319">
      <x:c r="A319" s="32" t="str">
        <x:v>AWS</x:v>
      </x:c>
      <x:c r="B319" s="32" t="str">
        <x:v>VMware Cloud on AWS</x:v>
      </x:c>
      <x:c r="C319" s="32" t="str">
        <x:v>Named service / product family</x:v>
      </x:c>
      <x:c r="D319" s="32" t="str">
        <x:v>Compute &amp; Application Hosting</x:v>
      </x:c>
      <x:c r="E319" s="32" t="str">
        <x:v>VMware</x:v>
      </x:c>
      <x:c r="F319" s="32" t="str">
        <x:v>Managed VMware cloud</x:v>
      </x:c>
      <x:c r="G319" s="32" t="str">
        <x:v>Run VMware environments on cloud infrastructure with familiar VMware tooling.</x:v>
      </x:c>
      <x:c r="H319" s="32" t="str">
        <x:v>Exact</x:v>
      </x:c>
      <x:c r="I319" s="32"/>
      <x:c r="J319" s="32" t="str">
        <x:v>https://docs.aws.amazon.com/whitepapers/latest/aws-overview/aws-services.html</x:v>
      </x:c>
      <x:c r="K319" s="32" t="str">
        <x:v>2026-07-12</x:v>
      </x:c>
    </x:row>
    <x:row r="320">
      <x:c r="A320" s="32" t="str">
        <x:v>AWS</x:v>
      </x:c>
      <x:c r="B320" s="32" t="str">
        <x:v>VPC endpoints</x:v>
      </x:c>
      <x:c r="C320" s="32" t="str">
        <x:v>Named service / product family</x:v>
      </x:c>
      <x:c r="D320" s="32" t="str">
        <x:v>Networking
Security, Identity &amp; Compliance</x:v>
      </x:c>
      <x:c r="E320" s="32" t="str">
        <x:v>Data perimeter
Private services</x:v>
      </x:c>
      <x:c r="F320" s="32" t="str">
        <x:v>Private service endpoint
Service data perimeter</x:v>
      </x:c>
      <x:c r="G320" s="32" t="str">
        <x:v>Access managed services privately without traversing the public internet.</x:v>
      </x:c>
      <x:c r="H320" s="32" t="str">
        <x:v>Close, Exact</x:v>
      </x:c>
      <x:c r="I320" s="32"/>
      <x:c r="J320" s="32" t="str">
        <x:v>https://docs.aws.amazon.com/whitepapers/latest/aws-overview/aws-services.html</x:v>
      </x:c>
      <x:c r="K320" s="32" t="str">
        <x:v>2026-07-12</x:v>
      </x:c>
    </x:row>
    <x:row r="321">
      <x:c r="A321" s="32" t="str">
        <x:v>AWS</x:v>
      </x:c>
      <x:c r="B321" s="32" t="str">
        <x:v>VPC Flow Logs</x:v>
      </x:c>
      <x:c r="C321" s="32" t="str">
        <x:v>Named service / product family</x:v>
      </x:c>
      <x:c r="D321" s="32" t="str">
        <x:v>Networking</x:v>
      </x:c>
      <x:c r="E321" s="32" t="str">
        <x:v>Network visibility</x:v>
      </x:c>
      <x:c r="F321" s="32" t="str">
        <x:v>Network monitoring and diagnostics</x:v>
      </x:c>
      <x:c r="G321" s="32" t="str">
        <x:v>Analyse topology, flows, connectivity, latency and network health.</x:v>
      </x:c>
      <x:c r="H321" s="32" t="str">
        <x:v>Close</x:v>
      </x:c>
      <x:c r="I321" s="32"/>
      <x:c r="J321" s="32" t="str">
        <x:v>https://docs.aws.amazon.com/whitepapers/latest/aws-overview/aws-services.html</x:v>
      </x:c>
      <x:c r="K321" s="32" t="str">
        <x:v>2026-07-12</x:v>
      </x:c>
    </x:row>
  </x:sheetData>
  <x:mergeCells>
    <x:mergeCell ref="A1:K1"/>
    <x:mergeCell ref="A2:K2"/>
  </x:mergeCells>
  <x:pageMargins left="0.7" right="0.7" top="0.75" bottom="0.75" header="0.3" footer="0.3"/>
  <x:tableParts count="1">
    <x:tablePart xmlns:r="http://schemas.openxmlformats.org/officeDocument/2006/relationships" r:id="R88269a4299a4458f"/>
  </x:tableParts>
</x:worksheet>
</file>

<file path=xl/worksheets/sheet10.xml><?xml version="1.0" encoding="utf-8"?>
<x:worksheet xmlns:x="http://schemas.openxmlformats.org/spreadsheetml/2006/main">
  <x:sheetFormatPr defaultRowHeight="15"/>
  <x:cols>
    <x:col min="1" max="1" width="18" hidden="0" customWidth="1"/>
    <x:col min="2" max="2" width="40" hidden="0" customWidth="1"/>
    <x:col min="3" max="3" width="28" hidden="0" customWidth="1"/>
    <x:col min="4" max="4" width="30" hidden="0" customWidth="1"/>
    <x:col min="5" max="5" width="30" hidden="0" customWidth="1"/>
    <x:col min="6" max="6" width="45" hidden="0" customWidth="1"/>
    <x:col min="7" max="7" width="48" hidden="0" customWidth="1"/>
    <x:col min="8" max="8" width="18" hidden="0" customWidth="1"/>
    <x:col min="9" max="9" width="42" hidden="0" customWidth="1"/>
    <x:col min="10" max="10" width="48" hidden="0" customWidth="1"/>
    <x:col min="11" max="11" width="14" hidden="0" customWidth="1"/>
  </x:cols>
  <x:sheetData>
    <x:row r="1" ht="30" customHeight="1">
      <x:c r="A1" s="5" t="str">
        <x:v>Azure Catalogue</x:v>
      </x:c>
      <x:c r="B1" s="5"/>
      <x:c r="C1" s="5"/>
      <x:c r="D1" s="5"/>
      <x:c r="E1" s="5"/>
      <x:c r="F1" s="5"/>
      <x:c r="G1" s="5"/>
      <x:c r="H1" s="5"/>
      <x:c r="I1" s="5"/>
      <x:c r="J1" s="5"/>
      <x:c r="K1" s="5"/>
    </x:row>
    <x:row r="2" ht="34" customHeight="1">
      <x:c r="A2" s="14" t="str">
        <x:v>Provider catalogue retained for A–Z service lookup and traceability.</x:v>
      </x:c>
      <x:c r="B2" s="14"/>
      <x:c r="C2" s="14"/>
      <x:c r="D2" s="14"/>
      <x:c r="E2" s="14"/>
      <x:c r="F2" s="14"/>
      <x:c r="G2" s="14"/>
      <x:c r="H2" s="14"/>
      <x:c r="I2" s="14"/>
      <x:c r="J2" s="14"/>
      <x:c r="K2" s="14"/>
    </x:row>
    <x:row r="4" ht="34" customHeight="1">
      <x:c r="A4" s="24" t="str">
        <x:v>Provider</x:v>
      </x:c>
      <x:c r="B4" s="24" t="str">
        <x:v>Service or product family</x:v>
      </x:c>
      <x:c r="C4" s="24" t="str">
        <x:v>Entry type</x:v>
      </x:c>
      <x:c r="D4" s="24" t="str">
        <x:v>Domain(s)</x:v>
      </x:c>
      <x:c r="E4" s="24" t="str">
        <x:v>Category / categories</x:v>
      </x:c>
      <x:c r="F4" s="24" t="str">
        <x:v>Mapped generic capability / capabilities</x:v>
      </x:c>
      <x:c r="G4" s="24" t="str">
        <x:v>Short description</x:v>
      </x:c>
      <x:c r="H4" s="24" t="str">
        <x:v>Mapping confidence</x:v>
      </x:c>
      <x:c r="I4" s="24" t="str">
        <x:v>Notes</x:v>
      </x:c>
      <x:c r="J4" s="24" t="str">
        <x:v>Official catalogue</x:v>
      </x:c>
      <x:c r="K4" s="24" t="str">
        <x:v>Verified date</x:v>
      </x:c>
    </x:row>
    <x:row r="5">
      <x:c r="A5" s="32" t="str">
        <x:v>Microsoft Azure</x:v>
      </x:c>
      <x:c r="B5" s="32" t="str">
        <x:v>App Service Domains</x:v>
      </x:c>
      <x:c r="C5" s="32" t="str">
        <x:v>Named service / product family</x:v>
      </x:c>
      <x:c r="D5" s="32" t="str">
        <x:v>Networking</x:v>
      </x:c>
      <x:c r="E5" s="32" t="str">
        <x:v>Domains</x:v>
      </x:c>
      <x:c r="F5" s="32" t="str">
        <x:v>Domain registration</x:v>
      </x:c>
      <x:c r="G5" s="32" t="str">
        <x:v>Register and manage internet domain names.</x:v>
      </x:c>
      <x:c r="H5" s="32" t="str">
        <x:v>Close</x:v>
      </x:c>
      <x:c r="I5" s="32"/>
      <x:c r="J5" s="32" t="str">
        <x:v>https://azure.microsoft.com/en-gb/products/</x:v>
      </x:c>
      <x:c r="K5" s="32" t="str">
        <x:v>2026-07-12</x:v>
      </x:c>
    </x:row>
    <x:row r="6">
      <x:c r="A6" s="32" t="str">
        <x:v>Microsoft Azure</x:v>
      </x:c>
      <x:c r="B6" s="32" t="str">
        <x:v>Application Security Groups</x:v>
      </x:c>
      <x:c r="C6" s="32" t="str">
        <x:v>Named service / product family</x:v>
      </x:c>
      <x:c r="D6" s="32" t="str">
        <x:v>Networking</x:v>
      </x:c>
      <x:c r="E6" s="32" t="str">
        <x:v>Network segmentation</x:v>
      </x:c>
      <x:c r="F6" s="32" t="str">
        <x:v>Network security groups</x:v>
      </x:c>
      <x:c r="G6" s="32" t="str">
        <x:v>Apply stateful network access rules to interfaces, workloads or subnets.</x:v>
      </x:c>
      <x:c r="H6" s="32" t="str">
        <x:v>Close</x:v>
      </x:c>
      <x:c r="I6" s="32"/>
      <x:c r="J6" s="32" t="str">
        <x:v>https://azure.microsoft.com/en-gb/products/</x:v>
      </x:c>
      <x:c r="K6" s="32" t="str">
        <x:v>2026-07-12</x:v>
      </x:c>
    </x:row>
    <x:row r="7">
      <x:c r="A7" s="32" t="str">
        <x:v>Microsoft Azure</x:v>
      </x:c>
      <x:c r="B7" s="32" t="str">
        <x:v>Azure Activity Log</x:v>
      </x:c>
      <x:c r="C7" s="32" t="str">
        <x:v>Named service / product family</x:v>
      </x:c>
      <x:c r="D7" s="32" t="str">
        <x:v>Security, Identity &amp; Compliance</x:v>
      </x:c>
      <x:c r="E7" s="32" t="str">
        <x:v>Audit logs</x:v>
      </x:c>
      <x:c r="F7" s="32" t="str">
        <x:v>Cloud audit trail</x:v>
      </x:c>
      <x:c r="G7" s="32" t="str">
        <x:v>Record administrative and data-access activity for investigation and compliance.</x:v>
      </x:c>
      <x:c r="H7" s="32" t="str">
        <x:v>Exact</x:v>
      </x:c>
      <x:c r="I7" s="32"/>
      <x:c r="J7" s="32" t="str">
        <x:v>https://azure.microsoft.com/en-gb/products/</x:v>
      </x:c>
      <x:c r="K7" s="32" t="str">
        <x:v>2026-07-12</x:v>
      </x:c>
    </x:row>
    <x:row r="8">
      <x:c r="A8" s="32" t="str">
        <x:v>Microsoft Azure</x:v>
      </x:c>
      <x:c r="B8" s="32" t="str">
        <x:v>Azure Advisor</x:v>
      </x:c>
      <x:c r="C8" s="32" t="str">
        <x:v>Named service / product family</x:v>
      </x:c>
      <x:c r="D8" s="32" t="str">
        <x:v>FinOps &amp; Commercial
Governance &amp; Management</x:v>
      </x:c>
      <x:c r="E8" s="32" t="str">
        <x:v>Architecture assurance
Cost management</x:v>
      </x:c>
      <x:c r="F8" s="32" t="str">
        <x:v>Cost analysis and optimisation
Well-architected assessment</x:v>
      </x:c>
      <x:c r="G8" s="32" t="str">
        <x:v>Assess workloads against cloud architecture, resilience, security and cost practices.</x:v>
      </x:c>
      <x:c r="H8" s="32" t="str">
        <x:v>Close</x:v>
      </x:c>
      <x:c r="I8" s="32"/>
      <x:c r="J8" s="32" t="str">
        <x:v>https://azure.microsoft.com/en-gb/products/</x:v>
      </x:c>
      <x:c r="K8" s="32" t="str">
        <x:v>2026-07-12</x:v>
      </x:c>
    </x:row>
    <x:row r="9">
      <x:c r="A9" s="32" t="str">
        <x:v>Microsoft Azure</x:v>
      </x:c>
      <x:c r="B9" s="32" t="str">
        <x:v>Azure AI Bot Service</x:v>
      </x:c>
      <x:c r="C9" s="32" t="str">
        <x:v>Named service / product family</x:v>
      </x:c>
      <x:c r="D9" s="32" t="str">
        <x:v>AI &amp; Machine Learning</x:v>
      </x:c>
      <x:c r="E9" s="32" t="str">
        <x:v>Conversational AI</x:v>
      </x:c>
      <x:c r="F9" s="32" t="str">
        <x:v>Conversational bot platform</x:v>
      </x:c>
      <x:c r="G9" s="32" t="str">
        <x:v>Build intent-based conversational assistants for voice and text channels.</x:v>
      </x:c>
      <x:c r="H9" s="32" t="str">
        <x:v>Close</x:v>
      </x:c>
      <x:c r="I9" s="32"/>
      <x:c r="J9" s="32" t="str">
        <x:v>https://azure.microsoft.com/en-gb/products/</x:v>
      </x:c>
      <x:c r="K9" s="32" t="str">
        <x:v>2026-07-12</x:v>
      </x:c>
    </x:row>
    <x:row r="10">
      <x:c r="A10" s="32" t="str">
        <x:v>Microsoft Azure</x:v>
      </x:c>
      <x:c r="B10" s="32" t="str">
        <x:v>Azure AI Content Safety</x:v>
      </x:c>
      <x:c r="C10" s="32" t="str">
        <x:v>Named service / product family</x:v>
      </x:c>
      <x:c r="D10" s="32" t="str">
        <x:v>AI &amp; Machine Learning</x:v>
      </x:c>
      <x:c r="E10" s="32" t="str">
        <x:v>AI safety</x:v>
      </x:c>
      <x:c r="F10" s="32" t="str">
        <x:v>Generative-AI guardrails</x:v>
      </x:c>
      <x:c r="G10" s="32" t="str">
        <x:v>Apply safety policies, topic controls, grounding checks and content filters to model interactions.</x:v>
      </x:c>
      <x:c r="H10" s="32" t="str">
        <x:v>Close</x:v>
      </x:c>
      <x:c r="I10" s="32"/>
      <x:c r="J10" s="32" t="str">
        <x:v>https://azure.microsoft.com/en-gb/products/</x:v>
      </x:c>
      <x:c r="K10" s="32" t="str">
        <x:v>2026-07-12</x:v>
      </x:c>
    </x:row>
    <x:row r="11">
      <x:c r="A11" s="32" t="str">
        <x:v>Microsoft Azure</x:v>
      </x:c>
      <x:c r="B11" s="32" t="str">
        <x:v>Azure AI Search</x:v>
      </x:c>
      <x:c r="C11" s="32" t="str">
        <x:v>Named service / product family</x:v>
      </x:c>
      <x:c r="D11" s="32" t="str">
        <x:v>AI &amp; Machine Learning
Data, Analytics &amp; BI
Industry &amp; Specialist</x:v>
      </x:c>
      <x:c r="E11" s="32" t="str">
        <x:v>Enterprise search
RAG
Retail search
Search analytics
Talent matching</x:v>
      </x:c>
      <x:c r="F11" s="32" t="str">
        <x:v>AI-powered enterprise search
Managed knowledge bases for RAG
Managed search and log analytics
Retail product search and discovery
Talent and job matching</x:v>
      </x:c>
      <x:c r="G11" s="32" t="str">
        <x:v>Connect enterprise content to foundation models for grounded retrieval-augmented generation.</x:v>
      </x:c>
      <x:c r="H11" s="32" t="str">
        <x:v>Close, Partial</x:v>
      </x:c>
      <x:c r="I11" s="32"/>
      <x:c r="J11" s="32" t="str">
        <x:v>https://azure.microsoft.com/en-gb/products/</x:v>
      </x:c>
      <x:c r="K11" s="32" t="str">
        <x:v>2026-07-12</x:v>
      </x:c>
    </x:row>
    <x:row r="12">
      <x:c r="A12" s="32" t="str">
        <x:v>Microsoft Azure</x:v>
      </x:c>
      <x:c r="B12" s="32" t="str">
        <x:v>Azure AI Search vector search</x:v>
      </x:c>
      <x:c r="C12" s="32" t="str">
        <x:v>Named service / product family</x:v>
      </x:c>
      <x:c r="D12" s="32" t="str">
        <x:v>AI &amp; Machine Learning</x:v>
      </x:c>
      <x:c r="E12" s="32" t="str">
        <x:v>Vector search</x:v>
      </x:c>
      <x:c r="F12" s="32" t="str">
        <x:v>Managed vector search</x:v>
      </x:c>
      <x:c r="G12" s="32" t="str">
        <x:v>Store embeddings and run similarity search for RAG and recommendation workloads.</x:v>
      </x:c>
      <x:c r="H12" s="32" t="str">
        <x:v>Close</x:v>
      </x:c>
      <x:c r="I12" s="32"/>
      <x:c r="J12" s="32" t="str">
        <x:v>https://azure.microsoft.com/en-gb/products/</x:v>
      </x:c>
      <x:c r="K12" s="32" t="str">
        <x:v>2026-07-12</x:v>
      </x:c>
    </x:row>
    <x:row r="13">
      <x:c r="A13" s="32" t="str">
        <x:v>Microsoft Azure</x:v>
      </x:c>
      <x:c r="B13" s="32" t="str">
        <x:v>Azure AI Video Indexer</x:v>
      </x:c>
      <x:c r="C13" s="32" t="str">
        <x:v>Named service / product family</x:v>
      </x:c>
      <x:c r="D13" s="32" t="str">
        <x:v>AI &amp; Machine Learning</x:v>
      </x:c>
      <x:c r="E13" s="32" t="str">
        <x:v>Video AI</x:v>
      </x:c>
      <x:c r="F13" s="32" t="str">
        <x:v>Video intelligence</x:v>
      </x:c>
      <x:c r="G13" s="32" t="str">
        <x:v>Analyse, index and extract metadata from video content.</x:v>
      </x:c>
      <x:c r="H13" s="32" t="str">
        <x:v>Close</x:v>
      </x:c>
      <x:c r="I13" s="32"/>
      <x:c r="J13" s="32" t="str">
        <x:v>https://azure.microsoft.com/en-gb/products/</x:v>
      </x:c>
      <x:c r="K13" s="32" t="str">
        <x:v>2026-07-12</x:v>
      </x:c>
    </x:row>
    <x:row r="14">
      <x:c r="A14" s="32" t="str">
        <x:v>Microsoft Azure</x:v>
      </x:c>
      <x:c r="B14" s="32" t="str">
        <x:v>Azure API Management</x:v>
      </x:c>
      <x:c r="C14" s="32" t="str">
        <x:v>Named service / product family</x:v>
      </x:c>
      <x:c r="D14" s="32" t="str">
        <x:v>Networking</x:v>
      </x:c>
      <x:c r="E14" s="32" t="str">
        <x:v>API networking</x:v>
      </x:c>
      <x:c r="F14" s="32" t="str">
        <x:v>API gateway</x:v>
      </x:c>
      <x:c r="G14" s="32" t="str">
        <x:v>Publish, secure, throttle, transform and monitor APIs.</x:v>
      </x:c>
      <x:c r="H14" s="32" t="str">
        <x:v>Close</x:v>
      </x:c>
      <x:c r="I14" s="32"/>
      <x:c r="J14" s="32" t="str">
        <x:v>https://azure.microsoft.com/en-gb/products/</x:v>
      </x:c>
      <x:c r="K14" s="32" t="str">
        <x:v>2026-07-12</x:v>
      </x:c>
    </x:row>
    <x:row r="15">
      <x:c r="A15" s="32" t="str">
        <x:v>Microsoft Azure</x:v>
      </x:c>
      <x:c r="B15" s="32" t="str">
        <x:v>Azure App Configuration</x:v>
      </x:c>
      <x:c r="C15" s="32" t="str">
        <x:v>Named service / product family</x:v>
      </x:c>
      <x:c r="D15" s="32" t="str">
        <x:v>Developer Tools &amp; DevOps</x:v>
      </x:c>
      <x:c r="E15" s="32" t="str">
        <x:v>Application configuration</x:v>
      </x:c>
      <x:c r="F15" s="32" t="str">
        <x:v>Central application configuration</x:v>
      </x:c>
      <x:c r="G15" s="32" t="str">
        <x:v>Store and distribute application configuration and feature settings.</x:v>
      </x:c>
      <x:c r="H15" s="32" t="str">
        <x:v>Partial</x:v>
      </x:c>
      <x:c r="I15" s="32"/>
      <x:c r="J15" s="32" t="str">
        <x:v>https://azure.microsoft.com/en-gb/products/</x:v>
      </x:c>
      <x:c r="K15" s="32" t="str">
        <x:v>2026-07-12</x:v>
      </x:c>
    </x:row>
    <x:row r="16">
      <x:c r="A16" s="32" t="str">
        <x:v>Microsoft Azure</x:v>
      </x:c>
      <x:c r="B16" s="32" t="str">
        <x:v>Azure App Configuration / custom policy engines</x:v>
      </x:c>
      <x:c r="C16" s="32" t="str">
        <x:v>Architecture / partner alternative</x:v>
      </x:c>
      <x:c r="D16" s="32" t="str">
        <x:v>Security, Identity &amp; Compliance</x:v>
      </x:c>
      <x:c r="E16" s="32" t="str">
        <x:v>Authorisation</x:v>
      </x:c>
      <x:c r="F16" s="32" t="str">
        <x:v>Fine-grained application authorisation</x:v>
      </x:c>
      <x:c r="G16" s="32" t="str">
        <x:v>Externalise and evaluate fine-grained application permissions and policies.</x:v>
      </x:c>
      <x:c r="H16" s="32" t="str">
        <x:v>Partial</x:v>
      </x:c>
      <x:c r="I16" s="32"/>
      <x:c r="J16" s="32" t="str">
        <x:v>https://azure.microsoft.com/en-gb/products/</x:v>
      </x:c>
      <x:c r="K16" s="32" t="str">
        <x:v>2026-07-12</x:v>
      </x:c>
    </x:row>
    <x:row r="17">
      <x:c r="A17" s="32" t="str">
        <x:v>Microsoft Azure</x:v>
      </x:c>
      <x:c r="B17" s="32" t="str">
        <x:v>Azure App Service</x:v>
      </x:c>
      <x:c r="C17" s="32" t="str">
        <x:v>Named service / product family</x:v>
      </x:c>
      <x:c r="D17" s="32" t="str">
        <x:v>Compute &amp; Application Hosting</x:v>
      </x:c>
      <x:c r="E17" s="32" t="str">
        <x:v>Application PaaS</x:v>
      </x:c>
      <x:c r="F17" s="32" t="str">
        <x:v>Managed web application platform</x:v>
      </x:c>
      <x:c r="G17" s="32" t="str">
        <x:v>Deploy web applications and APIs on a managed runtime platform.</x:v>
      </x:c>
      <x:c r="H17" s="32" t="str">
        <x:v>Close</x:v>
      </x:c>
      <x:c r="I17" s="32"/>
      <x:c r="J17" s="32" t="str">
        <x:v>https://azure.microsoft.com/en-gb/products/</x:v>
      </x:c>
      <x:c r="K17" s="32" t="str">
        <x:v>2026-07-12</x:v>
      </x:c>
    </x:row>
    <x:row r="18">
      <x:c r="A18" s="32" t="str">
        <x:v>Microsoft Azure</x:v>
      </x:c>
      <x:c r="B18" s="32" t="str">
        <x:v>Azure App Service / Virtual Machines</x:v>
      </x:c>
      <x:c r="C18" s="32" t="str">
        <x:v>Product family / combined pattern</x:v>
      </x:c>
      <x:c r="D18" s="32" t="str">
        <x:v>Compute &amp; Application Hosting</x:v>
      </x:c>
      <x:c r="E18" s="32" t="str">
        <x:v>Simple cloud hosting</x:v>
      </x:c>
      <x:c r="F18" s="32" t="str">
        <x:v>Simplified virtual server hosting</x:v>
      </x:c>
      <x:c r="G18" s="32" t="str">
        <x:v>Provide bundled, simplified compute, storage and networking for smaller workloads.</x:v>
      </x:c>
      <x:c r="H18" s="32" t="str">
        <x:v>Partial</x:v>
      </x:c>
      <x:c r="I18" s="32"/>
      <x:c r="J18" s="32" t="str">
        <x:v>https://azure.microsoft.com/en-gb/products/</x:v>
      </x:c>
      <x:c r="K18" s="32" t="str">
        <x:v>2026-07-12</x:v>
      </x:c>
    </x:row>
    <x:row r="19">
      <x:c r="A19" s="32" t="str">
        <x:v>Microsoft Azure</x:v>
      </x:c>
      <x:c r="B19" s="32" t="str">
        <x:v>Azure App Service migration tools</x:v>
      </x:c>
      <x:c r="C19" s="32" t="str">
        <x:v>Named service / product family</x:v>
      </x:c>
      <x:c r="D19" s="32" t="str">
        <x:v>Migration &amp; Modernisation</x:v>
      </x:c>
      <x:c r="E19" s="32" t="str">
        <x:v>Application modernisation</x:v>
      </x:c>
      <x:c r="F19" s="32" t="str">
        <x:v>Application modernisation</x:v>
      </x:c>
      <x:c r="G19" s="32" t="str">
        <x:v>Assess and transform legacy applications into cloud-native architectures.</x:v>
      </x:c>
      <x:c r="H19" s="32" t="str">
        <x:v>Close</x:v>
      </x:c>
      <x:c r="I19" s="32"/>
      <x:c r="J19" s="32" t="str">
        <x:v>https://azure.microsoft.com/en-gb/products/</x:v>
      </x:c>
      <x:c r="K19" s="32" t="str">
        <x:v>2026-07-12</x:v>
      </x:c>
    </x:row>
    <x:row r="20">
      <x:c r="A20" s="32" t="str">
        <x:v>Microsoft Azure</x:v>
      </x:c>
      <x:c r="B20" s="32" t="str">
        <x:v>Azure App Testing</x:v>
      </x:c>
      <x:c r="C20" s="32" t="str">
        <x:v>Named service / product family</x:v>
      </x:c>
      <x:c r="D20" s="32" t="str">
        <x:v>Developer Tools &amp; DevOps</x:v>
      </x:c>
      <x:c r="E20" s="32" t="str">
        <x:v>Testing</x:v>
      </x:c>
      <x:c r="F20" s="32" t="str">
        <x:v>Cloud application testing</x:v>
      </x:c>
      <x:c r="G20" s="32" t="str">
        <x:v>Run browser, mobile or load tests through managed infrastructure.</x:v>
      </x:c>
      <x:c r="H20" s="32" t="str">
        <x:v>Close</x:v>
      </x:c>
      <x:c r="I20" s="32"/>
      <x:c r="J20" s="32" t="str">
        <x:v>https://azure.microsoft.com/en-gb/products/</x:v>
      </x:c>
      <x:c r="K20" s="32" t="str">
        <x:v>2026-07-12</x:v>
      </x:c>
    </x:row>
    <x:row r="21">
      <x:c r="A21" s="32" t="str">
        <x:v>Microsoft Azure</x:v>
      </x:c>
      <x:c r="B21" s="32" t="str">
        <x:v>Azure Application Gateway</x:v>
      </x:c>
      <x:c r="C21" s="32" t="str">
        <x:v>Named service / product family</x:v>
      </x:c>
      <x:c r="D21" s="32" t="str">
        <x:v>Networking</x:v>
      </x:c>
      <x:c r="E21" s="32" t="str">
        <x:v>Load balancing</x:v>
      </x:c>
      <x:c r="F21" s="32" t="str">
        <x:v>Layer 7 application load balancing</x:v>
      </x:c>
      <x:c r="G21" s="32" t="str">
        <x:v>Distribute HTTP and HTTPS traffic using host, path and application-aware routing.</x:v>
      </x:c>
      <x:c r="H21" s="32" t="str">
        <x:v>Exact</x:v>
      </x:c>
      <x:c r="I21" s="32"/>
      <x:c r="J21" s="32" t="str">
        <x:v>https://azure.microsoft.com/en-gb/products/</x:v>
      </x:c>
      <x:c r="K21" s="32" t="str">
        <x:v>2026-07-12</x:v>
      </x:c>
    </x:row>
    <x:row r="22">
      <x:c r="A22" s="32" t="str">
        <x:v>Microsoft Azure</x:v>
      </x:c>
      <x:c r="B22" s="32" t="str">
        <x:v>Azure Application Insights</x:v>
      </x:c>
      <x:c r="C22" s="32" t="str">
        <x:v>Named service / product family</x:v>
      </x:c>
      <x:c r="D22" s="32" t="str">
        <x:v>Observability &amp; Reliability</x:v>
      </x:c>
      <x:c r="E22" s="32" t="str">
        <x:v>APM
Error tracking
Tracing</x:v>
      </x:c>
      <x:c r="F22" s="32" t="str">
        <x:v>Application error reporting
Application performance monitoring
Distributed tracing</x:v>
      </x:c>
      <x:c r="G22" s="32" t="str">
        <x:v>Trace requests across distributed services to diagnose latency and failures.</x:v>
      </x:c>
      <x:c r="H22" s="32" t="str">
        <x:v>Close, Exact</x:v>
      </x:c>
      <x:c r="I22" s="32"/>
      <x:c r="J22" s="32" t="str">
        <x:v>https://azure.microsoft.com/en-gb/products/</x:v>
      </x:c>
      <x:c r="K22" s="32" t="str">
        <x:v>2026-07-12</x:v>
      </x:c>
    </x:row>
    <x:row r="23">
      <x:c r="A23" s="32" t="str">
        <x:v>Microsoft Azure</x:v>
      </x:c>
      <x:c r="B23" s="32" t="str">
        <x:v>Azure Application Insights / Azure Resource Groups</x:v>
      </x:c>
      <x:c r="C23" s="32" t="str">
        <x:v>Product family / combined pattern</x:v>
      </x:c>
      <x:c r="D23" s="32" t="str">
        <x:v>Developer Tools &amp; DevOps</x:v>
      </x:c>
      <x:c r="E23" s="32" t="str">
        <x:v>Application lifecycle</x:v>
      </x:c>
      <x:c r="F23" s="32" t="str">
        <x:v>Application portfolio hub</x:v>
      </x:c>
      <x:c r="G23" s="32" t="str">
        <x:v>Model applications and dependencies across cloud resources for operational ownership.</x:v>
      </x:c>
      <x:c r="H23" s="32" t="str">
        <x:v>Partial</x:v>
      </x:c>
      <x:c r="I23" s="32"/>
      <x:c r="J23" s="32" t="str">
        <x:v>https://azure.microsoft.com/en-gb/products/</x:v>
      </x:c>
      <x:c r="K23" s="32" t="str">
        <x:v>2026-07-12</x:v>
      </x:c>
    </x:row>
    <x:row r="24">
      <x:c r="A24" s="32" t="str">
        <x:v>Microsoft Azure</x:v>
      </x:c>
      <x:c r="B24" s="32" t="str">
        <x:v>Azure Application Insights Profiler</x:v>
      </x:c>
      <x:c r="C24" s="32" t="str">
        <x:v>Named service / product family</x:v>
      </x:c>
      <x:c r="D24" s="32" t="str">
        <x:v>Observability &amp; Reliability</x:v>
      </x:c>
      <x:c r="E24" s="32" t="str">
        <x:v>Profiling</x:v>
      </x:c>
      <x:c r="F24" s="32" t="str">
        <x:v>Production code profiling</x:v>
      </x:c>
      <x:c r="G24" s="32" t="str">
        <x:v>Identify CPU and memory hot spots in running applications.</x:v>
      </x:c>
      <x:c r="H24" s="32" t="str">
        <x:v>Exact</x:v>
      </x:c>
      <x:c r="I24" s="32"/>
      <x:c r="J24" s="32" t="str">
        <x:v>https://azure.microsoft.com/en-gb/products/</x:v>
      </x:c>
      <x:c r="K24" s="32" t="str">
        <x:v>2026-07-12</x:v>
      </x:c>
    </x:row>
    <x:row r="25">
      <x:c r="A25" s="32" t="str">
        <x:v>Microsoft Azure</x:v>
      </x:c>
      <x:c r="B25" s="32" t="str">
        <x:v>Azure Application Proxy</x:v>
      </x:c>
      <x:c r="C25" s="32" t="str">
        <x:v>Named service / product family</x:v>
      </x:c>
      <x:c r="D25" s="32" t="str">
        <x:v>Networking</x:v>
      </x:c>
      <x:c r="E25" s="32" t="str">
        <x:v>Zero trust access</x:v>
      </x:c>
      <x:c r="F25" s="32" t="str">
        <x:v>Identity-aware application access</x:v>
      </x:c>
      <x:c r="G25" s="32" t="str">
        <x:v>Provide identity-based access to private applications without broad network access.</x:v>
      </x:c>
      <x:c r="H25" s="32" t="str">
        <x:v>Close</x:v>
      </x:c>
      <x:c r="I25" s="32"/>
      <x:c r="J25" s="32" t="str">
        <x:v>https://azure.microsoft.com/en-gb/products/</x:v>
      </x:c>
      <x:c r="K25" s="32" t="str">
        <x:v>2026-07-12</x:v>
      </x:c>
    </x:row>
    <x:row r="26">
      <x:c r="A26" s="32" t="str">
        <x:v>Microsoft Azure</x:v>
      </x:c>
      <x:c r="B26" s="32" t="str">
        <x:v>Azure Arc</x:v>
      </x:c>
      <x:c r="C26" s="32" t="str">
        <x:v>Named service / product family</x:v>
      </x:c>
      <x:c r="D26" s="32" t="str">
        <x:v>Hybrid &amp; Multicloud</x:v>
      </x:c>
      <x:c r="E26" s="32" t="str">
        <x:v>Hybrid management</x:v>
      </x:c>
      <x:c r="F26" s="32" t="str">
        <x:v>Hybrid and multicloud control plane</x:v>
      </x:c>
      <x:c r="G26" s="32" t="str">
        <x:v>Inventory, govern and operate servers, Kubernetes and data services across environments.</x:v>
      </x:c>
      <x:c r="H26" s="32" t="str">
        <x:v>Close</x:v>
      </x:c>
      <x:c r="I26" s="32"/>
      <x:c r="J26" s="32" t="str">
        <x:v>https://azure.microsoft.com/en-gb/products/</x:v>
      </x:c>
      <x:c r="K26" s="32" t="str">
        <x:v>2026-07-12</x:v>
      </x:c>
    </x:row>
    <x:row r="27">
      <x:c r="A27" s="32" t="str">
        <x:v>Microsoft Azure</x:v>
      </x:c>
      <x:c r="B27" s="32" t="str">
        <x:v>Azure Arc-enabled data services</x:v>
      </x:c>
      <x:c r="C27" s="32" t="str">
        <x:v>Named service / product family</x:v>
      </x:c>
      <x:c r="D27" s="32" t="str">
        <x:v>Databases</x:v>
      </x:c>
      <x:c r="E27" s="32" t="str">
        <x:v>Database fleet</x:v>
      </x:c>
      <x:c r="F27" s="32" t="str">
        <x:v>Database fleet management</x:v>
      </x:c>
      <x:c r="G27" s="32" t="str">
        <x:v>Discover, assess and manage database estates from a central view.</x:v>
      </x:c>
      <x:c r="H27" s="32" t="str">
        <x:v>Partial</x:v>
      </x:c>
      <x:c r="I27" s="32"/>
      <x:c r="J27" s="32" t="str">
        <x:v>https://azure.microsoft.com/en-gb/products/</x:v>
      </x:c>
      <x:c r="K27" s="32" t="str">
        <x:v>2026-07-12</x:v>
      </x:c>
    </x:row>
    <x:row r="28">
      <x:c r="A28" s="32" t="str">
        <x:v>Microsoft Azure</x:v>
      </x:c>
      <x:c r="B28" s="32" t="str">
        <x:v>Azure Arc-enabled Kubernetes</x:v>
      </x:c>
      <x:c r="C28" s="32" t="str">
        <x:v>Named service / product family</x:v>
      </x:c>
      <x:c r="D28" s="32" t="str">
        <x:v>Hybrid &amp; Multicloud</x:v>
      </x:c>
      <x:c r="E28" s="32" t="str">
        <x:v>Multicloud Kubernetes</x:v>
      </x:c>
      <x:c r="F28" s="32" t="str">
        <x:v>Multicloud Kubernetes management</x:v>
      </x:c>
      <x:c r="G28" s="32" t="str">
        <x:v>Manage Kubernetes fleets spanning cloud and on-premises environments.</x:v>
      </x:c>
      <x:c r="H28" s="32" t="str">
        <x:v>Close</x:v>
      </x:c>
      <x:c r="I28" s="32"/>
      <x:c r="J28" s="32" t="str">
        <x:v>https://azure.microsoft.com/en-gb/products/</x:v>
      </x:c>
      <x:c r="K28" s="32" t="str">
        <x:v>2026-07-12</x:v>
      </x:c>
    </x:row>
    <x:row r="29">
      <x:c r="A29" s="32" t="str">
        <x:v>Microsoft Azure</x:v>
      </x:c>
      <x:c r="B29" s="32" t="str">
        <x:v>Azure Arc-enabled licensing</x:v>
      </x:c>
      <x:c r="C29" s="32" t="str">
        <x:v>Named service / product family</x:v>
      </x:c>
      <x:c r="D29" s="32" t="str">
        <x:v>Governance &amp; Management</x:v>
      </x:c>
      <x:c r="E29" s="32" t="str">
        <x:v>Licensing</x:v>
      </x:c>
      <x:c r="F29" s="32" t="str">
        <x:v>Software licence management</x:v>
      </x:c>
      <x:c r="G29" s="32" t="str">
        <x:v>Track and enforce licence usage across cloud and hybrid servers.</x:v>
      </x:c>
      <x:c r="H29" s="32" t="str">
        <x:v>Partial</x:v>
      </x:c>
      <x:c r="I29" s="32"/>
      <x:c r="J29" s="32" t="str">
        <x:v>https://azure.microsoft.com/en-gb/products/</x:v>
      </x:c>
      <x:c r="K29" s="32" t="str">
        <x:v>2026-07-12</x:v>
      </x:c>
    </x:row>
    <x:row r="30">
      <x:c r="A30" s="32" t="str">
        <x:v>Microsoft Azure</x:v>
      </x:c>
      <x:c r="B30" s="32" t="str">
        <x:v>Azure Archive Storage</x:v>
      </x:c>
      <x:c r="C30" s="32" t="str">
        <x:v>Named service / product family</x:v>
      </x:c>
      <x:c r="D30" s="32" t="str">
        <x:v>Storage</x:v>
      </x:c>
      <x:c r="E30" s="32" t="str">
        <x:v>Archive storage</x:v>
      </x:c>
      <x:c r="F30" s="32" t="str">
        <x:v>Long-term archive storage</x:v>
      </x:c>
      <x:c r="G30" s="32" t="str">
        <x:v>Store infrequently accessed data at low cost with delayed or tiered retrieval.</x:v>
      </x:c>
      <x:c r="H30" s="32" t="str">
        <x:v>Exact</x:v>
      </x:c>
      <x:c r="I30" s="32"/>
      <x:c r="J30" s="32" t="str">
        <x:v>https://azure.microsoft.com/en-gb/products/</x:v>
      </x:c>
      <x:c r="K30" s="32" t="str">
        <x:v>2026-07-12</x:v>
      </x:c>
    </x:row>
    <x:row r="31">
      <x:c r="A31" s="32" t="str">
        <x:v>Microsoft Azure</x:v>
      </x:c>
      <x:c r="B31" s="32" t="str">
        <x:v>Azure Artifact Signing</x:v>
      </x:c>
      <x:c r="C31" s="32" t="str">
        <x:v>Named service / product family</x:v>
      </x:c>
      <x:c r="D31" s="32" t="str">
        <x:v>Developer Tools &amp; DevOps</x:v>
      </x:c>
      <x:c r="E31" s="32" t="str">
        <x:v>Code signing</x:v>
      </x:c>
      <x:c r="F31" s="32" t="str">
        <x:v>Artifact and code signing</x:v>
      </x:c>
      <x:c r="G31" s="32" t="str">
        <x:v>Sign software artifacts to verify publisher identity and integrity.</x:v>
      </x:c>
      <x:c r="H31" s="32" t="str">
        <x:v>Close</x:v>
      </x:c>
      <x:c r="I31" s="32"/>
      <x:c r="J31" s="32" t="str">
        <x:v>https://azure.microsoft.com/en-gb/products/</x:v>
      </x:c>
      <x:c r="K31" s="32" t="str">
        <x:v>2026-07-12</x:v>
      </x:c>
    </x:row>
    <x:row r="32">
      <x:c r="A32" s="32" t="str">
        <x:v>Microsoft Azure</x:v>
      </x:c>
      <x:c r="B32" s="32" t="str">
        <x:v>Azure Artifacts</x:v>
      </x:c>
      <x:c r="C32" s="32" t="str">
        <x:v>Named service / product family</x:v>
      </x:c>
      <x:c r="D32" s="32" t="str">
        <x:v>Developer Tools &amp; DevOps</x:v>
      </x:c>
      <x:c r="E32" s="32" t="str">
        <x:v>Artifacts</x:v>
      </x:c>
      <x:c r="F32" s="32" t="str">
        <x:v>Artifact and package repository</x:v>
      </x:c>
      <x:c r="G32" s="32" t="str">
        <x:v>Store application packages, dependencies and build artifacts.</x:v>
      </x:c>
      <x:c r="H32" s="32" t="str">
        <x:v>Close</x:v>
      </x:c>
      <x:c r="I32" s="32"/>
      <x:c r="J32" s="32" t="str">
        <x:v>https://azure.microsoft.com/en-gb/products/</x:v>
      </x:c>
      <x:c r="K32" s="32" t="str">
        <x:v>2026-07-12</x:v>
      </x:c>
    </x:row>
    <x:row r="33">
      <x:c r="A33" s="32" t="str">
        <x:v>Microsoft Azure</x:v>
      </x:c>
      <x:c r="B33" s="32" t="str">
        <x:v>Azure Attestation</x:v>
      </x:c>
      <x:c r="C33" s="32" t="str">
        <x:v>Named service / product family</x:v>
      </x:c>
      <x:c r="D33" s="32" t="str">
        <x:v>Security, Identity &amp; Compliance</x:v>
      </x:c>
      <x:c r="E33" s="32" t="str">
        <x:v>Attestation</x:v>
      </x:c>
      <x:c r="F33" s="32" t="str">
        <x:v>Trusted environment attestation</x:v>
      </x:c>
      <x:c r="G33" s="32" t="str">
        <x:v>Verify the integrity and trust state of confidential-computing environments.</x:v>
      </x:c>
      <x:c r="H33" s="32" t="str">
        <x:v>Close</x:v>
      </x:c>
      <x:c r="I33" s="32"/>
      <x:c r="J33" s="32" t="str">
        <x:v>https://azure.microsoft.com/en-gb/products/</x:v>
      </x:c>
      <x:c r="K33" s="32" t="str">
        <x:v>2026-07-12</x:v>
      </x:c>
    </x:row>
    <x:row r="34">
      <x:c r="A34" s="32" t="str">
        <x:v>Microsoft Azure</x:v>
      </x:c>
      <x:c r="B34" s="32" t="str">
        <x:v>Azure Automated ML</x:v>
      </x:c>
      <x:c r="C34" s="32" t="str">
        <x:v>Named service / product family</x:v>
      </x:c>
      <x:c r="D34" s="32" t="str">
        <x:v>AI &amp; Machine Learning</x:v>
      </x:c>
      <x:c r="E34" s="32" t="str">
        <x:v>AutoML</x:v>
      </x:c>
      <x:c r="F34" s="32" t="str">
        <x:v>Automated machine learning</x:v>
      </x:c>
      <x:c r="G34" s="32" t="str">
        <x:v>Automatically build and optimise models with reduced manual feature and algorithm work.</x:v>
      </x:c>
      <x:c r="H34" s="32" t="str">
        <x:v>Exact</x:v>
      </x:c>
      <x:c r="I34" s="32"/>
      <x:c r="J34" s="32" t="str">
        <x:v>https://azure.microsoft.com/en-gb/products/</x:v>
      </x:c>
      <x:c r="K34" s="32" t="str">
        <x:v>2026-07-12</x:v>
      </x:c>
    </x:row>
    <x:row r="35">
      <x:c r="A35" s="32" t="str">
        <x:v>Microsoft Azure</x:v>
      </x:c>
      <x:c r="B35" s="32" t="str">
        <x:v>Azure Automation</x:v>
      </x:c>
      <x:c r="C35" s="32" t="str">
        <x:v>Named service / product family</x:v>
      </x:c>
      <x:c r="D35" s="32" t="str">
        <x:v>Governance &amp; Management</x:v>
      </x:c>
      <x:c r="E35" s="32" t="str">
        <x:v>Operations automation</x:v>
      </x:c>
      <x:c r="F35" s="32" t="str">
        <x:v>Cloud operations automation</x:v>
      </x:c>
      <x:c r="G35" s="32" t="str">
        <x:v>Automate patching, runbooks, configuration and routine operational actions.</x:v>
      </x:c>
      <x:c r="H35" s="32" t="str">
        <x:v>Close</x:v>
      </x:c>
      <x:c r="I35" s="32"/>
      <x:c r="J35" s="32" t="str">
        <x:v>https://azure.microsoft.com/en-gb/products/</x:v>
      </x:c>
      <x:c r="K35" s="32" t="str">
        <x:v>2026-07-12</x:v>
      </x:c>
    </x:row>
    <x:row r="36">
      <x:c r="A36" s="32" t="str">
        <x:v>Microsoft Azure</x:v>
      </x:c>
      <x:c r="B36" s="32" t="str">
        <x:v>Azure Backup</x:v>
      </x:c>
      <x:c r="C36" s="32" t="str">
        <x:v>Named service / product family</x:v>
      </x:c>
      <x:c r="D36" s="32" t="str">
        <x:v>Storage</x:v>
      </x:c>
      <x:c r="E36" s="32" t="str">
        <x:v>Backup</x:v>
      </x:c>
      <x:c r="F36" s="32" t="str">
        <x:v>Central cloud backup</x:v>
      </x:c>
      <x:c r="G36" s="32" t="str">
        <x:v>Protect cloud and hybrid workloads through centrally managed backup policies.</x:v>
      </x:c>
      <x:c r="H36" s="32" t="str">
        <x:v>Exact</x:v>
      </x:c>
      <x:c r="I36" s="32"/>
      <x:c r="J36" s="32" t="str">
        <x:v>https://azure.microsoft.com/en-gb/products/</x:v>
      </x:c>
      <x:c r="K36" s="32" t="str">
        <x:v>2026-07-12</x:v>
      </x:c>
    </x:row>
    <x:row r="37">
      <x:c r="A37" s="32" t="str">
        <x:v>Microsoft Azure</x:v>
      </x:c>
      <x:c r="B37" s="32" t="str">
        <x:v>Azure Bastion</x:v>
      </x:c>
      <x:c r="C37" s="32" t="str">
        <x:v>Named service / product family</x:v>
      </x:c>
      <x:c r="D37" s="32" t="str">
        <x:v>Security, Identity &amp; Compliance</x:v>
      </x:c>
      <x:c r="E37" s="32" t="str">
        <x:v>Bastion access</x:v>
      </x:c>
      <x:c r="F37" s="32" t="str">
        <x:v>Managed bastion access</x:v>
      </x:c>
      <x:c r="G37" s="32" t="str">
        <x:v>Provide controlled administrative access to private virtual machines.</x:v>
      </x:c>
      <x:c r="H37" s="32" t="str">
        <x:v>Close</x:v>
      </x:c>
      <x:c r="I37" s="32"/>
      <x:c r="J37" s="32" t="str">
        <x:v>https://azure.microsoft.com/en-gb/products/</x:v>
      </x:c>
      <x:c r="K37" s="32" t="str">
        <x:v>2026-07-12</x:v>
      </x:c>
    </x:row>
    <x:row r="38">
      <x:c r="A38" s="32" t="str">
        <x:v>Microsoft Azure</x:v>
      </x:c>
      <x:c r="B38" s="32" t="str">
        <x:v>Azure Batch</x:v>
      </x:c>
      <x:c r="C38" s="32" t="str">
        <x:v>Named service / product family</x:v>
      </x:c>
      <x:c r="D38" s="32" t="str">
        <x:v>Compute &amp; Application Hosting</x:v>
      </x:c>
      <x:c r="E38" s="32" t="str">
        <x:v>Batch</x:v>
      </x:c>
      <x:c r="F38" s="32" t="str">
        <x:v>Managed batch computing</x:v>
      </x:c>
      <x:c r="G38" s="32" t="str">
        <x:v>Schedule and run large numbers of parallel or queued compute jobs.</x:v>
      </x:c>
      <x:c r="H38" s="32" t="str">
        <x:v>Exact</x:v>
      </x:c>
      <x:c r="I38" s="32"/>
      <x:c r="J38" s="32" t="str">
        <x:v>https://azure.microsoft.com/en-gb/products/</x:v>
      </x:c>
      <x:c r="K38" s="32" t="str">
        <x:v>2026-07-12</x:v>
      </x:c>
    </x:row>
    <x:row r="39">
      <x:c r="A39" s="32" t="str">
        <x:v>Microsoft Azure</x:v>
      </x:c>
      <x:c r="B39" s="32" t="str">
        <x:v>Azure Blob Storage</x:v>
      </x:c>
      <x:c r="C39" s="32" t="str">
        <x:v>Named service / product family</x:v>
      </x:c>
      <x:c r="D39" s="32" t="str">
        <x:v>Storage</x:v>
      </x:c>
      <x:c r="E39" s="32" t="str">
        <x:v>Object storage</x:v>
      </x:c>
      <x:c r="F39" s="32" t="str">
        <x:v>Object storage</x:v>
      </x:c>
      <x:c r="G39" s="32" t="str">
        <x:v>Store unstructured data as durable objects accessible through APIs.</x:v>
      </x:c>
      <x:c r="H39" s="32" t="str">
        <x:v>Exact</x:v>
      </x:c>
      <x:c r="I39" s="32"/>
      <x:c r="J39" s="32" t="str">
        <x:v>https://azure.microsoft.com/en-gb/products/</x:v>
      </x:c>
      <x:c r="K39" s="32" t="str">
        <x:v>2026-07-12</x:v>
      </x:c>
    </x:row>
    <x:row r="40">
      <x:c r="A40" s="32" t="str">
        <x:v>Microsoft Azure</x:v>
      </x:c>
      <x:c r="B40" s="32" t="str">
        <x:v>Azure CDN</x:v>
      </x:c>
      <x:c r="C40" s="32" t="str">
        <x:v>Named service / product family</x:v>
      </x:c>
      <x:c r="D40" s="32" t="str">
        <x:v>Networking</x:v>
      </x:c>
      <x:c r="E40" s="32" t="str">
        <x:v>CDN
Media CDN</x:v>
      </x:c>
      <x:c r="F40" s="32" t="str">
        <x:v>Content delivery network
High-capacity media CDN</x:v>
      </x:c>
      <x:c r="G40" s="32" t="str">
        <x:v>Cache and deliver web content from globally distributed edge locations.</x:v>
      </x:c>
      <x:c r="H40" s="32" t="str">
        <x:v>Close, Partial</x:v>
      </x:c>
      <x:c r="I40" s="32"/>
      <x:c r="J40" s="32" t="str">
        <x:v>https://azure.microsoft.com/en-gb/products/</x:v>
      </x:c>
      <x:c r="K40" s="32" t="str">
        <x:v>2026-07-12</x:v>
      </x:c>
    </x:row>
    <x:row r="41">
      <x:c r="A41" s="32" t="str">
        <x:v>Microsoft Azure</x:v>
      </x:c>
      <x:c r="B41" s="32" t="str">
        <x:v>Azure Chaos Studio</x:v>
      </x:c>
      <x:c r="C41" s="32" t="str">
        <x:v>Named service / product family</x:v>
      </x:c>
      <x:c r="D41" s="32" t="str">
        <x:v>Developer Tools &amp; DevOps</x:v>
      </x:c>
      <x:c r="E41" s="32" t="str">
        <x:v>Chaos engineering</x:v>
      </x:c>
      <x:c r="F41" s="32" t="str">
        <x:v>Fault-injection testing</x:v>
      </x:c>
      <x:c r="G41" s="32" t="str">
        <x:v>Inject controlled failures to validate resilience and recovery behaviour.</x:v>
      </x:c>
      <x:c r="H41" s="32" t="str">
        <x:v>Partial</x:v>
      </x:c>
      <x:c r="I41" s="32"/>
      <x:c r="J41" s="32" t="str">
        <x:v>https://azure.microsoft.com/en-gb/products/</x:v>
      </x:c>
      <x:c r="K41" s="32" t="str">
        <x:v>2026-07-12</x:v>
      </x:c>
    </x:row>
    <x:row r="42">
      <x:c r="A42" s="32" t="str">
        <x:v>Microsoft Azure</x:v>
      </x:c>
      <x:c r="B42" s="32" t="str">
        <x:v>Azure CLI</x:v>
      </x:c>
      <x:c r="C42" s="32" t="str">
        <x:v>Named service / product family</x:v>
      </x:c>
      <x:c r="D42" s="32" t="str">
        <x:v>Developer Tools &amp; DevOps</x:v>
      </x:c>
      <x:c r="E42" s="32" t="str">
        <x:v>SDK and CLI</x:v>
      </x:c>
      <x:c r="F42" s="32" t="str">
        <x:v>Cloud command-line and SDK tools</x:v>
      </x:c>
      <x:c r="G42" s="32" t="str">
        <x:v>Manage cloud resources and build applications through command-line tools and language SDKs.</x:v>
      </x:c>
      <x:c r="H42" s="32" t="str">
        <x:v>Exact</x:v>
      </x:c>
      <x:c r="I42" s="32"/>
      <x:c r="J42" s="32" t="str">
        <x:v>https://azure.microsoft.com/en-gb/products/</x:v>
      </x:c>
      <x:c r="K42" s="32" t="str">
        <x:v>2026-07-12</x:v>
      </x:c>
    </x:row>
    <x:row r="43">
      <x:c r="A43" s="32" t="str">
        <x:v>Microsoft Azure</x:v>
      </x:c>
      <x:c r="B43" s="32" t="str">
        <x:v>Azure Cloud HSM</x:v>
      </x:c>
      <x:c r="C43" s="32" t="str">
        <x:v>Named service / product family</x:v>
      </x:c>
      <x:c r="D43" s="32" t="str">
        <x:v>Security, Identity &amp; Compliance</x:v>
      </x:c>
      <x:c r="E43" s="32" t="str">
        <x:v>HSM</x:v>
      </x:c>
      <x:c r="F43" s="32" t="str">
        <x:v>Dedicated cloud HSM</x:v>
      </x:c>
      <x:c r="G43" s="32" t="str">
        <x:v>Use dedicated hardware security modules under customer control.</x:v>
      </x:c>
      <x:c r="H43" s="32" t="str">
        <x:v>Exact</x:v>
      </x:c>
      <x:c r="I43" s="32"/>
      <x:c r="J43" s="32" t="str">
        <x:v>https://azure.microsoft.com/en-gb/products/</x:v>
      </x:c>
      <x:c r="K43" s="32" t="str">
        <x:v>2026-07-12</x:v>
      </x:c>
    </x:row>
    <x:row r="44">
      <x:c r="A44" s="32" t="str">
        <x:v>Microsoft Azure</x:v>
      </x:c>
      <x:c r="B44" s="32" t="str">
        <x:v>Azure Cloud Shell</x:v>
      </x:c>
      <x:c r="C44" s="32" t="str">
        <x:v>Named service / product family</x:v>
      </x:c>
      <x:c r="D44" s="32" t="str">
        <x:v>Developer Tools &amp; DevOps</x:v>
      </x:c>
      <x:c r="E44" s="32" t="str">
        <x:v>Cloud IDE</x:v>
      </x:c>
      <x:c r="F44" s="32" t="str">
        <x:v>Browser-based cloud development environment</x:v>
      </x:c>
      <x:c r="G44" s="32" t="str">
        <x:v>Provide managed browser-accessible development environments connected to cloud resources.</x:v>
      </x:c>
      <x:c r="H44" s="32" t="str">
        <x:v>Close</x:v>
      </x:c>
      <x:c r="I44" s="32"/>
      <x:c r="J44" s="32" t="str">
        <x:v>https://azure.microsoft.com/en-gb/products/</x:v>
      </x:c>
      <x:c r="K44" s="32" t="str">
        <x:v>2026-07-12</x:v>
      </x:c>
    </x:row>
    <x:row r="45">
      <x:c r="A45" s="32" t="str">
        <x:v>Microsoft Azure</x:v>
      </x:c>
      <x:c r="B45" s="32" t="str">
        <x:v>Azure Communication Services</x:v>
      </x:c>
      <x:c r="C45" s="32" t="str">
        <x:v>Named service / product family</x:v>
      </x:c>
      <x:c r="D45" s="32" t="str">
        <x:v>AI &amp; Machine Learning
End-User Computing &amp; Business Apps
Media &amp; Communications</x:v>
      </x:c>
      <x:c r="E45" s="32" t="str">
        <x:v>Communications APIs
Contact centre
Contact-centre AI</x:v>
      </x:c>
      <x:c r="F45" s="32" t="str">
        <x:v>Agent assistance and conversation analytics
Cloud contact centre
Programmable communications</x:v>
      </x:c>
      <x:c r="G45" s="32" t="str">
        <x:v>Assist human contact-centre agents and analyse customer interactions.</x:v>
      </x:c>
      <x:c r="H45" s="32" t="str">
        <x:v>Close, Partial</x:v>
      </x:c>
      <x:c r="I45" s="32"/>
      <x:c r="J45" s="32" t="str">
        <x:v>https://azure.microsoft.com/en-gb/products/</x:v>
      </x:c>
      <x:c r="K45" s="32" t="str">
        <x:v>2026-07-12</x:v>
      </x:c>
    </x:row>
    <x:row r="46">
      <x:c r="A46" s="32" t="str">
        <x:v>Microsoft Azure</x:v>
      </x:c>
      <x:c r="B46" s="32" t="str">
        <x:v>Azure Communication Services / partner video platforms</x:v>
      </x:c>
      <x:c r="C46" s="32" t="str">
        <x:v>Architecture / partner alternative</x:v>
      </x:c>
      <x:c r="D46" s="32" t="str">
        <x:v>Media &amp; Communications</x:v>
      </x:c>
      <x:c r="E46" s="32" t="str">
        <x:v>Interactive streaming</x:v>
      </x:c>
      <x:c r="F46" s="32" t="str">
        <x:v>Interactive low-latency streaming</x:v>
      </x:c>
      <x:c r="G46" s="32" t="str">
        <x:v>Build low-latency live video experiences with interactive application features.</x:v>
      </x:c>
      <x:c r="H46" s="32" t="str">
        <x:v>Partial</x:v>
      </x:c>
      <x:c r="I46" s="32"/>
      <x:c r="J46" s="32" t="str">
        <x:v>https://azure.microsoft.com/en-gb/products/</x:v>
      </x:c>
      <x:c r="K46" s="32" t="str">
        <x:v>2026-07-12</x:v>
      </x:c>
    </x:row>
    <x:row r="47">
      <x:c r="A47" s="32" t="str">
        <x:v>Microsoft Azure</x:v>
      </x:c>
      <x:c r="B47" s="32" t="str">
        <x:v>Azure Communication Services Email</x:v>
      </x:c>
      <x:c r="C47" s="32" t="str">
        <x:v>Named service / product family</x:v>
      </x:c>
      <x:c r="D47" s="32" t="str">
        <x:v>Application Integration</x:v>
      </x:c>
      <x:c r="E47" s="32" t="str">
        <x:v>Email</x:v>
      </x:c>
      <x:c r="F47" s="32" t="str">
        <x:v>Transactional email</x:v>
      </x:c>
      <x:c r="G47" s="32" t="str">
        <x:v>Send application-generated transactional and bulk email.</x:v>
      </x:c>
      <x:c r="H47" s="32" t="str">
        <x:v>Partial</x:v>
      </x:c>
      <x:c r="I47" s="32"/>
      <x:c r="J47" s="32" t="str">
        <x:v>https://azure.microsoft.com/en-gb/products/</x:v>
      </x:c>
      <x:c r="K47" s="32" t="str">
        <x:v>2026-07-12</x:v>
      </x:c>
    </x:row>
    <x:row r="48">
      <x:c r="A48" s="32" t="str">
        <x:v>Microsoft Azure</x:v>
      </x:c>
      <x:c r="B48" s="32" t="str">
        <x:v>Azure Compute Gallery</x:v>
      </x:c>
      <x:c r="C48" s="32" t="str">
        <x:v>Named service / product family</x:v>
      </x:c>
      <x:c r="D48" s="32" t="str">
        <x:v>Compute &amp; Application Hosting</x:v>
      </x:c>
      <x:c r="E48" s="32" t="str">
        <x:v>Image management</x:v>
      </x:c>
      <x:c r="F48" s="32" t="str">
        <x:v>Machine image builder</x:v>
      </x:c>
      <x:c r="G48" s="32" t="str">
        <x:v>Automate creation, validation and distribution of hardened machine images.</x:v>
      </x:c>
      <x:c r="H48" s="32" t="str">
        <x:v>Close</x:v>
      </x:c>
      <x:c r="I48" s="32"/>
      <x:c r="J48" s="32" t="str">
        <x:v>https://azure.microsoft.com/en-gb/products/</x:v>
      </x:c>
      <x:c r="K48" s="32" t="str">
        <x:v>2026-07-12</x:v>
      </x:c>
    </x:row>
    <x:row r="49">
      <x:c r="A49" s="32" t="str">
        <x:v>Microsoft Azure</x:v>
      </x:c>
      <x:c r="B49" s="32" t="str">
        <x:v>Azure Confidential Clean Rooms / partner solutions</x:v>
      </x:c>
      <x:c r="C49" s="32" t="str">
        <x:v>Architecture / partner alternative</x:v>
      </x:c>
      <x:c r="D49" s="32" t="str">
        <x:v>Data, Analytics &amp; BI</x:v>
      </x:c>
      <x:c r="E49" s="32" t="str">
        <x:v>Clean rooms</x:v>
      </x:c>
      <x:c r="F49" s="32" t="str">
        <x:v>Data clean room</x:v>
      </x:c>
      <x:c r="G49" s="32" t="str">
        <x:v>Collaborate on data analysis without exposing underlying sensitive records.</x:v>
      </x:c>
      <x:c r="H49" s="32" t="str">
        <x:v>Close</x:v>
      </x:c>
      <x:c r="I49" s="32"/>
      <x:c r="J49" s="32" t="str">
        <x:v>https://azure.microsoft.com/en-gb/products/</x:v>
      </x:c>
      <x:c r="K49" s="32" t="str">
        <x:v>2026-07-12</x:v>
      </x:c>
    </x:row>
    <x:row r="50">
      <x:c r="A50" s="32" t="str">
        <x:v>Microsoft Azure</x:v>
      </x:c>
      <x:c r="B50" s="32" t="str">
        <x:v>Azure Confidential Computing</x:v>
      </x:c>
      <x:c r="C50" s="32" t="str">
        <x:v>Named service / product family</x:v>
      </x:c>
      <x:c r="D50" s="32" t="str">
        <x:v>Security, Identity &amp; Compliance</x:v>
      </x:c>
      <x:c r="E50" s="32" t="str">
        <x:v>Confidential computing</x:v>
      </x:c>
      <x:c r="F50" s="32" t="str">
        <x:v>Confidential virtual machines</x:v>
      </x:c>
      <x:c r="G50" s="32" t="str">
        <x:v>Protect data in use with hardware-backed trusted execution environments.</x:v>
      </x:c>
      <x:c r="H50" s="32" t="str">
        <x:v>Close</x:v>
      </x:c>
      <x:c r="I50" s="32"/>
      <x:c r="J50" s="32" t="str">
        <x:v>https://azure.microsoft.com/en-gb/products/</x:v>
      </x:c>
      <x:c r="K50" s="32" t="str">
        <x:v>2026-07-12</x:v>
      </x:c>
    </x:row>
    <x:row r="51">
      <x:c r="A51" s="32" t="str">
        <x:v>Microsoft Azure</x:v>
      </x:c>
      <x:c r="B51" s="32" t="str">
        <x:v>Azure Confidential Ledger</x:v>
      </x:c>
      <x:c r="C51" s="32" t="str">
        <x:v>Named service / product family</x:v>
      </x:c>
      <x:c r="D51" s="32" t="str">
        <x:v>Databases</x:v>
      </x:c>
      <x:c r="E51" s="32" t="str">
        <x:v>Ledger</x:v>
      </x:c>
      <x:c r="F51" s="32" t="str">
        <x:v>Immutable ledger database</x:v>
      </x:c>
      <x:c r="G51" s="32" t="str">
        <x:v>Maintain cryptographically verifiable or tamper-evident transaction records.</x:v>
      </x:c>
      <x:c r="H51" s="32" t="str">
        <x:v>Partial</x:v>
      </x:c>
      <x:c r="I51" s="32"/>
      <x:c r="J51" s="32" t="str">
        <x:v>https://azure.microsoft.com/en-gb/products/</x:v>
      </x:c>
      <x:c r="K51" s="32" t="str">
        <x:v>2026-07-12</x:v>
      </x:c>
    </x:row>
    <x:row r="52">
      <x:c r="A52" s="32" t="str">
        <x:v>Microsoft Azure</x:v>
      </x:c>
      <x:c r="B52" s="32" t="str">
        <x:v>Azure Confidential Ledger / partner blockchain offerings</x:v>
      </x:c>
      <x:c r="C52" s="32" t="str">
        <x:v>Architecture / partner alternative</x:v>
      </x:c>
      <x:c r="D52" s="32" t="str">
        <x:v>Databases</x:v>
      </x:c>
      <x:c r="E52" s="32" t="str">
        <x:v>Blockchain</x:v>
      </x:c>
      <x:c r="F52" s="32" t="str">
        <x:v>Managed blockchain infrastructure</x:v>
      </x:c>
      <x:c r="G52" s="32" t="str">
        <x:v>Provision and operate blockchain networks, nodes or blockchain data access.</x:v>
      </x:c>
      <x:c r="H52" s="32" t="str">
        <x:v>Partial</x:v>
      </x:c>
      <x:c r="I52" s="32"/>
      <x:c r="J52" s="32" t="str">
        <x:v>https://azure.microsoft.com/en-gb/products/</x:v>
      </x:c>
      <x:c r="K52" s="32" t="str">
        <x:v>2026-07-12</x:v>
      </x:c>
    </x:row>
    <x:row r="53">
      <x:c r="A53" s="32" t="str">
        <x:v>Microsoft Azure</x:v>
      </x:c>
      <x:c r="B53" s="32" t="str">
        <x:v>Azure Container Apps</x:v>
      </x:c>
      <x:c r="C53" s="32" t="str">
        <x:v>Named service / product family</x:v>
      </x:c>
      <x:c r="D53" s="32" t="str">
        <x:v>Compute &amp; Application Hosting</x:v>
      </x:c>
      <x:c r="E53" s="32" t="str">
        <x:v>Container PaaS</x:v>
      </x:c>
      <x:c r="F53" s="32" t="str">
        <x:v>Serverless container application platform</x:v>
      </x:c>
      <x:c r="G53" s="32" t="str">
        <x:v>Deploy autoscaling containerised applications with managed ingress and revisions.</x:v>
      </x:c>
      <x:c r="H53" s="32" t="str">
        <x:v>Close</x:v>
      </x:c>
      <x:c r="I53" s="32"/>
      <x:c r="J53" s="32" t="str">
        <x:v>https://azure.microsoft.com/en-gb/products/</x:v>
      </x:c>
      <x:c r="K53" s="32" t="str">
        <x:v>2026-07-12</x:v>
      </x:c>
    </x:row>
    <x:row r="54">
      <x:c r="A54" s="32" t="str">
        <x:v>Microsoft Azure</x:v>
      </x:c>
      <x:c r="B54" s="32" t="str">
        <x:v>Azure Container Instances</x:v>
      </x:c>
      <x:c r="C54" s="32" t="str">
        <x:v>Named service / product family</x:v>
      </x:c>
      <x:c r="D54" s="32" t="str">
        <x:v>Compute &amp; Application Hosting</x:v>
      </x:c>
      <x:c r="E54" s="32" t="str">
        <x:v>Container instances</x:v>
      </x:c>
      <x:c r="F54" s="32" t="str">
        <x:v>Serverless container instances</x:v>
      </x:c>
      <x:c r="G54" s="32" t="str">
        <x:v>Run containers without directly managing virtual machines or Kubernetes clusters.</x:v>
      </x:c>
      <x:c r="H54" s="32" t="str">
        <x:v>Close</x:v>
      </x:c>
      <x:c r="I54" s="32"/>
      <x:c r="J54" s="32" t="str">
        <x:v>https://azure.microsoft.com/en-gb/products/</x:v>
      </x:c>
      <x:c r="K54" s="32" t="str">
        <x:v>2026-07-12</x:v>
      </x:c>
    </x:row>
    <x:row r="55">
      <x:c r="A55" s="32" t="str">
        <x:v>Microsoft Azure</x:v>
      </x:c>
      <x:c r="B55" s="32" t="str">
        <x:v>Azure Container Registry</x:v>
      </x:c>
      <x:c r="C55" s="32" t="str">
        <x:v>Named service / product family</x:v>
      </x:c>
      <x:c r="D55" s="32" t="str">
        <x:v>Compute &amp; Application Hosting
Developer Tools &amp; DevOps</x:v>
      </x:c>
      <x:c r="E55" s="32" t="str">
        <x:v>Artifacts
Container registry</x:v>
      </x:c>
      <x:c r="F55" s="32" t="str">
        <x:v>Artifact and package repository
Container image registry</x:v>
      </x:c>
      <x:c r="G55" s="32" t="str">
        <x:v>Store, scan and distribute container images and related artifacts.</x:v>
      </x:c>
      <x:c r="H55" s="32" t="str">
        <x:v>Close, Exact</x:v>
      </x:c>
      <x:c r="I55" s="32"/>
      <x:c r="J55" s="32" t="str">
        <x:v>https://azure.microsoft.com/en-gb/products/</x:v>
      </x:c>
      <x:c r="K55" s="32" t="str">
        <x:v>2026-07-12</x:v>
      </x:c>
    </x:row>
    <x:row r="56">
      <x:c r="A56" s="32" t="str">
        <x:v>Microsoft Azure</x:v>
      </x:c>
      <x:c r="B56" s="32" t="str">
        <x:v>Azure Content Understanding</x:v>
      </x:c>
      <x:c r="C56" s="32" t="str">
        <x:v>Named service / product family</x:v>
      </x:c>
      <x:c r="D56" s="32" t="str">
        <x:v>AI &amp; Machine Learning</x:v>
      </x:c>
      <x:c r="E56" s="32" t="str">
        <x:v>Document AI
Video AI</x:v>
      </x:c>
      <x:c r="F56" s="32" t="str">
        <x:v>Document extraction and OCR
Video intelligence</x:v>
      </x:c>
      <x:c r="G56" s="32" t="str">
        <x:v>Analyse, index and extract metadata from video content.</x:v>
      </x:c>
      <x:c r="H56" s="32" t="str">
        <x:v>Close, Exact</x:v>
      </x:c>
      <x:c r="I56" s="32"/>
      <x:c r="J56" s="32" t="str">
        <x:v>https://azure.microsoft.com/en-gb/products/</x:v>
      </x:c>
      <x:c r="K56" s="32" t="str">
        <x:v>2026-07-12</x:v>
      </x:c>
    </x:row>
    <x:row r="57">
      <x:c r="A57" s="32" t="str">
        <x:v>Microsoft Azure</x:v>
      </x:c>
      <x:c r="B57" s="32" t="str">
        <x:v>Azure Copilot</x:v>
      </x:c>
      <x:c r="C57" s="32" t="str">
        <x:v>Named service / product family</x:v>
      </x:c>
      <x:c r="D57" s="32" t="str">
        <x:v>AI &amp; Machine Learning</x:v>
      </x:c>
      <x:c r="E57" s="32" t="str">
        <x:v>Enterprise AI assistant</x:v>
      </x:c>
      <x:c r="F57" s="32" t="str">
        <x:v>Enterprise AI assistant</x:v>
      </x:c>
      <x:c r="G57" s="32" t="str">
        <x:v>Provide grounded conversational assistance across enterprise systems and cloud operations.</x:v>
      </x:c>
      <x:c r="H57" s="32" t="str">
        <x:v>Partial</x:v>
      </x:c>
      <x:c r="I57" s="32"/>
      <x:c r="J57" s="32" t="str">
        <x:v>https://azure.microsoft.com/en-gb/products/</x:v>
      </x:c>
      <x:c r="K57" s="32" t="str">
        <x:v>2026-07-12</x:v>
      </x:c>
    </x:row>
    <x:row r="58">
      <x:c r="A58" s="32" t="str">
        <x:v>Microsoft Azure</x:v>
      </x:c>
      <x:c r="B58" s="32" t="str">
        <x:v>Azure Cosmos DB</x:v>
      </x:c>
      <x:c r="C58" s="32" t="str">
        <x:v>Named service / product family</x:v>
      </x:c>
      <x:c r="D58" s="32" t="str">
        <x:v>Databases</x:v>
      </x:c>
      <x:c r="E58" s="32" t="str">
        <x:v>Document database
Key-value NoSQL
Wide-column database</x:v>
      </x:c>
      <x:c r="F58" s="32" t="str">
        <x:v>Managed document database
Managed key-value database
Managed wide-column database</x:v>
      </x:c>
      <x:c r="G58" s="32" t="str">
        <x:v>Store and retrieve low-latency key-value data at large scale.</x:v>
      </x:c>
      <x:c r="H58" s="32" t="str">
        <x:v>Close</x:v>
      </x:c>
      <x:c r="I58" s="32"/>
      <x:c r="J58" s="32" t="str">
        <x:v>https://azure.microsoft.com/en-gb/products/</x:v>
      </x:c>
      <x:c r="K58" s="32" t="str">
        <x:v>2026-07-12</x:v>
      </x:c>
    </x:row>
    <x:row r="59">
      <x:c r="A59" s="32" t="str">
        <x:v>Microsoft Azure</x:v>
      </x:c>
      <x:c r="B59" s="32" t="str">
        <x:v>Azure Cosmos DB for Apache Gremlin</x:v>
      </x:c>
      <x:c r="C59" s="32" t="str">
        <x:v>Named service / product family</x:v>
      </x:c>
      <x:c r="D59" s="32" t="str">
        <x:v>Databases</x:v>
      </x:c>
      <x:c r="E59" s="32" t="str">
        <x:v>Graph database</x:v>
      </x:c>
      <x:c r="F59" s="32" t="str">
        <x:v>Managed graph database</x:v>
      </x:c>
      <x:c r="G59" s="32" t="str">
        <x:v>Store and query highly connected data using graph models and traversals.</x:v>
      </x:c>
      <x:c r="H59" s="32" t="str">
        <x:v>Close</x:v>
      </x:c>
      <x:c r="I59" s="32"/>
      <x:c r="J59" s="32" t="str">
        <x:v>https://azure.microsoft.com/en-gb/products/</x:v>
      </x:c>
      <x:c r="K59" s="32" t="str">
        <x:v>2026-07-12</x:v>
      </x:c>
    </x:row>
    <x:row r="60">
      <x:c r="A60" s="32" t="str">
        <x:v>Microsoft Azure</x:v>
      </x:c>
      <x:c r="B60" s="32" t="str">
        <x:v>Azure Cosmos DB for MongoDB</x:v>
      </x:c>
      <x:c r="C60" s="32" t="str">
        <x:v>Named service / product family</x:v>
      </x:c>
      <x:c r="D60" s="32" t="str">
        <x:v>Databases</x:v>
      </x:c>
      <x:c r="E60" s="32" t="str">
        <x:v>MongoDB compatibility</x:v>
      </x:c>
      <x:c r="F60" s="32" t="str">
        <x:v>MongoDB-compatible managed database</x:v>
      </x:c>
      <x:c r="G60" s="32" t="str">
        <x:v>Run document workloads using MongoDB-compatible interfaces.</x:v>
      </x:c>
      <x:c r="H60" s="32" t="str">
        <x:v>Close</x:v>
      </x:c>
      <x:c r="I60" s="32"/>
      <x:c r="J60" s="32" t="str">
        <x:v>https://azure.microsoft.com/en-gb/products/</x:v>
      </x:c>
      <x:c r="K60" s="32" t="str">
        <x:v>2026-07-12</x:v>
      </x:c>
    </x:row>
    <x:row r="61">
      <x:c r="A61" s="32" t="str">
        <x:v>Microsoft Azure</x:v>
      </x:c>
      <x:c r="B61" s="32" t="str">
        <x:v>Azure Cosmos DB for PostgreSQL / Azure SQL Hyperscale</x:v>
      </x:c>
      <x:c r="C61" s="32" t="str">
        <x:v>Product family / combined pattern</x:v>
      </x:c>
      <x:c r="D61" s="32" t="str">
        <x:v>Databases</x:v>
      </x:c>
      <x:c r="E61" s="32" t="str">
        <x:v>Distributed SQL</x:v>
      </x:c>
      <x:c r="F61" s="32" t="str">
        <x:v>Globally distributed relational database</x:v>
      </x:c>
      <x:c r="G61" s="32" t="str">
        <x:v>Provide strongly consistent relational transactions across regions at horizontal scale.</x:v>
      </x:c>
      <x:c r="H61" s="32" t="str">
        <x:v>Partial</x:v>
      </x:c>
      <x:c r="I61" s="32"/>
      <x:c r="J61" s="32" t="str">
        <x:v>https://azure.microsoft.com/en-gb/products/</x:v>
      </x:c>
      <x:c r="K61" s="32" t="str">
        <x:v>2026-07-12</x:v>
      </x:c>
    </x:row>
    <x:row r="62">
      <x:c r="A62" s="32" t="str">
        <x:v>Microsoft Azure</x:v>
      </x:c>
      <x:c r="B62" s="32" t="str">
        <x:v>Azure Cosmos DB vector search</x:v>
      </x:c>
      <x:c r="C62" s="32" t="str">
        <x:v>Named service / product family</x:v>
      </x:c>
      <x:c r="D62" s="32" t="str">
        <x:v>AI &amp; Machine Learning</x:v>
      </x:c>
      <x:c r="E62" s="32" t="str">
        <x:v>Vector search</x:v>
      </x:c>
      <x:c r="F62" s="32" t="str">
        <x:v>Managed vector search</x:v>
      </x:c>
      <x:c r="G62" s="32" t="str">
        <x:v>Store embeddings and run similarity search for RAG and recommendation workloads.</x:v>
      </x:c>
      <x:c r="H62" s="32" t="str">
        <x:v>Close</x:v>
      </x:c>
      <x:c r="I62" s="32"/>
      <x:c r="J62" s="32" t="str">
        <x:v>https://azure.microsoft.com/en-gb/products/</x:v>
      </x:c>
      <x:c r="K62" s="32" t="str">
        <x:v>2026-07-12</x:v>
      </x:c>
    </x:row>
    <x:row r="63">
      <x:c r="A63" s="32" t="str">
        <x:v>Microsoft Azure</x:v>
      </x:c>
      <x:c r="B63" s="32" t="str">
        <x:v>Azure CycleCloud</x:v>
      </x:c>
      <x:c r="C63" s="32" t="str">
        <x:v>Named service / product family</x:v>
      </x:c>
      <x:c r="D63" s="32" t="str">
        <x:v>Compute &amp; Application Hosting</x:v>
      </x:c>
      <x:c r="E63" s="32" t="str">
        <x:v>HPC</x:v>
      </x:c>
      <x:c r="F63" s="32" t="str">
        <x:v>High-performance computing platform</x:v>
      </x:c>
      <x:c r="G63" s="32" t="str">
        <x:v>Provision tightly coupled compute, high-speed networking and schedulers for HPC workloads.</x:v>
      </x:c>
      <x:c r="H63" s="32" t="str">
        <x:v>Close</x:v>
      </x:c>
      <x:c r="I63" s="32"/>
      <x:c r="J63" s="32" t="str">
        <x:v>https://azure.microsoft.com/en-gb/products/</x:v>
      </x:c>
      <x:c r="K63" s="32" t="str">
        <x:v>2026-07-12</x:v>
      </x:c>
    </x:row>
    <x:row r="64">
      <x:c r="A64" s="32" t="str">
        <x:v>Microsoft Azure</x:v>
      </x:c>
      <x:c r="B64" s="32" t="str">
        <x:v>Azure Data Box</x:v>
      </x:c>
      <x:c r="C64" s="32" t="str">
        <x:v>Named service / product family</x:v>
      </x:c>
      <x:c r="D64" s="32" t="str">
        <x:v>Hybrid &amp; Multicloud
Storage</x:v>
      </x:c>
      <x:c r="E64" s="32" t="str">
        <x:v>Edge appliance
Transfer appliance</x:v>
      </x:c>
      <x:c r="F64" s="32" t="str">
        <x:v>Cloud edge appliance
Offline data transfer appliance</x:v>
      </x:c>
      <x:c r="G64" s="32" t="str">
        <x:v>Deploy provider-managed compute and data-transfer hardware at remote sites.</x:v>
      </x:c>
      <x:c r="H64" s="32" t="str">
        <x:v>Close, Exact</x:v>
      </x:c>
      <x:c r="I64" s="32"/>
      <x:c r="J64" s="32" t="str">
        <x:v>https://azure.microsoft.com/en-gb/products/</x:v>
      </x:c>
      <x:c r="K64" s="32" t="str">
        <x:v>2026-07-12</x:v>
      </x:c>
    </x:row>
    <x:row r="65">
      <x:c r="A65" s="32" t="str">
        <x:v>Microsoft Azure</x:v>
      </x:c>
      <x:c r="B65" s="32" t="str">
        <x:v>Azure Data Explorer</x:v>
      </x:c>
      <x:c r="C65" s="32" t="str">
        <x:v>Named service / product family</x:v>
      </x:c>
      <x:c r="D65" s="32" t="str">
        <x:v>Data, Analytics &amp; BI
Databases</x:v>
      </x:c>
      <x:c r="E65" s="32" t="str">
        <x:v>Search analytics
Time-series database</x:v>
      </x:c>
      <x:c r="F65" s="32" t="str">
        <x:v>Managed search and log analytics
Managed time-series database</x:v>
      </x:c>
      <x:c r="G65" s="32" t="str">
        <x:v>Store, query and analyse timestamped operational or IoT data.</x:v>
      </x:c>
      <x:c r="H65" s="32" t="str">
        <x:v>Partial</x:v>
      </x:c>
      <x:c r="I65" s="32"/>
      <x:c r="J65" s="32" t="str">
        <x:v>https://azure.microsoft.com/en-gb/products/</x:v>
      </x:c>
      <x:c r="K65" s="32" t="str">
        <x:v>2026-07-12</x:v>
      </x:c>
    </x:row>
    <x:row r="66">
      <x:c r="A66" s="32" t="str">
        <x:v>Microsoft Azure</x:v>
      </x:c>
      <x:c r="B66" s="32" t="str">
        <x:v>Azure Data Factory</x:v>
      </x:c>
      <x:c r="C66" s="32" t="str">
        <x:v>Named service / product family</x:v>
      </x:c>
      <x:c r="D66" s="32" t="str">
        <x:v>Data, Analytics &amp; BI
Migration &amp; Modernisation
Storage</x:v>
      </x:c>
      <x:c r="E66" s="32" t="str">
        <x:v>Cross-cloud data transfer
Data orchestration
Data replication
Data transfer
ETL and integration</x:v>
      </x:c>
      <x:c r="F66" s="32" t="str">
        <x:v>Change data capture and replication
Cross-cloud data movement
Data workflow orchestration
Managed ETL and data integration
Online data transfer</x:v>
      </x:c>
      <x:c r="G66" s="32" t="str">
        <x:v>Transfer large datasets between on-premises systems, clouds and cloud storage.</x:v>
      </x:c>
      <x:c r="H66" s="32" t="str">
        <x:v>Close</x:v>
      </x:c>
      <x:c r="I66" s="32"/>
      <x:c r="J66" s="32" t="str">
        <x:v>https://azure.microsoft.com/en-gb/products/</x:v>
      </x:c>
      <x:c r="K66" s="32" t="str">
        <x:v>2026-07-12</x:v>
      </x:c>
    </x:row>
    <x:row r="67">
      <x:c r="A67" s="32" t="str">
        <x:v>Microsoft Azure</x:v>
      </x:c>
      <x:c r="B67" s="32" t="str">
        <x:v>Azure Data Lake Storage</x:v>
      </x:c>
      <x:c r="C67" s="32" t="str">
        <x:v>Named service / product family</x:v>
      </x:c>
      <x:c r="D67" s="32" t="str">
        <x:v>Data, Analytics &amp; BI</x:v>
      </x:c>
      <x:c r="E67" s="32" t="str">
        <x:v>Data lake
Lakehouse</x:v>
      </x:c>
      <x:c r="F67" s="32" t="str">
        <x:v>Cloud data lake storage
Lakehouse platform</x:v>
      </x:c>
      <x:c r="G67" s="32" t="str">
        <x:v>Combine data-lake flexibility with warehouse governance and analytics.</x:v>
      </x:c>
      <x:c r="H67" s="32" t="str">
        <x:v>Close</x:v>
      </x:c>
      <x:c r="I67" s="32"/>
      <x:c r="J67" s="32" t="str">
        <x:v>https://azure.microsoft.com/en-gb/products/</x:v>
      </x:c>
      <x:c r="K67" s="32" t="str">
        <x:v>2026-07-12</x:v>
      </x:c>
    </x:row>
    <x:row r="68">
      <x:c r="A68" s="32" t="str">
        <x:v>Microsoft Azure</x:v>
      </x:c>
      <x:c r="B68" s="32" t="str">
        <x:v>Azure Data Manager for Agriculture / mobility partner solutions</x:v>
      </x:c>
      <x:c r="C68" s="32" t="str">
        <x:v>Architecture / partner alternative</x:v>
      </x:c>
      <x:c r="D68" s="32" t="str">
        <x:v>IoT &amp; Edge</x:v>
      </x:c>
      <x:c r="E68" s="32" t="str">
        <x:v>Vehicle telemetry</x:v>
      </x:c>
      <x:c r="F68" s="32" t="str">
        <x:v>Connected vehicle data</x:v>
      </x:c>
      <x:c r="G68" s="32" t="str">
        <x:v>Collect and process vehicle telemetry and fleet data.</x:v>
      </x:c>
      <x:c r="H68" s="32" t="str">
        <x:v>Partial</x:v>
      </x:c>
      <x:c r="I68" s="32"/>
      <x:c r="J68" s="32" t="str">
        <x:v>https://azure.microsoft.com/en-gb/products/</x:v>
      </x:c>
      <x:c r="K68" s="32" t="str">
        <x:v>2026-07-12</x:v>
      </x:c>
    </x:row>
    <x:row r="69">
      <x:c r="A69" s="32" t="str">
        <x:v>Microsoft Azure</x:v>
      </x:c>
      <x:c r="B69" s="32" t="str">
        <x:v>Azure Data Share</x:v>
      </x:c>
      <x:c r="C69" s="32" t="str">
        <x:v>Named service / product family</x:v>
      </x:c>
      <x:c r="D69" s="32" t="str">
        <x:v>Data, Analytics &amp; BI</x:v>
      </x:c>
      <x:c r="E69" s="32" t="str">
        <x:v>Data sharing</x:v>
      </x:c>
      <x:c r="F69" s="32" t="str">
        <x:v>Governed data sharing</x:v>
      </x:c>
      <x:c r="G69" s="32" t="str">
        <x:v>Share datasets with internal or external consumers under controlled access.</x:v>
      </x:c>
      <x:c r="H69" s="32" t="str">
        <x:v>Close</x:v>
      </x:c>
      <x:c r="I69" s="32"/>
      <x:c r="J69" s="32" t="str">
        <x:v>https://azure.microsoft.com/en-gb/products/</x:v>
      </x:c>
      <x:c r="K69" s="32" t="str">
        <x:v>2026-07-12</x:v>
      </x:c>
    </x:row>
    <x:row r="70">
      <x:c r="A70" s="32" t="str">
        <x:v>Microsoft Azure</x:v>
      </x:c>
      <x:c r="B70" s="32" t="str">
        <x:v>Azure Database for MySQL</x:v>
      </x:c>
      <x:c r="C70" s="32" t="str">
        <x:v>Named service / product family</x:v>
      </x:c>
      <x:c r="D70" s="32" t="str">
        <x:v>Databases</x:v>
      </x:c>
      <x:c r="E70" s="32" t="str">
        <x:v>MySQL
Relational databases</x:v>
      </x:c>
      <x:c r="F70" s="32" t="str">
        <x:v>Managed MySQL
Managed relational database service</x:v>
      </x:c>
      <x:c r="G70" s="32" t="str">
        <x:v>Operate common relational database engines with managed backups, patching and availability.</x:v>
      </x:c>
      <x:c r="H70" s="32" t="str">
        <x:v>Close, Exact</x:v>
      </x:c>
      <x:c r="I70" s="32"/>
      <x:c r="J70" s="32" t="str">
        <x:v>https://azure.microsoft.com/en-gb/products/</x:v>
      </x:c>
      <x:c r="K70" s="32" t="str">
        <x:v>2026-07-12</x:v>
      </x:c>
    </x:row>
    <x:row r="71">
      <x:c r="A71" s="32" t="str">
        <x:v>Microsoft Azure</x:v>
      </x:c>
      <x:c r="B71" s="32" t="str">
        <x:v>Azure Database for PostgreSQL</x:v>
      </x:c>
      <x:c r="C71" s="32" t="str">
        <x:v>Named service / product family</x:v>
      </x:c>
      <x:c r="D71" s="32" t="str">
        <x:v>Databases</x:v>
      </x:c>
      <x:c r="E71" s="32" t="str">
        <x:v>PostgreSQL
Relational databases</x:v>
      </x:c>
      <x:c r="F71" s="32" t="str">
        <x:v>High-performance PostgreSQL-compatible database
Managed relational database service</x:v>
      </x:c>
      <x:c r="G71" s="32" t="str">
        <x:v>Operate common relational database engines with managed backups, patching and availability.</x:v>
      </x:c>
      <x:c r="H71" s="32" t="str">
        <x:v>Close</x:v>
      </x:c>
      <x:c r="I71" s="32"/>
      <x:c r="J71" s="32" t="str">
        <x:v>https://azure.microsoft.com/en-gb/products/</x:v>
      </x:c>
      <x:c r="K71" s="32" t="str">
        <x:v>2026-07-12</x:v>
      </x:c>
    </x:row>
    <x:row r="72">
      <x:c r="A72" s="32" t="str">
        <x:v>Microsoft Azure</x:v>
      </x:c>
      <x:c r="B72" s="32" t="str">
        <x:v>Azure Database for PostgreSQL pgvector</x:v>
      </x:c>
      <x:c r="C72" s="32" t="str">
        <x:v>Named service / product family</x:v>
      </x:c>
      <x:c r="D72" s="32" t="str">
        <x:v>AI &amp; Machine Learning</x:v>
      </x:c>
      <x:c r="E72" s="32" t="str">
        <x:v>Vector search</x:v>
      </x:c>
      <x:c r="F72" s="32" t="str">
        <x:v>Managed vector search</x:v>
      </x:c>
      <x:c r="G72" s="32" t="str">
        <x:v>Store embeddings and run similarity search for RAG and recommendation workloads.</x:v>
      </x:c>
      <x:c r="H72" s="32" t="str">
        <x:v>Close</x:v>
      </x:c>
      <x:c r="I72" s="32"/>
      <x:c r="J72" s="32" t="str">
        <x:v>https://azure.microsoft.com/en-gb/products/</x:v>
      </x:c>
      <x:c r="K72" s="32" t="str">
        <x:v>2026-07-12</x:v>
      </x:c>
    </x:row>
    <x:row r="73">
      <x:c r="A73" s="32" t="str">
        <x:v>Microsoft Azure</x:v>
      </x:c>
      <x:c r="B73" s="32" t="str">
        <x:v>Azure Database Migration Service</x:v>
      </x:c>
      <x:c r="C73" s="32" t="str">
        <x:v>Named service / product family</x:v>
      </x:c>
      <x:c r="D73" s="32" t="str">
        <x:v>Data, Analytics &amp; BI
Databases</x:v>
      </x:c>
      <x:c r="E73" s="32" t="str">
        <x:v>Data replication
Database migration</x:v>
      </x:c>
      <x:c r="F73" s="32" t="str">
        <x:v>Change data capture and replication
Database migration service</x:v>
      </x:c>
      <x:c r="G73" s="32" t="str">
        <x:v>Assess, replicate and migrate databases with minimal downtime.</x:v>
      </x:c>
      <x:c r="H73" s="32" t="str">
        <x:v>Close, Exact</x:v>
      </x:c>
      <x:c r="I73" s="32"/>
      <x:c r="J73" s="32" t="str">
        <x:v>https://azure.microsoft.com/en-gb/products/</x:v>
      </x:c>
      <x:c r="K73" s="32" t="str">
        <x:v>2026-07-12</x:v>
      </x:c>
    </x:row>
    <x:row r="74">
      <x:c r="A74" s="32" t="str">
        <x:v>Microsoft Azure</x:v>
      </x:c>
      <x:c r="B74" s="32" t="str">
        <x:v>Azure Databricks</x:v>
      </x:c>
      <x:c r="C74" s="32" t="str">
        <x:v>Named service / product family</x:v>
      </x:c>
      <x:c r="D74" s="32" t="str">
        <x:v>AI &amp; Machine Learning
Data, Analytics &amp; BI</x:v>
      </x:c>
      <x:c r="E74" s="32" t="str">
        <x:v>Big data
Distributed ML
Forecasting
Lakehouse</x:v>
      </x:c>
      <x:c r="F74" s="32" t="str">
        <x:v>Demand and time-series forecasting
Distributed ML execution
Lakehouse platform
Managed Spark and Hadoop</x:v>
      </x:c>
      <x:c r="G74" s="32" t="str">
        <x:v>Scale Python, ML and AI workloads across distributed compute clusters.</x:v>
      </x:c>
      <x:c r="H74" s="32" t="str">
        <x:v>Close, Partial</x:v>
      </x:c>
      <x:c r="I74" s="32"/>
      <x:c r="J74" s="32" t="str">
        <x:v>https://azure.microsoft.com/en-gb/products/</x:v>
      </x:c>
      <x:c r="K74" s="32" t="str">
        <x:v>2026-07-12</x:v>
      </x:c>
    </x:row>
    <x:row r="75">
      <x:c r="A75" s="32" t="str">
        <x:v>Microsoft Azure</x:v>
      </x:c>
      <x:c r="B75" s="32" t="str">
        <x:v>Azure Databricks Structured Streaming</x:v>
      </x:c>
      <x:c r="C75" s="32" t="str">
        <x:v>Named service / product family</x:v>
      </x:c>
      <x:c r="D75" s="32" t="str">
        <x:v>Data, Analytics &amp; BI</x:v>
      </x:c>
      <x:c r="E75" s="32" t="str">
        <x:v>Stream processing</x:v>
      </x:c>
      <x:c r="F75" s="32" t="str">
        <x:v>Managed stream processing</x:v>
      </x:c>
      <x:c r="G75" s="32" t="str">
        <x:v>Process and transform continuously arriving data with low latency.</x:v>
      </x:c>
      <x:c r="H75" s="32" t="str">
        <x:v>Close</x:v>
      </x:c>
      <x:c r="I75" s="32"/>
      <x:c r="J75" s="32" t="str">
        <x:v>https://azure.microsoft.com/en-gb/products/</x:v>
      </x:c>
      <x:c r="K75" s="32" t="str">
        <x:v>2026-07-12</x:v>
      </x:c>
    </x:row>
    <x:row r="76">
      <x:c r="A76" s="32" t="str">
        <x:v>Microsoft Azure</x:v>
      </x:c>
      <x:c r="B76" s="32" t="str">
        <x:v>Azure DDoS Protection</x:v>
      </x:c>
      <x:c r="C76" s="32" t="str">
        <x:v>Named service / product family</x:v>
      </x:c>
      <x:c r="D76" s="32" t="str">
        <x:v>Security, Identity &amp; Compliance</x:v>
      </x:c>
      <x:c r="E76" s="32" t="str">
        <x:v>DDoS</x:v>
      </x:c>
      <x:c r="F76" s="32" t="str">
        <x:v>DDoS protection</x:v>
      </x:c>
      <x:c r="G76" s="32" t="str">
        <x:v>Detect and mitigate volumetric and protocol denial-of-service attacks.</x:v>
      </x:c>
      <x:c r="H76" s="32" t="str">
        <x:v>Close</x:v>
      </x:c>
      <x:c r="I76" s="32"/>
      <x:c r="J76" s="32" t="str">
        <x:v>https://azure.microsoft.com/en-gb/products/</x:v>
      </x:c>
      <x:c r="K76" s="32" t="str">
        <x:v>2026-07-12</x:v>
      </x:c>
    </x:row>
    <x:row r="77">
      <x:c r="A77" s="32" t="str">
        <x:v>Microsoft Azure</x:v>
      </x:c>
      <x:c r="B77" s="32" t="str">
        <x:v>Azure Dedicated Host</x:v>
      </x:c>
      <x:c r="C77" s="32" t="str">
        <x:v>Named service / product family</x:v>
      </x:c>
      <x:c r="D77" s="32" t="str">
        <x:v>Compute &amp; Application Hosting</x:v>
      </x:c>
      <x:c r="E77" s="32" t="str">
        <x:v>Dedicated compute</x:v>
      </x:c>
      <x:c r="F77" s="32" t="str">
        <x:v>Dedicated hosts</x:v>
      </x:c>
      <x:c r="G77" s="32" t="str">
        <x:v>Run virtual machines on isolated physical servers dedicated to one customer.</x:v>
      </x:c>
      <x:c r="H77" s="32" t="str">
        <x:v>Exact</x:v>
      </x:c>
      <x:c r="I77" s="32"/>
      <x:c r="J77" s="32" t="str">
        <x:v>https://azure.microsoft.com/en-gb/products/</x:v>
      </x:c>
      <x:c r="K77" s="32" t="str">
        <x:v>2026-07-12</x:v>
      </x:c>
    </x:row>
    <x:row r="78">
      <x:c r="A78" s="32" t="str">
        <x:v>Microsoft Azure</x:v>
      </x:c>
      <x:c r="B78" s="32" t="str">
        <x:v>Azure Deployment Environments</x:v>
      </x:c>
      <x:c r="C78" s="32" t="str">
        <x:v>Named service / product family</x:v>
      </x:c>
      <x:c r="D78" s="32" t="str">
        <x:v>Developer Tools &amp; DevOps
Governance &amp; Management</x:v>
      </x:c>
      <x:c r="E78" s="32" t="str">
        <x:v>Developer portal
Service catalogue</x:v>
      </x:c>
      <x:c r="F78" s="32" t="str">
        <x:v>Approved service catalogue
Internal developer platform</x:v>
      </x:c>
      <x:c r="G78" s="32" t="str">
        <x:v>Publish governed, reusable infrastructure and application products for internal teams.</x:v>
      </x:c>
      <x:c r="H78" s="32" t="str">
        <x:v>Close, Partial</x:v>
      </x:c>
      <x:c r="I78" s="32"/>
      <x:c r="J78" s="32" t="str">
        <x:v>https://azure.microsoft.com/en-gb/products/</x:v>
      </x:c>
      <x:c r="K78" s="32" t="str">
        <x:v>2026-07-12</x:v>
      </x:c>
    </x:row>
    <x:row r="79">
      <x:c r="A79" s="32" t="str">
        <x:v>Microsoft Azure</x:v>
      </x:c>
      <x:c r="B79" s="32" t="str">
        <x:v>Azure Dev Center</x:v>
      </x:c>
      <x:c r="C79" s="32" t="str">
        <x:v>Named service / product family</x:v>
      </x:c>
      <x:c r="D79" s="32" t="str">
        <x:v>Developer Tools &amp; DevOps</x:v>
      </x:c>
      <x:c r="E79" s="32" t="str">
        <x:v>Developer portal</x:v>
      </x:c>
      <x:c r="F79" s="32" t="str">
        <x:v>Internal developer platform</x:v>
      </x:c>
      <x:c r="G79" s="32" t="str">
        <x:v>Standardise approved application templates, environments and developer self-service.</x:v>
      </x:c>
      <x:c r="H79" s="32" t="str">
        <x:v>Close</x:v>
      </x:c>
      <x:c r="I79" s="32"/>
      <x:c r="J79" s="32" t="str">
        <x:v>https://azure.microsoft.com/en-gb/products/</x:v>
      </x:c>
      <x:c r="K79" s="32" t="str">
        <x:v>2026-07-12</x:v>
      </x:c>
    </x:row>
    <x:row r="80">
      <x:c r="A80" s="32" t="str">
        <x:v>Microsoft Azure</x:v>
      </x:c>
      <x:c r="B80" s="32" t="str">
        <x:v>Azure Digital Twins</x:v>
      </x:c>
      <x:c r="C80" s="32" t="str">
        <x:v>Named service / product family</x:v>
      </x:c>
      <x:c r="D80" s="32" t="str">
        <x:v>IoT &amp; Edge</x:v>
      </x:c>
      <x:c r="E80" s="32" t="str">
        <x:v>Digital twins</x:v>
      </x:c>
      <x:c r="F80" s="32" t="str">
        <x:v>Digital twin platform</x:v>
      </x:c>
      <x:c r="G80" s="32" t="str">
        <x:v>Model physical environments, assets and relationships using digital representations.</x:v>
      </x:c>
      <x:c r="H80" s="32" t="str">
        <x:v>Partial</x:v>
      </x:c>
      <x:c r="I80" s="32"/>
      <x:c r="J80" s="32" t="str">
        <x:v>https://azure.microsoft.com/en-gb/products/</x:v>
      </x:c>
      <x:c r="K80" s="32" t="str">
        <x:v>2026-07-12</x:v>
      </x:c>
    </x:row>
    <x:row r="81">
      <x:c r="A81" s="32" t="str">
        <x:v>Microsoft Azure</x:v>
      </x:c>
      <x:c r="B81" s="32" t="str">
        <x:v>Azure Disk Storage</x:v>
      </x:c>
      <x:c r="C81" s="32" t="str">
        <x:v>Named service / product family</x:v>
      </x:c>
      <x:c r="D81" s="32" t="str">
        <x:v>Storage</x:v>
      </x:c>
      <x:c r="E81" s="32" t="str">
        <x:v>Block storage</x:v>
      </x:c>
      <x:c r="F81" s="32" t="str">
        <x:v>Persistent block storage</x:v>
      </x:c>
      <x:c r="G81" s="32" t="str">
        <x:v>Attach durable block volumes to virtual machines and stateful workloads.</x:v>
      </x:c>
      <x:c r="H81" s="32" t="str">
        <x:v>Exact</x:v>
      </x:c>
      <x:c r="I81" s="32"/>
      <x:c r="J81" s="32" t="str">
        <x:v>https://azure.microsoft.com/en-gb/products/</x:v>
      </x:c>
      <x:c r="K81" s="32" t="str">
        <x:v>2026-07-12</x:v>
      </x:c>
    </x:row>
    <x:row r="82">
      <x:c r="A82" s="32" t="str">
        <x:v>Microsoft Azure</x:v>
      </x:c>
      <x:c r="B82" s="32" t="str">
        <x:v>Azure DNS</x:v>
      </x:c>
      <x:c r="C82" s="32" t="str">
        <x:v>Named service / product family</x:v>
      </x:c>
      <x:c r="D82" s="32" t="str">
        <x:v>Networking</x:v>
      </x:c>
      <x:c r="E82" s="32" t="str">
        <x:v>DNS</x:v>
      </x:c>
      <x:c r="F82" s="32" t="str">
        <x:v>Managed DNS</x:v>
      </x:c>
      <x:c r="G82" s="32" t="str">
        <x:v>Host public and private DNS zones with resilient authoritative name resolution.</x:v>
      </x:c>
      <x:c r="H82" s="32" t="str">
        <x:v>Exact</x:v>
      </x:c>
      <x:c r="I82" s="32"/>
      <x:c r="J82" s="32" t="str">
        <x:v>https://azure.microsoft.com/en-gb/products/</x:v>
      </x:c>
      <x:c r="K82" s="32" t="str">
        <x:v>2026-07-12</x:v>
      </x:c>
    </x:row>
    <x:row r="83">
      <x:c r="A83" s="32" t="str">
        <x:v>Microsoft Azure</x:v>
      </x:c>
      <x:c r="B83" s="32" t="str">
        <x:v>Azure Document Intelligence</x:v>
      </x:c>
      <x:c r="C83" s="32" t="str">
        <x:v>Named service / product family</x:v>
      </x:c>
      <x:c r="D83" s="32" t="str">
        <x:v>AI &amp; Machine Learning</x:v>
      </x:c>
      <x:c r="E83" s="32" t="str">
        <x:v>Document AI</x:v>
      </x:c>
      <x:c r="F83" s="32" t="str">
        <x:v>Document extraction and OCR</x:v>
      </x:c>
      <x:c r="G83" s="32" t="str">
        <x:v>Extract text, tables, forms and structured fields from documents.</x:v>
      </x:c>
      <x:c r="H83" s="32" t="str">
        <x:v>Exact</x:v>
      </x:c>
      <x:c r="I83" s="32"/>
      <x:c r="J83" s="32" t="str">
        <x:v>https://azure.microsoft.com/en-gb/products/</x:v>
      </x:c>
      <x:c r="K83" s="32" t="str">
        <x:v>2026-07-12</x:v>
      </x:c>
    </x:row>
    <x:row r="84">
      <x:c r="A84" s="32" t="str">
        <x:v>Microsoft Azure</x:v>
      </x:c>
      <x:c r="B84" s="32" t="str">
        <x:v>Azure DocumentDB</x:v>
      </x:c>
      <x:c r="C84" s="32" t="str">
        <x:v>Named service / product family</x:v>
      </x:c>
      <x:c r="D84" s="32" t="str">
        <x:v>Databases</x:v>
      </x:c>
      <x:c r="E84" s="32" t="str">
        <x:v>Document database
MongoDB compatibility</x:v>
      </x:c>
      <x:c r="F84" s="32" t="str">
        <x:v>Managed document database
MongoDB-compatible managed database</x:v>
      </x:c>
      <x:c r="G84" s="32" t="str">
        <x:v>Store semi-structured JSON-like documents with flexible schemas.</x:v>
      </x:c>
      <x:c r="H84" s="32" t="str">
        <x:v>Close</x:v>
      </x:c>
      <x:c r="I84" s="32"/>
      <x:c r="J84" s="32" t="str">
        <x:v>https://azure.microsoft.com/en-gb/products/</x:v>
      </x:c>
      <x:c r="K84" s="32" t="str">
        <x:v>2026-07-12</x:v>
      </x:c>
    </x:row>
    <x:row r="85">
      <x:c r="A85" s="32" t="str">
        <x:v>Microsoft Azure</x:v>
      </x:c>
      <x:c r="B85" s="32" t="str">
        <x:v>Azure Edge Zones</x:v>
      </x:c>
      <x:c r="C85" s="32" t="str">
        <x:v>Named service / product family</x:v>
      </x:c>
      <x:c r="D85" s="32" t="str">
        <x:v>Compute &amp; Application Hosting</x:v>
      </x:c>
      <x:c r="E85" s="32" t="str">
        <x:v>Edge compute</x:v>
      </x:c>
      <x:c r="F85" s="32" t="str">
        <x:v>Provider edge compute</x:v>
      </x:c>
      <x:c r="G85" s="32" t="str">
        <x:v>Run cloud compute and services near users, devices or telecom networks.</x:v>
      </x:c>
      <x:c r="H85" s="32" t="str">
        <x:v>Close</x:v>
      </x:c>
      <x:c r="I85" s="32"/>
      <x:c r="J85" s="32" t="str">
        <x:v>https://azure.microsoft.com/en-gb/products/</x:v>
      </x:c>
      <x:c r="K85" s="32" t="str">
        <x:v>2026-07-12</x:v>
      </x:c>
    </x:row>
    <x:row r="86">
      <x:c r="A86" s="32" t="str">
        <x:v>Microsoft Azure</x:v>
      </x:c>
      <x:c r="B86" s="32" t="str">
        <x:v>Azure Elastic SAN</x:v>
      </x:c>
      <x:c r="C86" s="32" t="str">
        <x:v>Named service / product family</x:v>
      </x:c>
      <x:c r="D86" s="32" t="str">
        <x:v>Storage</x:v>
      </x:c>
      <x:c r="E86" s="32" t="str">
        <x:v>Elastic SAN</x:v>
      </x:c>
      <x:c r="F86" s="32" t="str">
        <x:v>Managed cloud SAN</x:v>
      </x:c>
      <x:c r="G86" s="32" t="str">
        <x:v>Provide centrally provisioned block storage through SAN-style constructs.</x:v>
      </x:c>
      <x:c r="H86" s="32" t="str">
        <x:v>Partial</x:v>
      </x:c>
      <x:c r="I86" s="32"/>
      <x:c r="J86" s="32" t="str">
        <x:v>https://azure.microsoft.com/en-gb/products/</x:v>
      </x:c>
      <x:c r="K86" s="32" t="str">
        <x:v>2026-07-12</x:v>
      </x:c>
    </x:row>
    <x:row r="87">
      <x:c r="A87" s="32" t="str">
        <x:v>Microsoft Azure</x:v>
      </x:c>
      <x:c r="B87" s="32" t="str">
        <x:v>Azure Event Grid</x:v>
      </x:c>
      <x:c r="C87" s="32" t="str">
        <x:v>Named service / product family</x:v>
      </x:c>
      <x:c r="D87" s="32" t="str">
        <x:v>Application Integration</x:v>
      </x:c>
      <x:c r="E87" s="32" t="str">
        <x:v>Event bus
Pub/sub</x:v>
      </x:c>
      <x:c r="F87" s="32" t="str">
        <x:v>Application event bus
Publish-subscribe messaging</x:v>
      </x:c>
      <x:c r="G87" s="32" t="str">
        <x:v>Distribute messages from publishers to multiple asynchronous subscribers.</x:v>
      </x:c>
      <x:c r="H87" s="32" t="str">
        <x:v>Close</x:v>
      </x:c>
      <x:c r="I87" s="32"/>
      <x:c r="J87" s="32" t="str">
        <x:v>https://azure.microsoft.com/en-gb/products/</x:v>
      </x:c>
      <x:c r="K87" s="32" t="str">
        <x:v>2026-07-12</x:v>
      </x:c>
    </x:row>
    <x:row r="88">
      <x:c r="A88" s="32" t="str">
        <x:v>Microsoft Azure</x:v>
      </x:c>
      <x:c r="B88" s="32" t="str">
        <x:v>Azure Event Hubs</x:v>
      </x:c>
      <x:c r="C88" s="32" t="str">
        <x:v>Named service / product family</x:v>
      </x:c>
      <x:c r="D88" s="32" t="str">
        <x:v>Data, Analytics &amp; BI</x:v>
      </x:c>
      <x:c r="E88" s="32" t="str">
        <x:v>Streaming ingestion</x:v>
      </x:c>
      <x:c r="F88" s="32" t="str">
        <x:v>Streaming event ingestion</x:v>
      </x:c>
      <x:c r="G88" s="32" t="str">
        <x:v>Ingest high-volume event streams for near-real-time processing.</x:v>
      </x:c>
      <x:c r="H88" s="32" t="str">
        <x:v>Close</x:v>
      </x:c>
      <x:c r="I88" s="32"/>
      <x:c r="J88" s="32" t="str">
        <x:v>https://azure.microsoft.com/en-gb/products/</x:v>
      </x:c>
      <x:c r="K88" s="32" t="str">
        <x:v>2026-07-12</x:v>
      </x:c>
    </x:row>
    <x:row r="89">
      <x:c r="A89" s="32" t="str">
        <x:v>Microsoft Azure</x:v>
      </x:c>
      <x:c r="B89" s="32" t="str">
        <x:v>Azure Event Hubs Kafka endpoint</x:v>
      </x:c>
      <x:c r="C89" s="32" t="str">
        <x:v>Named service / product family</x:v>
      </x:c>
      <x:c r="D89" s="32" t="str">
        <x:v>Data, Analytics &amp; BI</x:v>
      </x:c>
      <x:c r="E89" s="32" t="str">
        <x:v>Kafka</x:v>
      </x:c>
      <x:c r="F89" s="32" t="str">
        <x:v>Managed Apache Kafka</x:v>
      </x:c>
      <x:c r="G89" s="32" t="str">
        <x:v>Operate Apache Kafka clusters as a managed service.</x:v>
      </x:c>
      <x:c r="H89" s="32" t="str">
        <x:v>Close</x:v>
      </x:c>
      <x:c r="I89" s="32"/>
      <x:c r="J89" s="32" t="str">
        <x:v>https://azure.microsoft.com/en-gb/products/</x:v>
      </x:c>
      <x:c r="K89" s="32" t="str">
        <x:v>2026-07-12</x:v>
      </x:c>
    </x:row>
    <x:row r="90">
      <x:c r="A90" s="32" t="str">
        <x:v>Microsoft Azure</x:v>
      </x:c>
      <x:c r="B90" s="32" t="str">
        <x:v>Azure Expert Managed Services ecosystem</x:v>
      </x:c>
      <x:c r="C90" s="32" t="str">
        <x:v>Architecture / partner alternative</x:v>
      </x:c>
      <x:c r="D90" s="32" t="str">
        <x:v>Governance &amp; Management</x:v>
      </x:c>
      <x:c r="E90" s="32" t="str">
        <x:v>Managed operations</x:v>
      </x:c>
      <x:c r="F90" s="32" t="str">
        <x:v>Managed cloud operations</x:v>
      </x:c>
      <x:c r="G90" s="32" t="str">
        <x:v>Provider-operated governance and operations for enterprise cloud estates.</x:v>
      </x:c>
      <x:c r="H90" s="32" t="str">
        <x:v>Partial</x:v>
      </x:c>
      <x:c r="I90" s="32" t="str">
        <x:v>Azure and Google generally deliver this through service offerings and partners rather than a single equivalent product.</x:v>
      </x:c>
      <x:c r="J90" s="32" t="str">
        <x:v>https://azure.microsoft.com/en-gb/products/</x:v>
      </x:c>
      <x:c r="K90" s="32" t="str">
        <x:v>2026-07-12</x:v>
      </x:c>
    </x:row>
    <x:row r="91">
      <x:c r="A91" s="32" t="str">
        <x:v>Microsoft Azure</x:v>
      </x:c>
      <x:c r="B91" s="32" t="str">
        <x:v>Azure ExpressRoute</x:v>
      </x:c>
      <x:c r="C91" s="32" t="str">
        <x:v>Named service / product family</x:v>
      </x:c>
      <x:c r="D91" s="32" t="str">
        <x:v>Networking</x:v>
      </x:c>
      <x:c r="E91" s="32" t="str">
        <x:v>Hybrid connectivity</x:v>
      </x:c>
      <x:c r="F91" s="32" t="str">
        <x:v>Dedicated private connectivity</x:v>
      </x:c>
      <x:c r="G91" s="32" t="str">
        <x:v>Connect data centres to cloud through dedicated private circuits.</x:v>
      </x:c>
      <x:c r="H91" s="32" t="str">
        <x:v>Exact</x:v>
      </x:c>
      <x:c r="I91" s="32"/>
      <x:c r="J91" s="32" t="str">
        <x:v>https://azure.microsoft.com/en-gb/products/</x:v>
      </x:c>
      <x:c r="K91" s="32" t="str">
        <x:v>2026-07-12</x:v>
      </x:c>
    </x:row>
    <x:row r="92">
      <x:c r="A92" s="32" t="str">
        <x:v>Microsoft Azure</x:v>
      </x:c>
      <x:c r="B92" s="32" t="str">
        <x:v>Azure ExpressRoute / partner media transport</x:v>
      </x:c>
      <x:c r="C92" s="32" t="str">
        <x:v>Architecture / partner alternative</x:v>
      </x:c>
      <x:c r="D92" s="32" t="str">
        <x:v>Media &amp; Communications</x:v>
      </x:c>
      <x:c r="E92" s="32" t="str">
        <x:v>Video transport</x:v>
      </x:c>
      <x:c r="F92" s="32" t="str">
        <x:v>Live video transport</x:v>
      </x:c>
      <x:c r="G92" s="32" t="str">
        <x:v>Reliably transport high-quality live video between sites, partners and cloud workflows.</x:v>
      </x:c>
      <x:c r="H92" s="32" t="str">
        <x:v>Partial</x:v>
      </x:c>
      <x:c r="I92" s="32"/>
      <x:c r="J92" s="32" t="str">
        <x:v>https://azure.microsoft.com/en-gb/products/</x:v>
      </x:c>
      <x:c r="K92" s="32" t="str">
        <x:v>2026-07-12</x:v>
      </x:c>
    </x:row>
    <x:row r="93">
      <x:c r="A93" s="32" t="str">
        <x:v>Microsoft Azure</x:v>
      </x:c>
      <x:c r="B93" s="32" t="str">
        <x:v>Azure File Sync</x:v>
      </x:c>
      <x:c r="C93" s="32" t="str">
        <x:v>Named service / product family</x:v>
      </x:c>
      <x:c r="D93" s="32" t="str">
        <x:v>Storage</x:v>
      </x:c>
      <x:c r="E93" s="32" t="str">
        <x:v>Hybrid storage</x:v>
      </x:c>
      <x:c r="F93" s="32" t="str">
        <x:v>Hybrid storage gateway</x:v>
      </x:c>
      <x:c r="G93" s="32" t="str">
        <x:v>Connect on-premises applications to cloud storage through local protocols and caching.</x:v>
      </x:c>
      <x:c r="H93" s="32" t="str">
        <x:v>Partial</x:v>
      </x:c>
      <x:c r="I93" s="32"/>
      <x:c r="J93" s="32" t="str">
        <x:v>https://azure.microsoft.com/en-gb/products/</x:v>
      </x:c>
      <x:c r="K93" s="32" t="str">
        <x:v>2026-07-12</x:v>
      </x:c>
    </x:row>
    <x:row r="94">
      <x:c r="A94" s="32" t="str">
        <x:v>Microsoft Azure</x:v>
      </x:c>
      <x:c r="B94" s="32" t="str">
        <x:v>Azure Files</x:v>
      </x:c>
      <x:c r="C94" s="32" t="str">
        <x:v>Named service / product family</x:v>
      </x:c>
      <x:c r="D94" s="32" t="str">
        <x:v>Storage</x:v>
      </x:c>
      <x:c r="E94" s="32" t="str">
        <x:v>File storage
Windows file</x:v>
      </x:c>
      <x:c r="F94" s="32" t="str">
        <x:v>Managed Windows file server
Managed network file storage</x:v>
      </x:c>
      <x:c r="G94" s="32" t="str">
        <x:v>Provide shared file systems for applications and user workloads.</x:v>
      </x:c>
      <x:c r="H94" s="32" t="str">
        <x:v>Close, Exact</x:v>
      </x:c>
      <x:c r="I94" s="32"/>
      <x:c r="J94" s="32" t="str">
        <x:v>https://azure.microsoft.com/en-gb/products/</x:v>
      </x:c>
      <x:c r="K94" s="32" t="str">
        <x:v>2026-07-12</x:v>
      </x:c>
    </x:row>
    <x:row r="95">
      <x:c r="A95" s="32" t="str">
        <x:v>Microsoft Azure</x:v>
      </x:c>
      <x:c r="B95" s="32" t="str">
        <x:v>Azure Firewall</x:v>
      </x:c>
      <x:c r="C95" s="32" t="str">
        <x:v>Named service / product family</x:v>
      </x:c>
      <x:c r="D95" s="32" t="str">
        <x:v>Security, Identity &amp; Compliance</x:v>
      </x:c>
      <x:c r="E95" s="32" t="str">
        <x:v>Network security</x:v>
      </x:c>
      <x:c r="F95" s="32" t="str">
        <x:v>Managed network firewall</x:v>
      </x:c>
      <x:c r="G95" s="32" t="str">
        <x:v>Inspect and filter network traffic using managed firewall policies.</x:v>
      </x:c>
      <x:c r="H95" s="32" t="str">
        <x:v>Exact</x:v>
      </x:c>
      <x:c r="I95" s="32"/>
      <x:c r="J95" s="32" t="str">
        <x:v>https://azure.microsoft.com/en-gb/products/</x:v>
      </x:c>
      <x:c r="K95" s="32" t="str">
        <x:v>2026-07-12</x:v>
      </x:c>
    </x:row>
    <x:row r="96">
      <x:c r="A96" s="32" t="str">
        <x:v>Microsoft Azure</x:v>
      </x:c>
      <x:c r="B96" s="32" t="str">
        <x:v>Azure Firewall Manager</x:v>
      </x:c>
      <x:c r="C96" s="32" t="str">
        <x:v>Named service / product family</x:v>
      </x:c>
      <x:c r="D96" s="32" t="str">
        <x:v>Security, Identity &amp; Compliance</x:v>
      </x:c>
      <x:c r="E96" s="32" t="str">
        <x:v>Firewall governance</x:v>
      </x:c>
      <x:c r="F96" s="32" t="str">
        <x:v>Central firewall policy management</x:v>
      </x:c>
      <x:c r="G96" s="32" t="str">
        <x:v>Centrally deploy and govern firewall and web-protection policies.</x:v>
      </x:c>
      <x:c r="H96" s="32" t="str">
        <x:v>Close</x:v>
      </x:c>
      <x:c r="I96" s="32"/>
      <x:c r="J96" s="32" t="str">
        <x:v>https://azure.microsoft.com/en-gb/products/</x:v>
      </x:c>
      <x:c r="K96" s="32" t="str">
        <x:v>2026-07-12</x:v>
      </x:c>
    </x:row>
    <x:row r="97">
      <x:c r="A97" s="32" t="str">
        <x:v>Microsoft Azure</x:v>
      </x:c>
      <x:c r="B97" s="32" t="str">
        <x:v>Azure Front Door</x:v>
      </x:c>
      <x:c r="C97" s="32" t="str">
        <x:v>Named service / product family</x:v>
      </x:c>
      <x:c r="D97" s="32" t="str">
        <x:v>Media &amp; Communications
Networking</x:v>
      </x:c>
      <x:c r="E97" s="32" t="str">
        <x:v>CDN
Global traffic
Media CDN
Video packaging</x:v>
      </x:c>
      <x:c r="F97" s="32" t="str">
        <x:v>Content delivery network
Global application acceleration
High-capacity media CDN
Video packaging and origin</x:v>
      </x:c>
      <x:c r="G97" s="32" t="str">
        <x:v>Route users to healthy regional endpoints over the provider's global network.</x:v>
      </x:c>
      <x:c r="H97" s="32" t="str">
        <x:v>Close, Partial</x:v>
      </x:c>
      <x:c r="I97" s="32"/>
      <x:c r="J97" s="32" t="str">
        <x:v>https://azure.microsoft.com/en-gb/products/</x:v>
      </x:c>
      <x:c r="K97" s="32" t="str">
        <x:v>2026-07-12</x:v>
      </x:c>
    </x:row>
    <x:row r="98">
      <x:c r="A98" s="32" t="str">
        <x:v>Microsoft Azure</x:v>
      </x:c>
      <x:c r="B98" s="32" t="str">
        <x:v>Azure Functions</x:v>
      </x:c>
      <x:c r="C98" s="32" t="str">
        <x:v>Named service / product family</x:v>
      </x:c>
      <x:c r="D98" s="32" t="str">
        <x:v>Compute &amp; Application Hosting</x:v>
      </x:c>
      <x:c r="E98" s="32" t="str">
        <x:v>Serverless functions</x:v>
      </x:c>
      <x:c r="F98" s="32" t="str">
        <x:v>Functions as a service</x:v>
      </x:c>
      <x:c r="G98" s="32" t="str">
        <x:v>Run event-driven code without managing servers.</x:v>
      </x:c>
      <x:c r="H98" s="32" t="str">
        <x:v>Exact</x:v>
      </x:c>
      <x:c r="I98" s="32"/>
      <x:c r="J98" s="32" t="str">
        <x:v>https://azure.microsoft.com/en-gb/products/</x:v>
      </x:c>
      <x:c r="K98" s="32" t="str">
        <x:v>2026-07-12</x:v>
      </x:c>
    </x:row>
    <x:row r="99">
      <x:c r="A99" s="32" t="str">
        <x:v>Microsoft Azure</x:v>
      </x:c>
      <x:c r="B99" s="32" t="str">
        <x:v>Azure Functions / partner encoders</x:v>
      </x:c>
      <x:c r="C99" s="32" t="str">
        <x:v>Architecture / partner alternative</x:v>
      </x:c>
      <x:c r="D99" s="32" t="str">
        <x:v>Media &amp; Communications</x:v>
      </x:c>
      <x:c r="E99" s="32" t="str">
        <x:v>Media transcoding</x:v>
      </x:c>
      <x:c r="F99" s="32" t="str">
        <x:v>File-based media transcoding</x:v>
      </x:c>
      <x:c r="G99" s="32" t="str">
        <x:v>Convert stored audio and video into delivery-ready formats and renditions.</x:v>
      </x:c>
      <x:c r="H99" s="32" t="str">
        <x:v>Partial</x:v>
      </x:c>
      <x:c r="I99" s="32" t="str">
        <x:v>Azure Media Services was retired; current Azure architectures use partner solutions and general compute/services.</x:v>
      </x:c>
      <x:c r="J99" s="32" t="str">
        <x:v>https://azure.microsoft.com/en-gb/products/</x:v>
      </x:c>
      <x:c r="K99" s="32" t="str">
        <x:v>2026-07-12</x:v>
      </x:c>
    </x:row>
    <x:row r="100">
      <x:c r="A100" s="32" t="str">
        <x:v>Microsoft Azure</x:v>
      </x:c>
      <x:c r="B100" s="32" t="str">
        <x:v>Azure Functions timer triggers</x:v>
      </x:c>
      <x:c r="C100" s="32" t="str">
        <x:v>Named service / product family</x:v>
      </x:c>
      <x:c r="D100" s="32" t="str">
        <x:v>Application Integration</x:v>
      </x:c>
      <x:c r="E100" s="32" t="str">
        <x:v>Workflow scheduling</x:v>
      </x:c>
      <x:c r="F100" s="32" t="str">
        <x:v>Cloud task scheduler</x:v>
      </x:c>
      <x:c r="G100" s="32" t="str">
        <x:v>Trigger jobs and HTTP targets according to cron-like schedules.</x:v>
      </x:c>
      <x:c r="H100" s="32" t="str">
        <x:v>Close</x:v>
      </x:c>
      <x:c r="I100" s="32"/>
      <x:c r="J100" s="32" t="str">
        <x:v>https://azure.microsoft.com/en-gb/products/</x:v>
      </x:c>
      <x:c r="K100" s="32" t="str">
        <x:v>2026-07-12</x:v>
      </x:c>
    </x:row>
    <x:row r="101">
      <x:c r="A101" s="32" t="str">
        <x:v>Microsoft Azure</x:v>
      </x:c>
      <x:c r="B101" s="32" t="str">
        <x:v>Azure GPU virtual machines</x:v>
      </x:c>
      <x:c r="C101" s="32" t="str">
        <x:v>Named service / product family</x:v>
      </x:c>
      <x:c r="D101" s="32" t="str">
        <x:v>AI &amp; Machine Learning</x:v>
      </x:c>
      <x:c r="E101" s="32" t="str">
        <x:v>AI infrastructure</x:v>
      </x:c>
      <x:c r="F101" s="32" t="str">
        <x:v>AI accelerators</x:v>
      </x:c>
      <x:c r="G101" s="32" t="str">
        <x:v>Provide specialised GPU or accelerator infrastructure for training and inference.</x:v>
      </x:c>
      <x:c r="H101" s="32" t="str">
        <x:v>Close</x:v>
      </x:c>
      <x:c r="I101" s="32"/>
      <x:c r="J101" s="32" t="str">
        <x:v>https://azure.microsoft.com/en-gb/products/</x:v>
      </x:c>
      <x:c r="K101" s="32" t="str">
        <x:v>2026-07-12</x:v>
      </x:c>
    </x:row>
    <x:row r="102">
      <x:c r="A102" s="32" t="str">
        <x:v>Microsoft Azure</x:v>
      </x:c>
      <x:c r="B102" s="32" t="str">
        <x:v>Azure HDInsight</x:v>
      </x:c>
      <x:c r="C102" s="32" t="str">
        <x:v>Named service / product family</x:v>
      </x:c>
      <x:c r="D102" s="32" t="str">
        <x:v>Data, Analytics &amp; BI</x:v>
      </x:c>
      <x:c r="E102" s="32" t="str">
        <x:v>Big data</x:v>
      </x:c>
      <x:c r="F102" s="32" t="str">
        <x:v>Managed Spark and Hadoop</x:v>
      </x:c>
      <x:c r="G102" s="32" t="str">
        <x:v>Run managed open-source big-data processing frameworks.</x:v>
      </x:c>
      <x:c r="H102" s="32" t="str">
        <x:v>Close</x:v>
      </x:c>
      <x:c r="I102" s="32"/>
      <x:c r="J102" s="32" t="str">
        <x:v>https://azure.microsoft.com/en-gb/products/</x:v>
      </x:c>
      <x:c r="K102" s="32" t="str">
        <x:v>2026-07-12</x:v>
      </x:c>
    </x:row>
    <x:row r="103">
      <x:c r="A103" s="32" t="str">
        <x:v>Microsoft Azure</x:v>
      </x:c>
      <x:c r="B103" s="32" t="str">
        <x:v>Azure Health Data Services</x:v>
      </x:c>
      <x:c r="C103" s="32" t="str">
        <x:v>Named service / product family</x:v>
      </x:c>
      <x:c r="D103" s="32" t="str">
        <x:v>AI &amp; Machine Learning</x:v>
      </x:c>
      <x:c r="E103" s="32" t="str">
        <x:v>Healthcare AI</x:v>
      </x:c>
      <x:c r="F103" s="32" t="str">
        <x:v>Healthcare data and AI</x:v>
      </x:c>
      <x:c r="G103" s="32" t="str">
        <x:v>Ingest, normalise, search and apply AI to healthcare information.</x:v>
      </x:c>
      <x:c r="H103" s="32" t="str">
        <x:v>Close</x:v>
      </x:c>
      <x:c r="I103" s="32"/>
      <x:c r="J103" s="32" t="str">
        <x:v>https://azure.microsoft.com/en-gb/products/</x:v>
      </x:c>
      <x:c r="K103" s="32" t="str">
        <x:v>2026-07-12</x:v>
      </x:c>
    </x:row>
    <x:row r="104">
      <x:c r="A104" s="32" t="str">
        <x:v>Microsoft Azure</x:v>
      </x:c>
      <x:c r="B104" s="32" t="str">
        <x:v>Azure HPC</x:v>
      </x:c>
      <x:c r="C104" s="32" t="str">
        <x:v>Named service / product family</x:v>
      </x:c>
      <x:c r="D104" s="32" t="str">
        <x:v>Compute &amp; Application Hosting</x:v>
      </x:c>
      <x:c r="E104" s="32" t="str">
        <x:v>HPC</x:v>
      </x:c>
      <x:c r="F104" s="32" t="str">
        <x:v>High-performance computing platform</x:v>
      </x:c>
      <x:c r="G104" s="32" t="str">
        <x:v>Provision tightly coupled compute, high-speed networking and schedulers for HPC workloads.</x:v>
      </x:c>
      <x:c r="H104" s="32" t="str">
        <x:v>Close</x:v>
      </x:c>
      <x:c r="I104" s="32"/>
      <x:c r="J104" s="32" t="str">
        <x:v>https://azure.microsoft.com/en-gb/products/</x:v>
      </x:c>
      <x:c r="K104" s="32" t="str">
        <x:v>2026-07-12</x:v>
      </x:c>
    </x:row>
    <x:row r="105">
      <x:c r="A105" s="32" t="str">
        <x:v>Microsoft Azure</x:v>
      </x:c>
      <x:c r="B105" s="32" t="str">
        <x:v>Azure Hybrid Benefit</x:v>
      </x:c>
      <x:c r="C105" s="32" t="str">
        <x:v>Named service / product family</x:v>
      </x:c>
      <x:c r="D105" s="32" t="str">
        <x:v>Governance &amp; Management</x:v>
      </x:c>
      <x:c r="E105" s="32" t="str">
        <x:v>Licensing</x:v>
      </x:c>
      <x:c r="F105" s="32" t="str">
        <x:v>Software licence management</x:v>
      </x:c>
      <x:c r="G105" s="32" t="str">
        <x:v>Track and enforce licence usage across cloud and hybrid servers.</x:v>
      </x:c>
      <x:c r="H105" s="32" t="str">
        <x:v>Partial</x:v>
      </x:c>
      <x:c r="I105" s="32"/>
      <x:c r="J105" s="32" t="str">
        <x:v>https://azure.microsoft.com/en-gb/products/</x:v>
      </x:c>
      <x:c r="K105" s="32" t="str">
        <x:v>2026-07-12</x:v>
      </x:c>
    </x:row>
    <x:row r="106">
      <x:c r="A106" s="32" t="str">
        <x:v>Microsoft Azure</x:v>
      </x:c>
      <x:c r="B106" s="32" t="str">
        <x:v>Azure Integration Services</x:v>
      </x:c>
      <x:c r="C106" s="32" t="str">
        <x:v>Named service / product family</x:v>
      </x:c>
      <x:c r="D106" s="32" t="str">
        <x:v>Application Integration</x:v>
      </x:c>
      <x:c r="E106" s="32" t="str">
        <x:v>Integration platform</x:v>
      </x:c>
      <x:c r="F106" s="32" t="str">
        <x:v>Integration platform as a service</x:v>
      </x:c>
      <x:c r="G106" s="32" t="str">
        <x:v>Connect SaaS, cloud and on-premises systems through managed connectors and workflows.</x:v>
      </x:c>
      <x:c r="H106" s="32" t="str">
        <x:v>Close</x:v>
      </x:c>
      <x:c r="I106" s="32"/>
      <x:c r="J106" s="32" t="str">
        <x:v>https://azure.microsoft.com/en-gb/products/</x:v>
      </x:c>
      <x:c r="K106" s="32" t="str">
        <x:v>2026-07-12</x:v>
      </x:c>
    </x:row>
    <x:row r="107">
      <x:c r="A107" s="32" t="str">
        <x:v>Microsoft Azure</x:v>
      </x:c>
      <x:c r="B107" s="32" t="str">
        <x:v>Azure IoT Edge</x:v>
      </x:c>
      <x:c r="C107" s="32" t="str">
        <x:v>Named service / product family</x:v>
      </x:c>
      <x:c r="D107" s="32" t="str">
        <x:v>IoT &amp; Edge</x:v>
      </x:c>
      <x:c r="E107" s="32" t="str">
        <x:v>Edge runtime</x:v>
      </x:c>
      <x:c r="F107" s="32" t="str">
        <x:v>IoT edge runtime</x:v>
      </x:c>
      <x:c r="G107" s="32" t="str">
        <x:v>Run local messaging, compute and ML inference on edge devices.</x:v>
      </x:c>
      <x:c r="H107" s="32" t="str">
        <x:v>Partial</x:v>
      </x:c>
      <x:c r="I107" s="32"/>
      <x:c r="J107" s="32" t="str">
        <x:v>https://azure.microsoft.com/en-gb/products/</x:v>
      </x:c>
      <x:c r="K107" s="32" t="str">
        <x:v>2026-07-12</x:v>
      </x:c>
    </x:row>
    <x:row r="108">
      <x:c r="A108" s="32" t="str">
        <x:v>Microsoft Azure</x:v>
      </x:c>
      <x:c r="B108" s="32" t="str">
        <x:v>Azure IoT Hub</x:v>
      </x:c>
      <x:c r="C108" s="32" t="str">
        <x:v>Named service / product family</x:v>
      </x:c>
      <x:c r="D108" s="32" t="str">
        <x:v>IoT &amp; Edge</x:v>
      </x:c>
      <x:c r="E108" s="32" t="str">
        <x:v>IoT connectivity</x:v>
      </x:c>
      <x:c r="F108" s="32" t="str">
        <x:v>Managed IoT messaging</x:v>
      </x:c>
      <x:c r="G108" s="32" t="str">
        <x:v>Securely connect devices and exchange telemetry and commands at scale.</x:v>
      </x:c>
      <x:c r="H108" s="32" t="str">
        <x:v>Partial</x:v>
      </x:c>
      <x:c r="I108" s="32" t="str">
        <x:v>Google Cloud retired its first-party IoT Core; current implementations use partners and core platform services.</x:v>
      </x:c>
      <x:c r="J108" s="32" t="str">
        <x:v>https://azure.microsoft.com/en-gb/products/</x:v>
      </x:c>
      <x:c r="K108" s="32" t="str">
        <x:v>2026-07-12</x:v>
      </x:c>
    </x:row>
    <x:row r="109">
      <x:c r="A109" s="32" t="str">
        <x:v>Microsoft Azure</x:v>
      </x:c>
      <x:c r="B109" s="32" t="str">
        <x:v>Azure IoT Hub Device Provisioning Service</x:v>
      </x:c>
      <x:c r="C109" s="32" t="str">
        <x:v>Named service / product family</x:v>
      </x:c>
      <x:c r="D109" s="32" t="str">
        <x:v>IoT &amp; Edge</x:v>
      </x:c>
      <x:c r="E109" s="32" t="str">
        <x:v>Device management</x:v>
      </x:c>
      <x:c r="F109" s="32" t="str">
        <x:v>IoT device management</x:v>
      </x:c>
      <x:c r="G109" s="32" t="str">
        <x:v>Register, organise, monitor and remotely manage device fleets.</x:v>
      </x:c>
      <x:c r="H109" s="32" t="str">
        <x:v>Partial</x:v>
      </x:c>
      <x:c r="I109" s="32"/>
      <x:c r="J109" s="32" t="str">
        <x:v>https://azure.microsoft.com/en-gb/products/</x:v>
      </x:c>
      <x:c r="K109" s="32" t="str">
        <x:v>2026-07-12</x:v>
      </x:c>
    </x:row>
    <x:row r="110">
      <x:c r="A110" s="32" t="str">
        <x:v>Microsoft Azure</x:v>
      </x:c>
      <x:c r="B110" s="32" t="str">
        <x:v>Azure IoT Operations</x:v>
      </x:c>
      <x:c r="C110" s="32" t="str">
        <x:v>Named service / product family</x:v>
      </x:c>
      <x:c r="D110" s="32" t="str">
        <x:v>IoT &amp; Edge</x:v>
      </x:c>
      <x:c r="E110" s="32" t="str">
        <x:v>Event detection
Industrial IoT</x:v>
      </x:c>
      <x:c r="F110" s="32" t="str">
        <x:v>Industrial equipment data platform
IoT event detection</x:v>
      </x:c>
      <x:c r="G110" s="32" t="str">
        <x:v>Collect, contextualise and monitor industrial equipment and process data.</x:v>
      </x:c>
      <x:c r="H110" s="32" t="str">
        <x:v>Close, Partial</x:v>
      </x:c>
      <x:c r="I110" s="32"/>
      <x:c r="J110" s="32" t="str">
        <x:v>https://azure.microsoft.com/en-gb/products/</x:v>
      </x:c>
      <x:c r="K110" s="32" t="str">
        <x:v>2026-07-12</x:v>
      </x:c>
    </x:row>
    <x:row r="111">
      <x:c r="A111" s="32" t="str">
        <x:v>Microsoft Azure</x:v>
      </x:c>
      <x:c r="B111" s="32" t="str">
        <x:v>Azure Key Vault</x:v>
      </x:c>
      <x:c r="C111" s="32" t="str">
        <x:v>Named service / product family</x:v>
      </x:c>
      <x:c r="D111" s="32" t="str">
        <x:v>Security, Identity &amp; Compliance</x:v>
      </x:c>
      <x:c r="E111" s="32" t="str">
        <x:v>Keys
Secrets</x:v>
      </x:c>
      <x:c r="F111" s="32" t="str">
        <x:v>Key management service
Secrets management</x:v>
      </x:c>
      <x:c r="G111" s="32" t="str">
        <x:v>Securely store, rotate and retrieve application credentials and secrets.</x:v>
      </x:c>
      <x:c r="H111" s="32" t="str">
        <x:v>Exact</x:v>
      </x:c>
      <x:c r="I111" s="32"/>
      <x:c r="J111" s="32" t="str">
        <x:v>https://azure.microsoft.com/en-gb/products/</x:v>
      </x:c>
      <x:c r="K111" s="32" t="str">
        <x:v>2026-07-12</x:v>
      </x:c>
    </x:row>
    <x:row r="112">
      <x:c r="A112" s="32" t="str">
        <x:v>Microsoft Azure</x:v>
      </x:c>
      <x:c r="B112" s="32" t="str">
        <x:v>Azure Key Vault Certificates</x:v>
      </x:c>
      <x:c r="C112" s="32" t="str">
        <x:v>Named service / product family</x:v>
      </x:c>
      <x:c r="D112" s="32" t="str">
        <x:v>Security, Identity &amp; Compliance</x:v>
      </x:c>
      <x:c r="E112" s="32" t="str">
        <x:v>Certificates</x:v>
      </x:c>
      <x:c r="F112" s="32" t="str">
        <x:v>Certificate management</x:v>
      </x:c>
      <x:c r="G112" s="32" t="str">
        <x:v>Provision, manage and rotate public or private TLS certificates.</x:v>
      </x:c>
      <x:c r="H112" s="32" t="str">
        <x:v>Close</x:v>
      </x:c>
      <x:c r="I112" s="32"/>
      <x:c r="J112" s="32" t="str">
        <x:v>https://azure.microsoft.com/en-gb/products/</x:v>
      </x:c>
      <x:c r="K112" s="32" t="str">
        <x:v>2026-07-12</x:v>
      </x:c>
    </x:row>
    <x:row r="113">
      <x:c r="A113" s="32" t="str">
        <x:v>Microsoft Azure</x:v>
      </x:c>
      <x:c r="B113" s="32" t="str">
        <x:v>Azure Key Vault Managed HSM</x:v>
      </x:c>
      <x:c r="C113" s="32" t="str">
        <x:v>Named service / product family</x:v>
      </x:c>
      <x:c r="D113" s="32" t="str">
        <x:v>Security, Identity &amp; Compliance</x:v>
      </x:c>
      <x:c r="E113" s="32" t="str">
        <x:v>Keys</x:v>
      </x:c>
      <x:c r="F113" s="32" t="str">
        <x:v>Key management service</x:v>
      </x:c>
      <x:c r="G113" s="32" t="str">
        <x:v>Create and control encryption keys for cloud data and applications.</x:v>
      </x:c>
      <x:c r="H113" s="32" t="str">
        <x:v>Exact</x:v>
      </x:c>
      <x:c r="I113" s="32"/>
      <x:c r="J113" s="32" t="str">
        <x:v>https://azure.microsoft.com/en-gb/products/</x:v>
      </x:c>
      <x:c r="K113" s="32" t="str">
        <x:v>2026-07-12</x:v>
      </x:c>
    </x:row>
    <x:row r="114">
      <x:c r="A114" s="32" t="str">
        <x:v>Microsoft Azure</x:v>
      </x:c>
      <x:c r="B114" s="32" t="str">
        <x:v>Azure Kubernetes Fleet Manager</x:v>
      </x:c>
      <x:c r="C114" s="32" t="str">
        <x:v>Named service / product family</x:v>
      </x:c>
      <x:c r="D114" s="32" t="str">
        <x:v>Hybrid &amp; Multicloud</x:v>
      </x:c>
      <x:c r="E114" s="32" t="str">
        <x:v>Multicloud Kubernetes</x:v>
      </x:c>
      <x:c r="F114" s="32" t="str">
        <x:v>Multicloud Kubernetes management</x:v>
      </x:c>
      <x:c r="G114" s="32" t="str">
        <x:v>Manage Kubernetes fleets spanning cloud and on-premises environments.</x:v>
      </x:c>
      <x:c r="H114" s="32" t="str">
        <x:v>Close</x:v>
      </x:c>
      <x:c r="I114" s="32"/>
      <x:c r="J114" s="32" t="str">
        <x:v>https://azure.microsoft.com/en-gb/products/</x:v>
      </x:c>
      <x:c r="K114" s="32" t="str">
        <x:v>2026-07-12</x:v>
      </x:c>
    </x:row>
    <x:row r="115">
      <x:c r="A115" s="32" t="str">
        <x:v>Microsoft Azure</x:v>
      </x:c>
      <x:c r="B115" s="32" t="str">
        <x:v>Azure Kubernetes Service</x:v>
      </x:c>
      <x:c r="C115" s="32" t="str">
        <x:v>Named service / product family</x:v>
      </x:c>
      <x:c r="D115" s="32" t="str">
        <x:v>Compute &amp; Application Hosting</x:v>
      </x:c>
      <x:c r="E115" s="32" t="str">
        <x:v>Kubernetes</x:v>
      </x:c>
      <x:c r="F115" s="32" t="str">
        <x:v>Managed Kubernetes</x:v>
      </x:c>
      <x:c r="G115" s="32" t="str">
        <x:v>Operate Kubernetes clusters with a managed control plane.</x:v>
      </x:c>
      <x:c r="H115" s="32" t="str">
        <x:v>Exact</x:v>
      </x:c>
      <x:c r="I115" s="32"/>
      <x:c r="J115" s="32" t="str">
        <x:v>https://azure.microsoft.com/en-gb/products/</x:v>
      </x:c>
      <x:c r="K115" s="32" t="str">
        <x:v>2026-07-12</x:v>
      </x:c>
    </x:row>
    <x:row r="116">
      <x:c r="A116" s="32" t="str">
        <x:v>Microsoft Azure</x:v>
      </x:c>
      <x:c r="B116" s="32" t="str">
        <x:v>Azure Landing Zones</x:v>
      </x:c>
      <x:c r="C116" s="32" t="str">
        <x:v>Named service / product family</x:v>
      </x:c>
      <x:c r="D116" s="32" t="str">
        <x:v>Governance &amp; Management</x:v>
      </x:c>
      <x:c r="E116" s="32" t="str">
        <x:v>Landing zones</x:v>
      </x:c>
      <x:c r="F116" s="32" t="str">
        <x:v>Enterprise landing zone</x:v>
      </x:c>
      <x:c r="G116" s="32" t="str">
        <x:v>Establish a governed multi-account or multi-subscription cloud foundation.</x:v>
      </x:c>
      <x:c r="H116" s="32" t="str">
        <x:v>Close</x:v>
      </x:c>
      <x:c r="I116" s="32" t="str">
        <x:v>Landing-zone implementations combine products, policies and reference architecture.</x:v>
      </x:c>
      <x:c r="J116" s="32" t="str">
        <x:v>https://azure.microsoft.com/en-gb/products/</x:v>
      </x:c>
      <x:c r="K116" s="32" t="str">
        <x:v>2026-07-12</x:v>
      </x:c>
    </x:row>
    <x:row r="117">
      <x:c r="A117" s="32" t="str">
        <x:v>Microsoft Azure</x:v>
      </x:c>
      <x:c r="B117" s="32" t="str">
        <x:v>Azure Language</x:v>
      </x:c>
      <x:c r="C117" s="32" t="str">
        <x:v>Named service / product family</x:v>
      </x:c>
      <x:c r="D117" s="32" t="str">
        <x:v>AI &amp; Machine Learning</x:v>
      </x:c>
      <x:c r="E117" s="32" t="str">
        <x:v>Conversational AI</x:v>
      </x:c>
      <x:c r="F117" s="32" t="str">
        <x:v>Conversational bot platform</x:v>
      </x:c>
      <x:c r="G117" s="32" t="str">
        <x:v>Build intent-based conversational assistants for voice and text channels.</x:v>
      </x:c>
      <x:c r="H117" s="32" t="str">
        <x:v>Close</x:v>
      </x:c>
      <x:c r="I117" s="32"/>
      <x:c r="J117" s="32" t="str">
        <x:v>https://azure.microsoft.com/en-gb/products/</x:v>
      </x:c>
      <x:c r="K117" s="32" t="str">
        <x:v>2026-07-12</x:v>
      </x:c>
    </x:row>
    <x:row r="118">
      <x:c r="A118" s="32" t="str">
        <x:v>Microsoft Azure</x:v>
      </x:c>
      <x:c r="B118" s="32" t="str">
        <x:v>Azure Language in Foundry Tools</x:v>
      </x:c>
      <x:c r="C118" s="32" t="str">
        <x:v>Named service / product family</x:v>
      </x:c>
      <x:c r="D118" s="32" t="str">
        <x:v>AI &amp; Machine Learning</x:v>
      </x:c>
      <x:c r="E118" s="32" t="str">
        <x:v>NLP</x:v>
      </x:c>
      <x:c r="F118" s="32" t="str">
        <x:v>Natural-language analysis</x:v>
      </x:c>
      <x:c r="G118" s="32" t="str">
        <x:v>Extract entities, sentiment, classifications and insights from text.</x:v>
      </x:c>
      <x:c r="H118" s="32" t="str">
        <x:v>Exact</x:v>
      </x:c>
      <x:c r="I118" s="32"/>
      <x:c r="J118" s="32" t="str">
        <x:v>https://azure.microsoft.com/en-gb/products/</x:v>
      </x:c>
      <x:c r="K118" s="32" t="str">
        <x:v>2026-07-12</x:v>
      </x:c>
    </x:row>
    <x:row r="119">
      <x:c r="A119" s="32" t="str">
        <x:v>Microsoft Azure</x:v>
      </x:c>
      <x:c r="B119" s="32" t="str">
        <x:v>Azure Linux</x:v>
      </x:c>
      <x:c r="C119" s="32" t="str">
        <x:v>Named service / product family</x:v>
      </x:c>
      <x:c r="D119" s="32" t="str">
        <x:v>Compute &amp; Application Hosting</x:v>
      </x:c>
      <x:c r="E119" s="32" t="str">
        <x:v>Enterprise Linux</x:v>
      </x:c>
      <x:c r="F119" s="32" t="str">
        <x:v>Cloud-optimised Linux distribution</x:v>
      </x:c>
      <x:c r="G119" s="32" t="str">
        <x:v>Provide a provider-maintained Linux operating system optimised for cloud workloads.</x:v>
      </x:c>
      <x:c r="H119" s="32" t="str">
        <x:v>Close</x:v>
      </x:c>
      <x:c r="I119" s="32"/>
      <x:c r="J119" s="32" t="str">
        <x:v>https://azure.microsoft.com/en-gb/products/</x:v>
      </x:c>
      <x:c r="K119" s="32" t="str">
        <x:v>2026-07-12</x:v>
      </x:c>
    </x:row>
    <x:row r="120">
      <x:c r="A120" s="32" t="str">
        <x:v>Microsoft Azure</x:v>
      </x:c>
      <x:c r="B120" s="32" t="str">
        <x:v>Azure Load Balancer</x:v>
      </x:c>
      <x:c r="C120" s="32" t="str">
        <x:v>Named service / product family</x:v>
      </x:c>
      <x:c r="D120" s="32" t="str">
        <x:v>Networking</x:v>
      </x:c>
      <x:c r="E120" s="32" t="str">
        <x:v>Load balancing</x:v>
      </x:c>
      <x:c r="F120" s="32" t="str">
        <x:v>Layer 4 load balancing</x:v>
      </x:c>
      <x:c r="G120" s="32" t="str">
        <x:v>Distribute TCP or UDP traffic across healthy backend services.</x:v>
      </x:c>
      <x:c r="H120" s="32" t="str">
        <x:v>Close</x:v>
      </x:c>
      <x:c r="I120" s="32"/>
      <x:c r="J120" s="32" t="str">
        <x:v>https://azure.microsoft.com/en-gb/products/</x:v>
      </x:c>
      <x:c r="K120" s="32" t="str">
        <x:v>2026-07-12</x:v>
      </x:c>
    </x:row>
    <x:row r="121">
      <x:c r="A121" s="32" t="str">
        <x:v>Microsoft Azure</x:v>
      </x:c>
      <x:c r="B121" s="32" t="str">
        <x:v>Azure Local</x:v>
      </x:c>
      <x:c r="C121" s="32" t="str">
        <x:v>Named service / product family</x:v>
      </x:c>
      <x:c r="D121" s="32" t="str">
        <x:v>Hybrid &amp; Multicloud</x:v>
      </x:c>
      <x:c r="E121" s="32" t="str">
        <x:v>Hybrid cloud platform</x:v>
      </x:c>
      <x:c r="F121" s="32" t="str">
        <x:v>On-premises cloud infrastructure</x:v>
      </x:c>
      <x:c r="G121" s="32" t="str">
        <x:v>Run provider-consistent cloud services in customer data centres or edge locations.</x:v>
      </x:c>
      <x:c r="H121" s="32" t="str">
        <x:v>Close</x:v>
      </x:c>
      <x:c r="I121" s="32"/>
      <x:c r="J121" s="32" t="str">
        <x:v>https://azure.microsoft.com/en-gb/products/</x:v>
      </x:c>
      <x:c r="K121" s="32" t="str">
        <x:v>2026-07-12</x:v>
      </x:c>
    </x:row>
    <x:row r="122">
      <x:c r="A122" s="32" t="str">
        <x:v>Microsoft Azure</x:v>
      </x:c>
      <x:c r="B122" s="32" t="str">
        <x:v>Azure Local SSD / temporary disk</x:v>
      </x:c>
      <x:c r="C122" s="32" t="str">
        <x:v>Product family / combined pattern</x:v>
      </x:c>
      <x:c r="D122" s="32" t="str">
        <x:v>Storage</x:v>
      </x:c>
      <x:c r="E122" s="32" t="str">
        <x:v>Local storage</x:v>
      </x:c>
      <x:c r="F122" s="32" t="str">
        <x:v>Local ephemeral SSD</x:v>
      </x:c>
      <x:c r="G122" s="32" t="str">
        <x:v>Provide high-performance storage physically attached to the compute host.</x:v>
      </x:c>
      <x:c r="H122" s="32" t="str">
        <x:v>Close</x:v>
      </x:c>
      <x:c r="I122" s="32"/>
      <x:c r="J122" s="32" t="str">
        <x:v>https://azure.microsoft.com/en-gb/products/</x:v>
      </x:c>
      <x:c r="K122" s="32" t="str">
        <x:v>2026-07-12</x:v>
      </x:c>
    </x:row>
    <x:row r="123">
      <x:c r="A123" s="32" t="str">
        <x:v>Microsoft Azure</x:v>
      </x:c>
      <x:c r="B123" s="32" t="str">
        <x:v>Azure Logic Apps</x:v>
      </x:c>
      <x:c r="C123" s="32" t="str">
        <x:v>Named service / product family</x:v>
      </x:c>
      <x:c r="D123" s="32" t="str">
        <x:v>Application Integration</x:v>
      </x:c>
      <x:c r="E123" s="32" t="str">
        <x:v>Integration platform
Workflow
Workflow scheduling</x:v>
      </x:c>
      <x:c r="F123" s="32" t="str">
        <x:v>Cloud task scheduler
Integration platform as a service
Serverless workflow orchestration</x:v>
      </x:c>
      <x:c r="G123" s="32" t="str">
        <x:v>Coordinate services and application steps using durable stateful workflows.</x:v>
      </x:c>
      <x:c r="H123" s="32" t="str">
        <x:v>Close</x:v>
      </x:c>
      <x:c r="I123" s="32"/>
      <x:c r="J123" s="32" t="str">
        <x:v>https://azure.microsoft.com/en-gb/products/</x:v>
      </x:c>
      <x:c r="K123" s="32" t="str">
        <x:v>2026-07-12</x:v>
      </x:c>
    </x:row>
    <x:row r="124">
      <x:c r="A124" s="32" t="str">
        <x:v>Microsoft Azure</x:v>
      </x:c>
      <x:c r="B124" s="32" t="str">
        <x:v>Azure Logic Apps Integration Account</x:v>
      </x:c>
      <x:c r="C124" s="32" t="str">
        <x:v>Named service / product family</x:v>
      </x:c>
      <x:c r="D124" s="32" t="str">
        <x:v>Application Integration</x:v>
      </x:c>
      <x:c r="E124" s="32" t="str">
        <x:v>B2B integration</x:v>
      </x:c>
      <x:c r="F124" s="32" t="str">
        <x:v>B2B and EDI integration</x:v>
      </x:c>
      <x:c r="G124" s="32" t="str">
        <x:v>Exchange and transform business documents with trading partners.</x:v>
      </x:c>
      <x:c r="H124" s="32" t="str">
        <x:v>Partial</x:v>
      </x:c>
      <x:c r="I124" s="32"/>
      <x:c r="J124" s="32" t="str">
        <x:v>https://azure.microsoft.com/en-gb/products/</x:v>
      </x:c>
      <x:c r="K124" s="32" t="str">
        <x:v>2026-07-12</x:v>
      </x:c>
    </x:row>
    <x:row r="125">
      <x:c r="A125" s="32" t="str">
        <x:v>Microsoft Azure</x:v>
      </x:c>
      <x:c r="B125" s="32" t="str">
        <x:v>Azure Logic Apps mainframe connectors</x:v>
      </x:c>
      <x:c r="C125" s="32" t="str">
        <x:v>Named service / product family</x:v>
      </x:c>
      <x:c r="D125" s="32" t="str">
        <x:v>Migration &amp; Modernisation</x:v>
      </x:c>
      <x:c r="E125" s="32" t="str">
        <x:v>Mainframe</x:v>
      </x:c>
      <x:c r="F125" s="32" t="str">
        <x:v>Mainframe modernisation</x:v>
      </x:c>
      <x:c r="G125" s="32" t="str">
        <x:v>Assess, replatform, refactor or incrementally modernise mainframe workloads.</x:v>
      </x:c>
      <x:c r="H125" s="32" t="str">
        <x:v>Partial</x:v>
      </x:c>
      <x:c r="I125" s="32"/>
      <x:c r="J125" s="32" t="str">
        <x:v>https://azure.microsoft.com/en-gb/products/</x:v>
      </x:c>
      <x:c r="K125" s="32" t="str">
        <x:v>2026-07-12</x:v>
      </x:c>
    </x:row>
    <x:row r="126">
      <x:c r="A126" s="32" t="str">
        <x:v>Microsoft Azure</x:v>
      </x:c>
      <x:c r="B126" s="32" t="str">
        <x:v>Azure Machine Learning</x:v>
      </x:c>
      <x:c r="C126" s="32" t="str">
        <x:v>Named service / product family</x:v>
      </x:c>
      <x:c r="D126" s="32" t="str">
        <x:v>AI &amp; Machine Learning
Industry &amp; Specialist</x:v>
      </x:c>
      <x:c r="E126" s="32" t="str">
        <x:v>AI evaluation
AI platform
Anomaly detection
Financial crime
Forecasting
Fraud &amp; risk
Model customisation
Personalisation
Talent matching</x:v>
      </x:c>
      <x:c r="F126" s="32" t="str">
        <x:v>Anomaly and metric detection
Anti-money-laundering AI
Demand and time-series forecasting
Foundation-model customisation
Foundation-model evaluation
Fraud detection
Managed recommendations
Talent and job matching
Unified AI/ML platform</x:v>
      </x:c>
      <x:c r="G126" s="32" t="str">
        <x:v>Develop, train, govern, deploy and operate machine-learning and generative-AI solutions.</x:v>
      </x:c>
      <x:c r="H126" s="32" t="str">
        <x:v>Close, Partial</x:v>
      </x:c>
      <x:c r="I126" s="32"/>
      <x:c r="J126" s="32" t="str">
        <x:v>https://azure.microsoft.com/en-gb/products/</x:v>
      </x:c>
      <x:c r="K126" s="32" t="str">
        <x:v>2026-07-12</x:v>
      </x:c>
    </x:row>
    <x:row r="127">
      <x:c r="A127" s="32" t="str">
        <x:v>Microsoft Azure</x:v>
      </x:c>
      <x:c r="B127" s="32" t="str">
        <x:v>Azure Machine Learning batch endpoints</x:v>
      </x:c>
      <x:c r="C127" s="32" t="str">
        <x:v>Named service / product family</x:v>
      </x:c>
      <x:c r="D127" s="32" t="str">
        <x:v>AI &amp; Machine Learning</x:v>
      </x:c>
      <x:c r="E127" s="32" t="str">
        <x:v>Inference</x:v>
      </x:c>
      <x:c r="F127" s="32" t="str">
        <x:v>Batch model inference</x:v>
      </x:c>
      <x:c r="G127" s="32" t="str">
        <x:v>Run asynchronous predictions over large datasets.</x:v>
      </x:c>
      <x:c r="H127" s="32" t="str">
        <x:v>Exact</x:v>
      </x:c>
      <x:c r="I127" s="32"/>
      <x:c r="J127" s="32" t="str">
        <x:v>https://azure.microsoft.com/en-gb/products/</x:v>
      </x:c>
      <x:c r="K127" s="32" t="str">
        <x:v>2026-07-12</x:v>
      </x:c>
    </x:row>
    <x:row r="128">
      <x:c r="A128" s="32" t="str">
        <x:v>Microsoft Azure</x:v>
      </x:c>
      <x:c r="B128" s="32" t="str">
        <x:v>Azure Machine Learning compute clusters</x:v>
      </x:c>
      <x:c r="C128" s="32" t="str">
        <x:v>Named service / product family</x:v>
      </x:c>
      <x:c r="D128" s="32" t="str">
        <x:v>AI &amp; Machine Learning</x:v>
      </x:c>
      <x:c r="E128" s="32" t="str">
        <x:v>Distributed ML</x:v>
      </x:c>
      <x:c r="F128" s="32" t="str">
        <x:v>Distributed ML execution</x:v>
      </x:c>
      <x:c r="G128" s="32" t="str">
        <x:v>Scale Python, ML and AI workloads across distributed compute clusters.</x:v>
      </x:c>
      <x:c r="H128" s="32" t="str">
        <x:v>Close</x:v>
      </x:c>
      <x:c r="I128" s="32"/>
      <x:c r="J128" s="32" t="str">
        <x:v>https://azure.microsoft.com/en-gb/products/</x:v>
      </x:c>
      <x:c r="K128" s="32" t="str">
        <x:v>2026-07-12</x:v>
      </x:c>
    </x:row>
    <x:row r="129">
      <x:c r="A129" s="32" t="str">
        <x:v>Microsoft Azure</x:v>
      </x:c>
      <x:c r="B129" s="32" t="str">
        <x:v>Azure Machine Learning managed feature store</x:v>
      </x:c>
      <x:c r="C129" s="32" t="str">
        <x:v>Named service / product family</x:v>
      </x:c>
      <x:c r="D129" s="32" t="str">
        <x:v>AI &amp; Machine Learning</x:v>
      </x:c>
      <x:c r="E129" s="32" t="str">
        <x:v>MLOps</x:v>
      </x:c>
      <x:c r="F129" s="32" t="str">
        <x:v>Feature store</x:v>
      </x:c>
      <x:c r="G129" s="32" t="str">
        <x:v>Create, govern and serve reusable machine-learning features online and offline.</x:v>
      </x:c>
      <x:c r="H129" s="32" t="str">
        <x:v>Exact</x:v>
      </x:c>
      <x:c r="I129" s="32"/>
      <x:c r="J129" s="32" t="str">
        <x:v>https://azure.microsoft.com/en-gb/products/</x:v>
      </x:c>
      <x:c r="K129" s="32" t="str">
        <x:v>2026-07-12</x:v>
      </x:c>
    </x:row>
    <x:row r="130">
      <x:c r="A130" s="32" t="str">
        <x:v>Microsoft Azure</x:v>
      </x:c>
      <x:c r="B130" s="32" t="str">
        <x:v>Azure Machine Learning managed online endpoints</x:v>
      </x:c>
      <x:c r="C130" s="32" t="str">
        <x:v>Named service / product family</x:v>
      </x:c>
      <x:c r="D130" s="32" t="str">
        <x:v>AI &amp; Machine Learning</x:v>
      </x:c>
      <x:c r="E130" s="32" t="str">
        <x:v>Inference</x:v>
      </x:c>
      <x:c r="F130" s="32" t="str">
        <x:v>Managed real-time model endpoints</x:v>
      </x:c>
      <x:c r="G130" s="32" t="str">
        <x:v>Serve machine-learning models through autoscaling online inference endpoints.</x:v>
      </x:c>
      <x:c r="H130" s="32" t="str">
        <x:v>Exact</x:v>
      </x:c>
      <x:c r="I130" s="32"/>
      <x:c r="J130" s="32" t="str">
        <x:v>https://azure.microsoft.com/en-gb/products/</x:v>
      </x:c>
      <x:c r="K130" s="32" t="str">
        <x:v>2026-07-12</x:v>
      </x:c>
    </x:row>
    <x:row r="131">
      <x:c r="A131" s="32" t="str">
        <x:v>Microsoft Azure</x:v>
      </x:c>
      <x:c r="B131" s="32" t="str">
        <x:v>Azure Machine Learning model monitoring</x:v>
      </x:c>
      <x:c r="C131" s="32" t="str">
        <x:v>Named service / product family</x:v>
      </x:c>
      <x:c r="D131" s="32" t="str">
        <x:v>AI &amp; Machine Learning</x:v>
      </x:c>
      <x:c r="E131" s="32" t="str">
        <x:v>MLOps</x:v>
      </x:c>
      <x:c r="F131" s="32" t="str">
        <x:v>Model monitoring</x:v>
      </x:c>
      <x:c r="G131" s="32" t="str">
        <x:v>Monitor deployed models for drift, skew, quality and operational issues.</x:v>
      </x:c>
      <x:c r="H131" s="32" t="str">
        <x:v>Exact</x:v>
      </x:c>
      <x:c r="I131" s="32"/>
      <x:c r="J131" s="32" t="str">
        <x:v>https://azure.microsoft.com/en-gb/products/</x:v>
      </x:c>
      <x:c r="K131" s="32" t="str">
        <x:v>2026-07-12</x:v>
      </x:c>
    </x:row>
    <x:row r="132">
      <x:c r="A132" s="32" t="str">
        <x:v>Microsoft Azure</x:v>
      </x:c>
      <x:c r="B132" s="32" t="str">
        <x:v>Azure Machine Learning model registry</x:v>
      </x:c>
      <x:c r="C132" s="32" t="str">
        <x:v>Named service / product family</x:v>
      </x:c>
      <x:c r="D132" s="32" t="str">
        <x:v>AI &amp; Machine Learning</x:v>
      </x:c>
      <x:c r="E132" s="32" t="str">
        <x:v>MLOps</x:v>
      </x:c>
      <x:c r="F132" s="32" t="str">
        <x:v>Model registry</x:v>
      </x:c>
      <x:c r="G132" s="32" t="str">
        <x:v>Register, version, approve and promote trained models through lifecycle stages.</x:v>
      </x:c>
      <x:c r="H132" s="32" t="str">
        <x:v>Exact</x:v>
      </x:c>
      <x:c r="I132" s="32"/>
      <x:c r="J132" s="32" t="str">
        <x:v>https://azure.microsoft.com/en-gb/products/</x:v>
      </x:c>
      <x:c r="K132" s="32" t="str">
        <x:v>2026-07-12</x:v>
      </x:c>
    </x:row>
    <x:row r="133">
      <x:c r="A133" s="32" t="str">
        <x:v>Microsoft Azure</x:v>
      </x:c>
      <x:c r="B133" s="32" t="str">
        <x:v>Azure Machine Learning notebooks</x:v>
      </x:c>
      <x:c r="C133" s="32" t="str">
        <x:v>Named service / product family</x:v>
      </x:c>
      <x:c r="D133" s="32" t="str">
        <x:v>AI &amp; Machine Learning</x:v>
      </x:c>
      <x:c r="E133" s="32" t="str">
        <x:v>ML workbench</x:v>
      </x:c>
      <x:c r="F133" s="32" t="str">
        <x:v>Managed data-science notebooks</x:v>
      </x:c>
      <x:c r="G133" s="32" t="str">
        <x:v>Provide managed notebook environments for data exploration and model development.</x:v>
      </x:c>
      <x:c r="H133" s="32" t="str">
        <x:v>Close</x:v>
      </x:c>
      <x:c r="I133" s="32"/>
      <x:c r="J133" s="32" t="str">
        <x:v>https://azure.microsoft.com/en-gb/products/</x:v>
      </x:c>
      <x:c r="K133" s="32" t="str">
        <x:v>2026-07-12</x:v>
      </x:c>
    </x:row>
    <x:row r="134">
      <x:c r="A134" s="32" t="str">
        <x:v>Microsoft Azure</x:v>
      </x:c>
      <x:c r="B134" s="32" t="str">
        <x:v>Azure Machine Learning pipelines</x:v>
      </x:c>
      <x:c r="C134" s="32" t="str">
        <x:v>Named service / product family</x:v>
      </x:c>
      <x:c r="D134" s="32" t="str">
        <x:v>AI &amp; Machine Learning</x:v>
      </x:c>
      <x:c r="E134" s="32" t="str">
        <x:v>MLOps</x:v>
      </x:c>
      <x:c r="F134" s="32" t="str">
        <x:v>ML pipelines</x:v>
      </x:c>
      <x:c r="G134" s="32" t="str">
        <x:v>Orchestrate repeatable data preparation, training, validation and deployment pipelines.</x:v>
      </x:c>
      <x:c r="H134" s="32" t="str">
        <x:v>Exact</x:v>
      </x:c>
      <x:c r="I134" s="32"/>
      <x:c r="J134" s="32" t="str">
        <x:v>https://azure.microsoft.com/en-gb/products/</x:v>
      </x:c>
      <x:c r="K134" s="32" t="str">
        <x:v>2026-07-12</x:v>
      </x:c>
    </x:row>
    <x:row r="135">
      <x:c r="A135" s="32" t="str">
        <x:v>Microsoft Azure</x:v>
      </x:c>
      <x:c r="B135" s="32" t="str">
        <x:v>Azure Machine Learning responsible AI</x:v>
      </x:c>
      <x:c r="C135" s="32" t="str">
        <x:v>Named service / product family</x:v>
      </x:c>
      <x:c r="D135" s="32" t="str">
        <x:v>AI &amp; Machine Learning</x:v>
      </x:c>
      <x:c r="E135" s="32" t="str">
        <x:v>AI governance</x:v>
      </x:c>
      <x:c r="F135" s="32" t="str">
        <x:v>AI governance and control plane</x:v>
      </x:c>
      <x:c r="G135" s="32" t="str">
        <x:v>Inventory AI assets, apply policies, assess risk and oversee AI across its lifecycle.</x:v>
      </x:c>
      <x:c r="H135" s="32" t="str">
        <x:v>Partial</x:v>
      </x:c>
      <x:c r="I135" s="32" t="str">
        <x:v>AI governance is a control set rather than one perfectly equivalent product.</x:v>
      </x:c>
      <x:c r="J135" s="32" t="str">
        <x:v>https://azure.microsoft.com/en-gb/products/</x:v>
      </x:c>
      <x:c r="K135" s="32" t="str">
        <x:v>2026-07-12</x:v>
      </x:c>
    </x:row>
    <x:row r="136">
      <x:c r="A136" s="32" t="str">
        <x:v>Microsoft Azure</x:v>
      </x:c>
      <x:c r="B136" s="32" t="str">
        <x:v>Azure Machine Learning Responsible AI dashboard</x:v>
      </x:c>
      <x:c r="C136" s="32" t="str">
        <x:v>Named service / product family</x:v>
      </x:c>
      <x:c r="D136" s="32" t="str">
        <x:v>AI &amp; Machine Learning</x:v>
      </x:c>
      <x:c r="E136" s="32" t="str">
        <x:v>Responsible AI</x:v>
      </x:c>
      <x:c r="F136" s="32" t="str">
        <x:v>Responsible-AI assessment</x:v>
      </x:c>
      <x:c r="G136" s="32" t="str">
        <x:v>Evaluate fairness, explainability, errors and model behaviour before and after deployment.</x:v>
      </x:c>
      <x:c r="H136" s="32" t="str">
        <x:v>Close</x:v>
      </x:c>
      <x:c r="I136" s="32"/>
      <x:c r="J136" s="32" t="str">
        <x:v>https://azure.microsoft.com/en-gb/products/</x:v>
      </x:c>
      <x:c r="K136" s="32" t="str">
        <x:v>2026-07-12</x:v>
      </x:c>
    </x:row>
    <x:row r="137">
      <x:c r="A137" s="32" t="str">
        <x:v>Microsoft Azure</x:v>
      </x:c>
      <x:c r="B137" s="32" t="str">
        <x:v>Azure Machine Learning training</x:v>
      </x:c>
      <x:c r="C137" s="32" t="str">
        <x:v>Named service / product family</x:v>
      </x:c>
      <x:c r="D137" s="32" t="str">
        <x:v>AI &amp; Machine Learning</x:v>
      </x:c>
      <x:c r="E137" s="32" t="str">
        <x:v>Training</x:v>
      </x:c>
      <x:c r="F137" s="32" t="str">
        <x:v>Managed model training</x:v>
      </x:c>
      <x:c r="G137" s="32" t="str">
        <x:v>Run managed, scalable training jobs using CPUs, GPUs or specialised accelerators.</x:v>
      </x:c>
      <x:c r="H137" s="32" t="str">
        <x:v>Close</x:v>
      </x:c>
      <x:c r="I137" s="32"/>
      <x:c r="J137" s="32" t="str">
        <x:v>https://azure.microsoft.com/en-gb/products/</x:v>
      </x:c>
      <x:c r="K137" s="32" t="str">
        <x:v>2026-07-12</x:v>
      </x:c>
    </x:row>
    <x:row r="138">
      <x:c r="A138" s="32" t="str">
        <x:v>Microsoft Azure</x:v>
      </x:c>
      <x:c r="B138" s="32" t="str">
        <x:v>Azure Maia</x:v>
      </x:c>
      <x:c r="C138" s="32" t="str">
        <x:v>Named service / product family</x:v>
      </x:c>
      <x:c r="D138" s="32" t="str">
        <x:v>AI &amp; Machine Learning</x:v>
      </x:c>
      <x:c r="E138" s="32" t="str">
        <x:v>AI infrastructure</x:v>
      </x:c>
      <x:c r="F138" s="32" t="str">
        <x:v>AI accelerators</x:v>
      </x:c>
      <x:c r="G138" s="32" t="str">
        <x:v>Provide specialised GPU or accelerator infrastructure for training and inference.</x:v>
      </x:c>
      <x:c r="H138" s="32" t="str">
        <x:v>Close</x:v>
      </x:c>
      <x:c r="I138" s="32"/>
      <x:c r="J138" s="32" t="str">
        <x:v>https://azure.microsoft.com/en-gb/products/</x:v>
      </x:c>
      <x:c r="K138" s="32" t="str">
        <x:v>2026-07-12</x:v>
      </x:c>
    </x:row>
    <x:row r="139">
      <x:c r="A139" s="32" t="str">
        <x:v>Microsoft Azure</x:v>
      </x:c>
      <x:c r="B139" s="32" t="str">
        <x:v>Azure Managed Applications</x:v>
      </x:c>
      <x:c r="C139" s="32" t="str">
        <x:v>Named service / product family</x:v>
      </x:c>
      <x:c r="D139" s="32" t="str">
        <x:v>Governance &amp; Management</x:v>
      </x:c>
      <x:c r="E139" s="32" t="str">
        <x:v>Service catalogue</x:v>
      </x:c>
      <x:c r="F139" s="32" t="str">
        <x:v>Approved service catalogue</x:v>
      </x:c>
      <x:c r="G139" s="32" t="str">
        <x:v>Publish governed, reusable infrastructure and application products for internal teams.</x:v>
      </x:c>
      <x:c r="H139" s="32" t="str">
        <x:v>Partial</x:v>
      </x:c>
      <x:c r="I139" s="32"/>
      <x:c r="J139" s="32" t="str">
        <x:v>https://azure.microsoft.com/en-gb/products/</x:v>
      </x:c>
      <x:c r="K139" s="32" t="str">
        <x:v>2026-07-12</x:v>
      </x:c>
    </x:row>
    <x:row r="140">
      <x:c r="A140" s="32" t="str">
        <x:v>Microsoft Azure</x:v>
      </x:c>
      <x:c r="B140" s="32" t="str">
        <x:v>Azure Managed Grafana</x:v>
      </x:c>
      <x:c r="C140" s="32" t="str">
        <x:v>Named service / product family</x:v>
      </x:c>
      <x:c r="D140" s="32" t="str">
        <x:v>Observability &amp; Reliability</x:v>
      </x:c>
      <x:c r="E140" s="32" t="str">
        <x:v>Grafana</x:v>
      </x:c>
      <x:c r="F140" s="32" t="str">
        <x:v>Managed Grafana</x:v>
      </x:c>
      <x:c r="G140" s="32" t="str">
        <x:v>Operate hosted Grafana workspaces for visualising metrics, logs and traces.</x:v>
      </x:c>
      <x:c r="H140" s="32" t="str">
        <x:v>Partial</x:v>
      </x:c>
      <x:c r="I140" s="32"/>
      <x:c r="J140" s="32" t="str">
        <x:v>https://azure.microsoft.com/en-gb/products/</x:v>
      </x:c>
      <x:c r="K140" s="32" t="str">
        <x:v>2026-07-12</x:v>
      </x:c>
    </x:row>
    <x:row r="141">
      <x:c r="A141" s="32" t="str">
        <x:v>Microsoft Azure</x:v>
      </x:c>
      <x:c r="B141" s="32" t="str">
        <x:v>Azure Managed HSM</x:v>
      </x:c>
      <x:c r="C141" s="32" t="str">
        <x:v>Named service / product family</x:v>
      </x:c>
      <x:c r="D141" s="32" t="str">
        <x:v>Security, Identity &amp; Compliance</x:v>
      </x:c>
      <x:c r="E141" s="32" t="str">
        <x:v>HSM</x:v>
      </x:c>
      <x:c r="F141" s="32" t="str">
        <x:v>Dedicated cloud HSM</x:v>
      </x:c>
      <x:c r="G141" s="32" t="str">
        <x:v>Use dedicated hardware security modules under customer control.</x:v>
      </x:c>
      <x:c r="H141" s="32" t="str">
        <x:v>Exact</x:v>
      </x:c>
      <x:c r="I141" s="32"/>
      <x:c r="J141" s="32" t="str">
        <x:v>https://azure.microsoft.com/en-gb/products/</x:v>
      </x:c>
      <x:c r="K141" s="32" t="str">
        <x:v>2026-07-12</x:v>
      </x:c>
    </x:row>
    <x:row r="142">
      <x:c r="A142" s="32" t="str">
        <x:v>Microsoft Azure</x:v>
      </x:c>
      <x:c r="B142" s="32" t="str">
        <x:v>Azure Managed Instance for Apache Cassandra</x:v>
      </x:c>
      <x:c r="C142" s="32" t="str">
        <x:v>Named service / product family</x:v>
      </x:c>
      <x:c r="D142" s="32" t="str">
        <x:v>Databases</x:v>
      </x:c>
      <x:c r="E142" s="32" t="str">
        <x:v>Wide-column database</x:v>
      </x:c>
      <x:c r="F142" s="32" t="str">
        <x:v>Managed wide-column database</x:v>
      </x:c>
      <x:c r="G142" s="32" t="str">
        <x:v>Store massive sparse datasets using a wide-column data model.</x:v>
      </x:c>
      <x:c r="H142" s="32" t="str">
        <x:v>Close</x:v>
      </x:c>
      <x:c r="I142" s="32"/>
      <x:c r="J142" s="32" t="str">
        <x:v>https://azure.microsoft.com/en-gb/products/</x:v>
      </x:c>
      <x:c r="K142" s="32" t="str">
        <x:v>2026-07-12</x:v>
      </x:c>
    </x:row>
    <x:row r="143">
      <x:c r="A143" s="32" t="str">
        <x:v>Microsoft Azure</x:v>
      </x:c>
      <x:c r="B143" s="32" t="str">
        <x:v>Azure Managed Lustre</x:v>
      </x:c>
      <x:c r="C143" s="32" t="str">
        <x:v>Named service / product family</x:v>
      </x:c>
      <x:c r="D143" s="32" t="str">
        <x:v>Storage</x:v>
      </x:c>
      <x:c r="E143" s="32" t="str">
        <x:v>High-performance file</x:v>
      </x:c>
      <x:c r="F143" s="32" t="str">
        <x:v>High-performance parallel file system</x:v>
      </x:c>
      <x:c r="G143" s="32" t="str">
        <x:v>Provide low-latency, high-throughput parallel file storage for HPC and AI.</x:v>
      </x:c>
      <x:c r="H143" s="32" t="str">
        <x:v>Exact</x:v>
      </x:c>
      <x:c r="I143" s="32"/>
      <x:c r="J143" s="32" t="str">
        <x:v>https://azure.microsoft.com/en-gb/products/</x:v>
      </x:c>
      <x:c r="K143" s="32" t="str">
        <x:v>2026-07-12</x:v>
      </x:c>
    </x:row>
    <x:row r="144">
      <x:c r="A144" s="32" t="str">
        <x:v>Microsoft Azure</x:v>
      </x:c>
      <x:c r="B144" s="32" t="str">
        <x:v>Azure Managed Redis</x:v>
      </x:c>
      <x:c r="C144" s="32" t="str">
        <x:v>Named service / product family</x:v>
      </x:c>
      <x:c r="D144" s="32" t="str">
        <x:v>Databases</x:v>
      </x:c>
      <x:c r="E144" s="32" t="str">
        <x:v>In-memory cache</x:v>
      </x:c>
      <x:c r="F144" s="32" t="str">
        <x:v>Managed Redis or Valkey cache</x:v>
      </x:c>
      <x:c r="G144" s="32" t="str">
        <x:v>Provide low-latency in-memory caching and data structures.</x:v>
      </x:c>
      <x:c r="H144" s="32" t="str">
        <x:v>Close</x:v>
      </x:c>
      <x:c r="I144" s="32"/>
      <x:c r="J144" s="32" t="str">
        <x:v>https://azure.microsoft.com/en-gb/products/</x:v>
      </x:c>
      <x:c r="K144" s="32" t="str">
        <x:v>2026-07-12</x:v>
      </x:c>
    </x:row>
    <x:row r="145">
      <x:c r="A145" s="32" t="str">
        <x:v>Microsoft Azure</x:v>
      </x:c>
      <x:c r="B145" s="32" t="str">
        <x:v>Azure Managed Redis as alternative</x:v>
      </x:c>
      <x:c r="C145" s="32" t="str">
        <x:v>Architecture / partner alternative</x:v>
      </x:c>
      <x:c r="D145" s="32" t="str">
        <x:v>Databases</x:v>
      </x:c>
      <x:c r="E145" s="32" t="str">
        <x:v>Memcached</x:v>
      </x:c>
      <x:c r="F145" s="32" t="str">
        <x:v>Managed Memcached</x:v>
      </x:c>
      <x:c r="G145" s="32" t="str">
        <x:v>Provide a managed distributed memory-caching service compatible with Memcached.</x:v>
      </x:c>
      <x:c r="H145" s="32" t="str">
        <x:v>Partial</x:v>
      </x:c>
      <x:c r="I145" s="32"/>
      <x:c r="J145" s="32" t="str">
        <x:v>https://azure.microsoft.com/en-gb/products/</x:v>
      </x:c>
      <x:c r="K145" s="32" t="str">
        <x:v>2026-07-12</x:v>
      </x:c>
    </x:row>
    <x:row r="146">
      <x:c r="A146" s="32" t="str">
        <x:v>Microsoft Azure</x:v>
      </x:c>
      <x:c r="B146" s="32" t="str">
        <x:v>Azure Management Groups</x:v>
      </x:c>
      <x:c r="C146" s="32" t="str">
        <x:v>Named service / product family</x:v>
      </x:c>
      <x:c r="D146" s="32" t="str">
        <x:v>Governance &amp; Management</x:v>
      </x:c>
      <x:c r="E146" s="32" t="str">
        <x:v>Organisation governance</x:v>
      </x:c>
      <x:c r="F146" s="32" t="str">
        <x:v>Cloud organisation and account hierarchy</x:v>
      </x:c>
      <x:c r="G146" s="32" t="str">
        <x:v>Centrally organise subscriptions/accounts/projects, apply hierarchy and consolidate governance.</x:v>
      </x:c>
      <x:c r="H146" s="32" t="str">
        <x:v>Exact</x:v>
      </x:c>
      <x:c r="I146" s="32"/>
      <x:c r="J146" s="32" t="str">
        <x:v>https://azure.microsoft.com/en-gb/products/</x:v>
      </x:c>
      <x:c r="K146" s="32" t="str">
        <x:v>2026-07-12</x:v>
      </x:c>
    </x:row>
    <x:row r="147">
      <x:c r="A147" s="32" t="str">
        <x:v>Microsoft Azure</x:v>
      </x:c>
      <x:c r="B147" s="32" t="str">
        <x:v>Azure Maps</x:v>
      </x:c>
      <x:c r="C147" s="32" t="str">
        <x:v>Named service / product family</x:v>
      </x:c>
      <x:c r="D147" s="32" t="str">
        <x:v>Media &amp; Communications</x:v>
      </x:c>
      <x:c r="E147" s="32" t="str">
        <x:v>Maps</x:v>
      </x:c>
      <x:c r="F147" s="32" t="str">
        <x:v>Maps and geospatial APIs</x:v>
      </x:c>
      <x:c r="G147" s="32" t="str">
        <x:v>Add maps, geocoding, routing and location features to applications.</x:v>
      </x:c>
      <x:c r="H147" s="32" t="str">
        <x:v>Close</x:v>
      </x:c>
      <x:c r="I147" s="32"/>
      <x:c r="J147" s="32" t="str">
        <x:v>https://azure.microsoft.com/en-gb/products/</x:v>
      </x:c>
      <x:c r="K147" s="32" t="str">
        <x:v>2026-07-12</x:v>
      </x:c>
    </x:row>
    <x:row r="148">
      <x:c r="A148" s="32" t="str">
        <x:v>Microsoft Azure</x:v>
      </x:c>
      <x:c r="B148" s="32" t="str">
        <x:v>Azure Media Services migration partners</x:v>
      </x:c>
      <x:c r="C148" s="32" t="str">
        <x:v>Architecture / partner alternative</x:v>
      </x:c>
      <x:c r="D148" s="32" t="str">
        <x:v>Media &amp; Communications</x:v>
      </x:c>
      <x:c r="E148" s="32" t="str">
        <x:v>Media transcoding</x:v>
      </x:c>
      <x:c r="F148" s="32" t="str">
        <x:v>File-based media transcoding</x:v>
      </x:c>
      <x:c r="G148" s="32" t="str">
        <x:v>Convert stored audio and video into delivery-ready formats and renditions.</x:v>
      </x:c>
      <x:c r="H148" s="32" t="str">
        <x:v>Partial</x:v>
      </x:c>
      <x:c r="I148" s="32" t="str">
        <x:v>Azure Media Services was retired; current Azure architectures use partner solutions and general compute/services.</x:v>
      </x:c>
      <x:c r="J148" s="32" t="str">
        <x:v>https://azure.microsoft.com/en-gb/products/</x:v>
      </x:c>
      <x:c r="K148" s="32" t="str">
        <x:v>2026-07-12</x:v>
      </x:c>
    </x:row>
    <x:row r="149">
      <x:c r="A149" s="32" t="str">
        <x:v>Microsoft Azure</x:v>
      </x:c>
      <x:c r="B149" s="32" t="str">
        <x:v>Azure Migrate</x:v>
      </x:c>
      <x:c r="C149" s="32" t="str">
        <x:v>Named service / product family</x:v>
      </x:c>
      <x:c r="D149" s="32" t="str">
        <x:v>Migration &amp; Modernisation</x:v>
      </x:c>
      <x:c r="E149" s="32" t="str">
        <x:v>Application modernisation
Discovery
Migration portfolio</x:v>
      </x:c>
      <x:c r="F149" s="32" t="str">
        <x:v>Application modernisation
Migration discovery and assessment
Migration programme hub</x:v>
      </x:c>
      <x:c r="G149" s="32" t="str">
        <x:v>Discover servers, dependencies and utilisation to build migration plans and business cases.</x:v>
      </x:c>
      <x:c r="H149" s="32" t="str">
        <x:v>Close</x:v>
      </x:c>
      <x:c r="I149" s="32"/>
      <x:c r="J149" s="32" t="str">
        <x:v>https://azure.microsoft.com/en-gb/products/</x:v>
      </x:c>
      <x:c r="K149" s="32" t="str">
        <x:v>2026-07-12</x:v>
      </x:c>
    </x:row>
    <x:row r="150">
      <x:c r="A150" s="32" t="str">
        <x:v>Microsoft Azure</x:v>
      </x:c>
      <x:c r="B150" s="32" t="str">
        <x:v>Azure Migrate: App Containerization</x:v>
      </x:c>
      <x:c r="C150" s="32" t="str">
        <x:v>Named service / product family</x:v>
      </x:c>
      <x:c r="D150" s="32" t="str">
        <x:v>Compute &amp; Application Hosting</x:v>
      </x:c>
      <x:c r="E150" s="32" t="str">
        <x:v>Container migration</x:v>
      </x:c>
      <x:c r="F150" s="32" t="str">
        <x:v>Application containerisation</x:v>
      </x:c>
      <x:c r="G150" s="32" t="str">
        <x:v>Assess and convert existing applications or virtual machines into containers.</x:v>
      </x:c>
      <x:c r="H150" s="32" t="str">
        <x:v>Close</x:v>
      </x:c>
      <x:c r="I150" s="32"/>
      <x:c r="J150" s="32" t="str">
        <x:v>https://azure.microsoft.com/en-gb/products/</x:v>
      </x:c>
      <x:c r="K150" s="32" t="str">
        <x:v>2026-07-12</x:v>
      </x:c>
    </x:row>
    <x:row r="151">
      <x:c r="A151" s="32" t="str">
        <x:v>Microsoft Azure</x:v>
      </x:c>
      <x:c r="B151" s="32" t="str">
        <x:v>Azure Migrate: Server Migration</x:v>
      </x:c>
      <x:c r="C151" s="32" t="str">
        <x:v>Named service / product family</x:v>
      </x:c>
      <x:c r="D151" s="32" t="str">
        <x:v>Migration &amp; Modernisation</x:v>
      </x:c>
      <x:c r="E151" s="32" t="str">
        <x:v>VM migration</x:v>
      </x:c>
      <x:c r="F151" s="32" t="str">
        <x:v>Virtual-machine migration</x:v>
      </x:c>
      <x:c r="G151" s="32" t="str">
        <x:v>Replicate and migrate physical or virtual servers into cloud virtual machines.</x:v>
      </x:c>
      <x:c r="H151" s="32" t="str">
        <x:v>Exact</x:v>
      </x:c>
      <x:c r="I151" s="32"/>
      <x:c r="J151" s="32" t="str">
        <x:v>https://azure.microsoft.com/en-gb/products/</x:v>
      </x:c>
      <x:c r="K151" s="32" t="str">
        <x:v>2026-07-12</x:v>
      </x:c>
    </x:row>
    <x:row r="152">
      <x:c r="A152" s="32" t="str">
        <x:v>Microsoft Azure</x:v>
      </x:c>
      <x:c r="B152" s="32" t="str">
        <x:v>Azure Monitor</x:v>
      </x:c>
      <x:c r="C152" s="32" t="str">
        <x:v>Named service / product family</x:v>
      </x:c>
      <x:c r="D152" s="32" t="str">
        <x:v>AI &amp; Machine Learning
Observability &amp; Reliability</x:v>
      </x:c>
      <x:c r="E152" s="32" t="str">
        <x:v>AI observability
Anomaly detection
Unified monitoring</x:v>
      </x:c>
      <x:c r="F152" s="32" t="str">
        <x:v>AI application observability
Anomaly and metric detection
Cloud monitoring</x:v>
      </x:c>
      <x:c r="G152" s="32" t="str">
        <x:v>Trace prompts, agents, tools, latency, quality and token usage in AI applications.</x:v>
      </x:c>
      <x:c r="H152" s="32" t="str">
        <x:v>Close, Exact, Partial</x:v>
      </x:c>
      <x:c r="I152" s="32"/>
      <x:c r="J152" s="32" t="str">
        <x:v>https://azure.microsoft.com/en-gb/products/</x:v>
      </x:c>
      <x:c r="K152" s="32" t="str">
        <x:v>2026-07-12</x:v>
      </x:c>
    </x:row>
    <x:row r="153">
      <x:c r="A153" s="32" t="str">
        <x:v>Microsoft Azure</x:v>
      </x:c>
      <x:c r="B153" s="32" t="str">
        <x:v>Azure Monitor action groups</x:v>
      </x:c>
      <x:c r="C153" s="32" t="str">
        <x:v>Named service / product family</x:v>
      </x:c>
      <x:c r="D153" s="32" t="str">
        <x:v>Governance &amp; Management</x:v>
      </x:c>
      <x:c r="E153" s="32" t="str">
        <x:v>Notifications</x:v>
      </x:c>
      <x:c r="F153" s="32" t="str">
        <x:v>Central cloud notifications</x:v>
      </x:c>
      <x:c r="G153" s="32" t="str">
        <x:v>Route cloud operational and governance notifications to users and channels.</x:v>
      </x:c>
      <x:c r="H153" s="32" t="str">
        <x:v>Close</x:v>
      </x:c>
      <x:c r="I153" s="32"/>
      <x:c r="J153" s="32" t="str">
        <x:v>https://azure.microsoft.com/en-gb/products/</x:v>
      </x:c>
      <x:c r="K153" s="32" t="str">
        <x:v>2026-07-12</x:v>
      </x:c>
    </x:row>
    <x:row r="154">
      <x:c r="A154" s="32" t="str">
        <x:v>Microsoft Azure</x:v>
      </x:c>
      <x:c r="B154" s="32" t="str">
        <x:v>Azure Monitor Logs</x:v>
      </x:c>
      <x:c r="C154" s="32" t="str">
        <x:v>Named service / product family</x:v>
      </x:c>
      <x:c r="D154" s="32" t="str">
        <x:v>Observability &amp; Reliability</x:v>
      </x:c>
      <x:c r="E154" s="32" t="str">
        <x:v>Logging</x:v>
      </x:c>
      <x:c r="F154" s="32" t="str">
        <x:v>Central log management</x:v>
      </x:c>
      <x:c r="G154" s="32" t="str">
        <x:v>Collect, search, retain and route cloud and application logs.</x:v>
      </x:c>
      <x:c r="H154" s="32" t="str">
        <x:v>Exact</x:v>
      </x:c>
      <x:c r="I154" s="32"/>
      <x:c r="J154" s="32" t="str">
        <x:v>https://azure.microsoft.com/en-gb/products/</x:v>
      </x:c>
      <x:c r="K154" s="32" t="str">
        <x:v>2026-07-12</x:v>
      </x:c>
    </x:row>
    <x:row r="155">
      <x:c r="A155" s="32" t="str">
        <x:v>Microsoft Azure</x:v>
      </x:c>
      <x:c r="B155" s="32" t="str">
        <x:v>Azure Monitor managed service for Prometheus</x:v>
      </x:c>
      <x:c r="C155" s="32" t="str">
        <x:v>Named service / product family</x:v>
      </x:c>
      <x:c r="D155" s="32" t="str">
        <x:v>Observability &amp; Reliability</x:v>
      </x:c>
      <x:c r="E155" s="32" t="str">
        <x:v>Prometheus</x:v>
      </x:c>
      <x:c r="F155" s="32" t="str">
        <x:v>Managed Prometheus</x:v>
      </x:c>
      <x:c r="G155" s="32" t="str">
        <x:v>Collect and query Prometheus-compatible metrics without operating the backend.</x:v>
      </x:c>
      <x:c r="H155" s="32" t="str">
        <x:v>Exact</x:v>
      </x:c>
      <x:c r="I155" s="32"/>
      <x:c r="J155" s="32" t="str">
        <x:v>https://azure.microsoft.com/en-gb/products/</x:v>
      </x:c>
      <x:c r="K155" s="32" t="str">
        <x:v>2026-07-12</x:v>
      </x:c>
    </x:row>
    <x:row r="156">
      <x:c r="A156" s="32" t="str">
        <x:v>Microsoft Azure</x:v>
      </x:c>
      <x:c r="B156" s="32" t="str">
        <x:v>Azure NAT Gateway</x:v>
      </x:c>
      <x:c r="C156" s="32" t="str">
        <x:v>Named service / product family</x:v>
      </x:c>
      <x:c r="D156" s="32" t="str">
        <x:v>Networking</x:v>
      </x:c>
      <x:c r="E156" s="32" t="str">
        <x:v>NAT</x:v>
      </x:c>
      <x:c r="F156" s="32" t="str">
        <x:v>Managed network address translation</x:v>
      </x:c>
      <x:c r="G156" s="32" t="str">
        <x:v>Provide controlled outbound internet access for private workloads.</x:v>
      </x:c>
      <x:c r="H156" s="32" t="str">
        <x:v>Exact</x:v>
      </x:c>
      <x:c r="I156" s="32"/>
      <x:c r="J156" s="32" t="str">
        <x:v>https://azure.microsoft.com/en-gb/products/</x:v>
      </x:c>
      <x:c r="K156" s="32" t="str">
        <x:v>2026-07-12</x:v>
      </x:c>
    </x:row>
    <x:row r="157">
      <x:c r="A157" s="32" t="str">
        <x:v>Microsoft Azure</x:v>
      </x:c>
      <x:c r="B157" s="32" t="str">
        <x:v>Azure NetApp Files</x:v>
      </x:c>
      <x:c r="C157" s="32" t="str">
        <x:v>Named service / product family</x:v>
      </x:c>
      <x:c r="D157" s="32" t="str">
        <x:v>Storage</x:v>
      </x:c>
      <x:c r="E157" s="32" t="str">
        <x:v>Enterprise file storage</x:v>
      </x:c>
      <x:c r="F157" s="32" t="str">
        <x:v>Managed enterprise NAS</x:v>
      </x:c>
      <x:c r="G157" s="32" t="str">
        <x:v>Provide enterprise file protocols, snapshots and data-management features.</x:v>
      </x:c>
      <x:c r="H157" s="32" t="str">
        <x:v>Exact</x:v>
      </x:c>
      <x:c r="I157" s="32"/>
      <x:c r="J157" s="32" t="str">
        <x:v>https://azure.microsoft.com/en-gb/products/</x:v>
      </x:c>
      <x:c r="K157" s="32" t="str">
        <x:v>2026-07-12</x:v>
      </x:c>
    </x:row>
    <x:row r="158">
      <x:c r="A158" s="32" t="str">
        <x:v>Microsoft Azure</x:v>
      </x:c>
      <x:c r="B158" s="32" t="str">
        <x:v>Azure Network Watcher</x:v>
      </x:c>
      <x:c r="C158" s="32" t="str">
        <x:v>Named service / product family</x:v>
      </x:c>
      <x:c r="D158" s="32" t="str">
        <x:v>Networking</x:v>
      </x:c>
      <x:c r="E158" s="32" t="str">
        <x:v>Network visibility</x:v>
      </x:c>
      <x:c r="F158" s="32" t="str">
        <x:v>Network monitoring and diagnostics</x:v>
      </x:c>
      <x:c r="G158" s="32" t="str">
        <x:v>Analyse topology, flows, connectivity, latency and network health.</x:v>
      </x:c>
      <x:c r="H158" s="32" t="str">
        <x:v>Close</x:v>
      </x:c>
      <x:c r="I158" s="32"/>
      <x:c r="J158" s="32" t="str">
        <x:v>https://azure.microsoft.com/en-gb/products/</x:v>
      </x:c>
      <x:c r="K158" s="32" t="str">
        <x:v>2026-07-12</x:v>
      </x:c>
    </x:row>
    <x:row r="159">
      <x:c r="A159" s="32" t="str">
        <x:v>Microsoft Azure</x:v>
      </x:c>
      <x:c r="B159" s="32" t="str">
        <x:v>Azure Notification Hubs</x:v>
      </x:c>
      <x:c r="C159" s="32" t="str">
        <x:v>Named service / product family</x:v>
      </x:c>
      <x:c r="D159" s="32" t="str">
        <x:v>Application Integration</x:v>
      </x:c>
      <x:c r="E159" s="32" t="str">
        <x:v>Push notifications</x:v>
      </x:c>
      <x:c r="F159" s="32" t="str">
        <x:v>Mobile push notifications</x:v>
      </x:c>
      <x:c r="G159" s="32" t="str">
        <x:v>Send push messages and notifications to mobile devices and applications.</x:v>
      </x:c>
      <x:c r="H159" s="32" t="str">
        <x:v>Close</x:v>
      </x:c>
      <x:c r="I159" s="32"/>
      <x:c r="J159" s="32" t="str">
        <x:v>https://azure.microsoft.com/en-gb/products/</x:v>
      </x:c>
      <x:c r="K159" s="32" t="str">
        <x:v>2026-07-12</x:v>
      </x:c>
    </x:row>
    <x:row r="160">
      <x:c r="A160" s="32" t="str">
        <x:v>Microsoft Azure</x:v>
      </x:c>
      <x:c r="B160" s="32" t="str">
        <x:v>Azure OpenAI fine-tuning</x:v>
      </x:c>
      <x:c r="C160" s="32" t="str">
        <x:v>Named service / product family</x:v>
      </x:c>
      <x:c r="D160" s="32" t="str">
        <x:v>AI &amp; Machine Learning</x:v>
      </x:c>
      <x:c r="E160" s="32" t="str">
        <x:v>Model customisation</x:v>
      </x:c>
      <x:c r="F160" s="32" t="str">
        <x:v>Foundation-model customisation</x:v>
      </x:c>
      <x:c r="G160" s="32" t="str">
        <x:v>Adapt a foundation model using fine-tuning, continued pre-training or customisation techniques.</x:v>
      </x:c>
      <x:c r="H160" s="32" t="str">
        <x:v>Close</x:v>
      </x:c>
      <x:c r="I160" s="32"/>
      <x:c r="J160" s="32" t="str">
        <x:v>https://azure.microsoft.com/en-gb/products/</x:v>
      </x:c>
      <x:c r="K160" s="32" t="str">
        <x:v>2026-07-12</x:v>
      </x:c>
    </x:row>
    <x:row r="161">
      <x:c r="A161" s="32" t="str">
        <x:v>Microsoft Azure</x:v>
      </x:c>
      <x:c r="B161" s="32" t="str">
        <x:v>Azure OpenAI image models</x:v>
      </x:c>
      <x:c r="C161" s="32" t="str">
        <x:v>Named service / product family</x:v>
      </x:c>
      <x:c r="D161" s="32" t="str">
        <x:v>AI &amp; Machine Learning</x:v>
      </x:c>
      <x:c r="E161" s="32" t="str">
        <x:v>Synthetic media</x:v>
      </x:c>
      <x:c r="F161" s="32" t="str">
        <x:v>Image generation</x:v>
      </x:c>
      <x:c r="G161" s="32" t="str">
        <x:v>Generate or edit images from natural-language instructions.</x:v>
      </x:c>
      <x:c r="H161" s="32" t="str">
        <x:v>Close</x:v>
      </x:c>
      <x:c r="I161" s="32"/>
      <x:c r="J161" s="32" t="str">
        <x:v>https://azure.microsoft.com/en-gb/products/</x:v>
      </x:c>
      <x:c r="K161" s="32" t="str">
        <x:v>2026-07-12</x:v>
      </x:c>
    </x:row>
    <x:row r="162">
      <x:c r="A162" s="32" t="str">
        <x:v>Microsoft Azure</x:v>
      </x:c>
      <x:c r="B162" s="32" t="str">
        <x:v>Azure OpenAI in Foundry Models</x:v>
      </x:c>
      <x:c r="C162" s="32" t="str">
        <x:v>Named service / product family</x:v>
      </x:c>
      <x:c r="D162" s="32" t="str">
        <x:v>AI &amp; Machine Learning</x:v>
      </x:c>
      <x:c r="E162" s="32" t="str">
        <x:v>Foundation models</x:v>
      </x:c>
      <x:c r="F162" s="32" t="str">
        <x:v>Managed foundation-model platform</x:v>
      </x:c>
      <x:c r="G162" s="32" t="str">
        <x:v>Access, customise and govern foundation models through managed APIs and tooling.</x:v>
      </x:c>
      <x:c r="H162" s="32" t="str">
        <x:v>Close</x:v>
      </x:c>
      <x:c r="I162" s="32"/>
      <x:c r="J162" s="32" t="str">
        <x:v>https://azure.microsoft.com/en-gb/products/</x:v>
      </x:c>
      <x:c r="K162" s="32" t="str">
        <x:v>2026-07-12</x:v>
      </x:c>
    </x:row>
    <x:row r="163">
      <x:c r="A163" s="32" t="str">
        <x:v>Microsoft Azure</x:v>
      </x:c>
      <x:c r="B163" s="32" t="str">
        <x:v>Azure Operator Nexus</x:v>
      </x:c>
      <x:c r="C163" s="32" t="str">
        <x:v>Named service / product family</x:v>
      </x:c>
      <x:c r="D163" s="32" t="str">
        <x:v>Industry &amp; Specialist</x:v>
      </x:c>
      <x:c r="E163" s="32" t="str">
        <x:v>Telecommunications</x:v>
      </x:c>
      <x:c r="F163" s="32" t="str">
        <x:v>Telecom network automation</x:v>
      </x:c>
      <x:c r="G163" s="32" t="str">
        <x:v>Automate and optimise telecom network operations using cloud-native capabilities.</x:v>
      </x:c>
      <x:c r="H163" s="32" t="str">
        <x:v>Close</x:v>
      </x:c>
      <x:c r="I163" s="32"/>
      <x:c r="J163" s="32" t="str">
        <x:v>https://azure.microsoft.com/en-gb/products/</x:v>
      </x:c>
      <x:c r="K163" s="32" t="str">
        <x:v>2026-07-12</x:v>
      </x:c>
    </x:row>
    <x:row r="164">
      <x:c r="A164" s="32" t="str">
        <x:v>Microsoft Azure</x:v>
      </x:c>
      <x:c r="B164" s="32" t="str">
        <x:v>Azure Operator Service Manager</x:v>
      </x:c>
      <x:c r="C164" s="32" t="str">
        <x:v>Named service / product family</x:v>
      </x:c>
      <x:c r="D164" s="32" t="str">
        <x:v>Industry &amp; Specialist</x:v>
      </x:c>
      <x:c r="E164" s="32" t="str">
        <x:v>Telecommunications</x:v>
      </x:c>
      <x:c r="F164" s="32" t="str">
        <x:v>Telecom network automation</x:v>
      </x:c>
      <x:c r="G164" s="32" t="str">
        <x:v>Automate and optimise telecom network operations using cloud-native capabilities.</x:v>
      </x:c>
      <x:c r="H164" s="32" t="str">
        <x:v>Close</x:v>
      </x:c>
      <x:c r="I164" s="32"/>
      <x:c r="J164" s="32" t="str">
        <x:v>https://azure.microsoft.com/en-gb/products/</x:v>
      </x:c>
      <x:c r="K164" s="32" t="str">
        <x:v>2026-07-12</x:v>
      </x:c>
    </x:row>
    <x:row r="165">
      <x:c r="A165" s="32" t="str">
        <x:v>Microsoft Azure</x:v>
      </x:c>
      <x:c r="B165" s="32" t="str">
        <x:v>Azure Orbital Ground Station</x:v>
      </x:c>
      <x:c r="C165" s="32" t="str">
        <x:v>Named service / product family</x:v>
      </x:c>
      <x:c r="D165" s="32" t="str">
        <x:v>Industry &amp; Specialist</x:v>
      </x:c>
      <x:c r="E165" s="32" t="str">
        <x:v>Satellite</x:v>
      </x:c>
      <x:c r="F165" s="32" t="str">
        <x:v>Ground-station as a service</x:v>
      </x:c>
      <x:c r="G165" s="32" t="str">
        <x:v>Schedule satellite contacts and downlink data through managed ground-station infrastructure.</x:v>
      </x:c>
      <x:c r="H165" s="32" t="str">
        <x:v>Close</x:v>
      </x:c>
      <x:c r="I165" s="32"/>
      <x:c r="J165" s="32" t="str">
        <x:v>https://azure.microsoft.com/en-gb/products/</x:v>
      </x:c>
      <x:c r="K165" s="32" t="str">
        <x:v>2026-07-12</x:v>
      </x:c>
    </x:row>
    <x:row r="166">
      <x:c r="A166" s="32" t="str">
        <x:v>Microsoft Azure</x:v>
      </x:c>
      <x:c r="B166" s="32" t="str">
        <x:v>Azure Pipelines</x:v>
      </x:c>
      <x:c r="C166" s="32" t="str">
        <x:v>Named service / product family</x:v>
      </x:c>
      <x:c r="D166" s="32" t="str">
        <x:v>Developer Tools &amp; DevOps</x:v>
      </x:c>
      <x:c r="E166" s="32" t="str">
        <x:v>Continuous delivery
Continuous integration</x:v>
      </x:c>
      <x:c r="F166" s="32" t="str">
        <x:v>Managed continuous delivery
Managed continuous integration</x:v>
      </x:c>
      <x:c r="G166" s="32" t="str">
        <x:v>Build and test source code in automated pipelines.</x:v>
      </x:c>
      <x:c r="H166" s="32" t="str">
        <x:v>Close</x:v>
      </x:c>
      <x:c r="I166" s="32"/>
      <x:c r="J166" s="32" t="str">
        <x:v>https://azure.microsoft.com/en-gb/products/</x:v>
      </x:c>
      <x:c r="K166" s="32" t="str">
        <x:v>2026-07-12</x:v>
      </x:c>
    </x:row>
    <x:row r="167">
      <x:c r="A167" s="32" t="str">
        <x:v>Microsoft Azure</x:v>
      </x:c>
      <x:c r="B167" s="32" t="str">
        <x:v>Azure Policy</x:v>
      </x:c>
      <x:c r="C167" s="32" t="str">
        <x:v>Named service / product family</x:v>
      </x:c>
      <x:c r="D167" s="32" t="str">
        <x:v>Governance &amp; Management
Security, Identity &amp; Compliance</x:v>
      </x:c>
      <x:c r="E167" s="32" t="str">
        <x:v>Configuration management
Data perimeter
Policy</x:v>
      </x:c>
      <x:c r="F167" s="32" t="str">
        <x:v>Configuration compliance
Organisation policy enforcement
Service data perimeter</x:v>
      </x:c>
      <x:c r="G167" s="32" t="str">
        <x:v>Define and enforce preventive or detective policies across cloud resources.</x:v>
      </x:c>
      <x:c r="H167" s="32" t="str">
        <x:v>Close</x:v>
      </x:c>
      <x:c r="I167" s="32"/>
      <x:c r="J167" s="32" t="str">
        <x:v>https://azure.microsoft.com/en-gb/products/</x:v>
      </x:c>
      <x:c r="K167" s="32" t="str">
        <x:v>2026-07-12</x:v>
      </x:c>
    </x:row>
    <x:row r="168">
      <x:c r="A168" s="32" t="str">
        <x:v>Microsoft Azure</x:v>
      </x:c>
      <x:c r="B168" s="32" t="str">
        <x:v>Azure PowerShell</x:v>
      </x:c>
      <x:c r="C168" s="32" t="str">
        <x:v>Named service / product family</x:v>
      </x:c>
      <x:c r="D168" s="32" t="str">
        <x:v>Developer Tools &amp; DevOps</x:v>
      </x:c>
      <x:c r="E168" s="32" t="str">
        <x:v>SDK and CLI</x:v>
      </x:c>
      <x:c r="F168" s="32" t="str">
        <x:v>Cloud command-line and SDK tools</x:v>
      </x:c>
      <x:c r="G168" s="32" t="str">
        <x:v>Manage cloud resources and build applications through command-line tools and language SDKs.</x:v>
      </x:c>
      <x:c r="H168" s="32" t="str">
        <x:v>Exact</x:v>
      </x:c>
      <x:c r="I168" s="32"/>
      <x:c r="J168" s="32" t="str">
        <x:v>https://azure.microsoft.com/en-gb/products/</x:v>
      </x:c>
      <x:c r="K168" s="32" t="str">
        <x:v>2026-07-12</x:v>
      </x:c>
    </x:row>
    <x:row r="169">
      <x:c r="A169" s="32" t="str">
        <x:v>Microsoft Azure</x:v>
      </x:c>
      <x:c r="B169" s="32" t="str">
        <x:v>Azure Private 5G Core</x:v>
      </x:c>
      <x:c r="C169" s="32" t="str">
        <x:v>Named service / product family</x:v>
      </x:c>
      <x:c r="D169" s="32" t="str">
        <x:v>Networking</x:v>
      </x:c>
      <x:c r="E169" s="32" t="str">
        <x:v>Private wireless</x:v>
      </x:c>
      <x:c r="F169" s="32" t="str">
        <x:v>Private 5G and edge networking</x:v>
      </x:c>
      <x:c r="G169" s="32" t="str">
        <x:v>Deploy private cellular connectivity integrated with cloud management.</x:v>
      </x:c>
      <x:c r="H169" s="32" t="str">
        <x:v>Partial</x:v>
      </x:c>
      <x:c r="I169" s="32"/>
      <x:c r="J169" s="32" t="str">
        <x:v>https://azure.microsoft.com/en-gb/products/</x:v>
      </x:c>
      <x:c r="K169" s="32" t="str">
        <x:v>2026-07-12</x:v>
      </x:c>
    </x:row>
    <x:row r="170">
      <x:c r="A170" s="32" t="str">
        <x:v>Microsoft Azure</x:v>
      </x:c>
      <x:c r="B170" s="32" t="str">
        <x:v>Azure Private DNS</x:v>
      </x:c>
      <x:c r="C170" s="32" t="str">
        <x:v>Named service / product family</x:v>
      </x:c>
      <x:c r="D170" s="32" t="str">
        <x:v>Networking</x:v>
      </x:c>
      <x:c r="E170" s="32" t="str">
        <x:v>DNS
Service discovery</x:v>
      </x:c>
      <x:c r="F170" s="32" t="str">
        <x:v>Managed DNS
Service discovery</x:v>
      </x:c>
      <x:c r="G170" s="32" t="str">
        <x:v>Host public and private DNS zones with resilient authoritative name resolution.</x:v>
      </x:c>
      <x:c r="H170" s="32" t="str">
        <x:v>Close, Exact</x:v>
      </x:c>
      <x:c r="I170" s="32"/>
      <x:c r="J170" s="32" t="str">
        <x:v>https://azure.microsoft.com/en-gb/products/</x:v>
      </x:c>
      <x:c r="K170" s="32" t="str">
        <x:v>2026-07-12</x:v>
      </x:c>
    </x:row>
    <x:row r="171">
      <x:c r="A171" s="32" t="str">
        <x:v>Microsoft Azure</x:v>
      </x:c>
      <x:c r="B171" s="32" t="str">
        <x:v>Azure Private Link</x:v>
      </x:c>
      <x:c r="C171" s="32" t="str">
        <x:v>Named service / product family</x:v>
      </x:c>
      <x:c r="D171" s="32" t="str">
        <x:v>Networking</x:v>
      </x:c>
      <x:c r="E171" s="32" t="str">
        <x:v>Private services</x:v>
      </x:c>
      <x:c r="F171" s="32" t="str">
        <x:v>Private service endpoint</x:v>
      </x:c>
      <x:c r="G171" s="32" t="str">
        <x:v>Access managed services privately without traversing the public internet.</x:v>
      </x:c>
      <x:c r="H171" s="32" t="str">
        <x:v>Exact</x:v>
      </x:c>
      <x:c r="I171" s="32"/>
      <x:c r="J171" s="32" t="str">
        <x:v>https://azure.microsoft.com/en-gb/products/</x:v>
      </x:c>
      <x:c r="K171" s="32" t="str">
        <x:v>2026-07-12</x:v>
      </x:c>
    </x:row>
    <x:row r="172">
      <x:c r="A172" s="32" t="str">
        <x:v>Microsoft Azure</x:v>
      </x:c>
      <x:c r="B172" s="32" t="str">
        <x:v>Azure Quantum</x:v>
      </x:c>
      <x:c r="C172" s="32" t="str">
        <x:v>Named service / product family</x:v>
      </x:c>
      <x:c r="D172" s="32" t="str">
        <x:v>Compute &amp; Application Hosting</x:v>
      </x:c>
      <x:c r="E172" s="32" t="str">
        <x:v>Quantum</x:v>
      </x:c>
      <x:c r="F172" s="32" t="str">
        <x:v>Managed quantum computing</x:v>
      </x:c>
      <x:c r="G172" s="32" t="str">
        <x:v>Develop, simulate and execute quantum algorithms using cloud-accessible hardware.</x:v>
      </x:c>
      <x:c r="H172" s="32" t="str">
        <x:v>Partial</x:v>
      </x:c>
      <x:c r="I172" s="32"/>
      <x:c r="J172" s="32" t="str">
        <x:v>https://azure.microsoft.com/en-gb/products/</x:v>
      </x:c>
      <x:c r="K172" s="32" t="str">
        <x:v>2026-07-12</x:v>
      </x:c>
    </x:row>
    <x:row r="173">
      <x:c r="A173" s="32" t="str">
        <x:v>Microsoft Azure</x:v>
      </x:c>
      <x:c r="B173" s="32" t="str">
        <x:v>Azure Queue Storage</x:v>
      </x:c>
      <x:c r="C173" s="32" t="str">
        <x:v>Named service / product family</x:v>
      </x:c>
      <x:c r="D173" s="32" t="str">
        <x:v>Application Integration</x:v>
      </x:c>
      <x:c r="E173" s="32" t="str">
        <x:v>Task queue</x:v>
      </x:c>
      <x:c r="F173" s="32" t="str">
        <x:v>Application task queue</x:v>
      </x:c>
      <x:c r="G173" s="32" t="str">
        <x:v>Dispatch and control asynchronous application tasks with retries and rate limits.</x:v>
      </x:c>
      <x:c r="H173" s="32" t="str">
        <x:v>Close</x:v>
      </x:c>
      <x:c r="I173" s="32"/>
      <x:c r="J173" s="32" t="str">
        <x:v>https://azure.microsoft.com/en-gb/products/</x:v>
      </x:c>
      <x:c r="K173" s="32" t="str">
        <x:v>2026-07-12</x:v>
      </x:c>
    </x:row>
    <x:row r="174">
      <x:c r="A174" s="32" t="str">
        <x:v>Microsoft Azure</x:v>
      </x:c>
      <x:c r="B174" s="32" t="str">
        <x:v>Azure Quotas</x:v>
      </x:c>
      <x:c r="C174" s="32" t="str">
        <x:v>Named service / product family</x:v>
      </x:c>
      <x:c r="D174" s="32" t="str">
        <x:v>Governance &amp; Management</x:v>
      </x:c>
      <x:c r="E174" s="32" t="str">
        <x:v>Quotas</x:v>
      </x:c>
      <x:c r="F174" s="32" t="str">
        <x:v>Service quota management</x:v>
      </x:c>
      <x:c r="G174" s="32" t="str">
        <x:v>View, monitor and request changes to cloud service quotas.</x:v>
      </x:c>
      <x:c r="H174" s="32" t="str">
        <x:v>Exact</x:v>
      </x:c>
      <x:c r="I174" s="32"/>
      <x:c r="J174" s="32" t="str">
        <x:v>https://azure.microsoft.com/en-gb/products/</x:v>
      </x:c>
      <x:c r="K174" s="32" t="str">
        <x:v>2026-07-12</x:v>
      </x:c>
    </x:row>
    <x:row r="175">
      <x:c r="A175" s="32" t="str">
        <x:v>Microsoft Azure</x:v>
      </x:c>
      <x:c r="B175" s="32" t="str">
        <x:v>Azure RBAC</x:v>
      </x:c>
      <x:c r="C175" s="32" t="str">
        <x:v>Named service / product family</x:v>
      </x:c>
      <x:c r="D175" s="32" t="str">
        <x:v>Security, Identity &amp; Compliance</x:v>
      </x:c>
      <x:c r="E175" s="32" t="str">
        <x:v>Workforce identity</x:v>
      </x:c>
      <x:c r="F175" s="32" t="str">
        <x:v>Identity and access management</x:v>
      </x:c>
      <x:c r="G175" s="32" t="str">
        <x:v>Authenticate identities and authorise access to cloud resources.</x:v>
      </x:c>
      <x:c r="H175" s="32" t="str">
        <x:v>Close</x:v>
      </x:c>
      <x:c r="I175" s="32"/>
      <x:c r="J175" s="32" t="str">
        <x:v>https://azure.microsoft.com/en-gb/products/</x:v>
      </x:c>
      <x:c r="K175" s="32" t="str">
        <x:v>2026-07-12</x:v>
      </x:c>
    </x:row>
    <x:row r="176">
      <x:c r="A176" s="32" t="str">
        <x:v>Microsoft Azure</x:v>
      </x:c>
      <x:c r="B176" s="32" t="str">
        <x:v>Azure Repos</x:v>
      </x:c>
      <x:c r="C176" s="32" t="str">
        <x:v>Named service / product family</x:v>
      </x:c>
      <x:c r="D176" s="32" t="str">
        <x:v>Developer Tools &amp; DevOps</x:v>
      </x:c>
      <x:c r="E176" s="32" t="str">
        <x:v>Source control</x:v>
      </x:c>
      <x:c r="F176" s="32" t="str">
        <x:v>Managed Git repositories</x:v>
      </x:c>
      <x:c r="G176" s="32" t="str">
        <x:v>Host private Git repositories with access control and development integrations.</x:v>
      </x:c>
      <x:c r="H176" s="32" t="str">
        <x:v>Close</x:v>
      </x:c>
      <x:c r="I176" s="32"/>
      <x:c r="J176" s="32" t="str">
        <x:v>https://azure.microsoft.com/en-gb/products/</x:v>
      </x:c>
      <x:c r="K176" s="32" t="str">
        <x:v>2026-07-12</x:v>
      </x:c>
    </x:row>
    <x:row r="177">
      <x:c r="A177" s="32" t="str">
        <x:v>Microsoft Azure</x:v>
      </x:c>
      <x:c r="B177" s="32" t="str">
        <x:v>Azure Reservations</x:v>
      </x:c>
      <x:c r="C177" s="32" t="str">
        <x:v>Named service / product family</x:v>
      </x:c>
      <x:c r="D177" s="32" t="str">
        <x:v>FinOps &amp; Commercial</x:v>
      </x:c>
      <x:c r="E177" s="32" t="str">
        <x:v>Commitment discounts</x:v>
      </x:c>
      <x:c r="F177" s="32" t="str">
        <x:v>Committed-use savings</x:v>
      </x:c>
      <x:c r="G177" s="32" t="str">
        <x:v>Reduce eligible compute costs through term-based usage commitments.</x:v>
      </x:c>
      <x:c r="H177" s="32" t="str">
        <x:v>Exact</x:v>
      </x:c>
      <x:c r="I177" s="32"/>
      <x:c r="J177" s="32" t="str">
        <x:v>https://azure.microsoft.com/en-gb/products/</x:v>
      </x:c>
      <x:c r="K177" s="32" t="str">
        <x:v>2026-07-12</x:v>
      </x:c>
    </x:row>
    <x:row r="178">
      <x:c r="A178" s="32" t="str">
        <x:v>Microsoft Azure</x:v>
      </x:c>
      <x:c r="B178" s="32" t="str">
        <x:v>Azure Resource Graph</x:v>
      </x:c>
      <x:c r="C178" s="32" t="str">
        <x:v>Named service / product family</x:v>
      </x:c>
      <x:c r="D178" s="32" t="str">
        <x:v>Governance &amp; Management</x:v>
      </x:c>
      <x:c r="E178" s="32" t="str">
        <x:v>Resource inventory</x:v>
      </x:c>
      <x:c r="F178" s="32" t="str">
        <x:v>Cloud asset inventory</x:v>
      </x:c>
      <x:c r="G178" s="32" t="str">
        <x:v>Discover, inventory and query cloud resources and configuration state.</x:v>
      </x:c>
      <x:c r="H178" s="32" t="str">
        <x:v>Close</x:v>
      </x:c>
      <x:c r="I178" s="32"/>
      <x:c r="J178" s="32" t="str">
        <x:v>https://azure.microsoft.com/en-gb/products/</x:v>
      </x:c>
      <x:c r="K178" s="32" t="str">
        <x:v>2026-07-12</x:v>
      </x:c>
    </x:row>
    <x:row r="179">
      <x:c r="A179" s="32" t="str">
        <x:v>Microsoft Azure</x:v>
      </x:c>
      <x:c r="B179" s="32" t="str">
        <x:v>Azure Resource Manager templates</x:v>
      </x:c>
      <x:c r="C179" s="32" t="str">
        <x:v>Named service / product family</x:v>
      </x:c>
      <x:c r="D179" s="32" t="str">
        <x:v>Governance &amp; Management</x:v>
      </x:c>
      <x:c r="E179" s="32" t="str">
        <x:v>Infrastructure as code</x:v>
      </x:c>
      <x:c r="F179" s="32" t="str">
        <x:v>Native infrastructure as code</x:v>
      </x:c>
      <x:c r="G179" s="32" t="str">
        <x:v>Provision and manage cloud resources from declarative templates.</x:v>
      </x:c>
      <x:c r="H179" s="32" t="str">
        <x:v>Close</x:v>
      </x:c>
      <x:c r="I179" s="32"/>
      <x:c r="J179" s="32" t="str">
        <x:v>https://azure.microsoft.com/en-gb/products/</x:v>
      </x:c>
      <x:c r="K179" s="32" t="str">
        <x:v>2026-07-12</x:v>
      </x:c>
    </x:row>
    <x:row r="180">
      <x:c r="A180" s="32" t="str">
        <x:v>Microsoft Azure</x:v>
      </x:c>
      <x:c r="B180" s="32" t="str">
        <x:v>Azure Resource Mover</x:v>
      </x:c>
      <x:c r="C180" s="32" t="str">
        <x:v>Named service / product family</x:v>
      </x:c>
      <x:c r="D180" s="32" t="str">
        <x:v>Migration &amp; Modernisation</x:v>
      </x:c>
      <x:c r="E180" s="32" t="str">
        <x:v>Resource relocation</x:v>
      </x:c>
      <x:c r="F180" s="32" t="str">
        <x:v>Cloud resource relocation</x:v>
      </x:c>
      <x:c r="G180" s="32" t="str">
        <x:v>Move supported resources between regions, subscriptions or projects.</x:v>
      </x:c>
      <x:c r="H180" s="32" t="str">
        <x:v>Partial</x:v>
      </x:c>
      <x:c r="I180" s="32"/>
      <x:c r="J180" s="32" t="str">
        <x:v>https://azure.microsoft.com/en-gb/products/</x:v>
      </x:c>
      <x:c r="K180" s="32" t="str">
        <x:v>2026-07-12</x:v>
      </x:c>
    </x:row>
    <x:row r="181">
      <x:c r="A181" s="32" t="str">
        <x:v>Microsoft Azure</x:v>
      </x:c>
      <x:c r="B181" s="32" t="str">
        <x:v>Azure RTOS / Eclipse ThreadX ecosystem</x:v>
      </x:c>
      <x:c r="C181" s="32" t="str">
        <x:v>Architecture / partner alternative</x:v>
      </x:c>
      <x:c r="D181" s="32" t="str">
        <x:v>IoT &amp; Edge</x:v>
      </x:c>
      <x:c r="E181" s="32" t="str">
        <x:v>Embedded OS</x:v>
      </x:c>
      <x:c r="F181" s="32" t="str">
        <x:v>Embedded real-time operating system</x:v>
      </x:c>
      <x:c r="G181" s="32" t="str">
        <x:v>Provide an open real-time operating system and cloud integration for microcontrollers.</x:v>
      </x:c>
      <x:c r="H181" s="32" t="str">
        <x:v>Partial</x:v>
      </x:c>
      <x:c r="I181" s="32"/>
      <x:c r="J181" s="32" t="str">
        <x:v>https://azure.microsoft.com/en-gb/products/</x:v>
      </x:c>
      <x:c r="K181" s="32" t="str">
        <x:v>2026-07-12</x:v>
      </x:c>
    </x:row>
    <x:row r="182">
      <x:c r="A182" s="32" t="str">
        <x:v>Microsoft Azure</x:v>
      </x:c>
      <x:c r="B182" s="32" t="str">
        <x:v>Azure savings plan for compute</x:v>
      </x:c>
      <x:c r="C182" s="32" t="str">
        <x:v>Named service / product family</x:v>
      </x:c>
      <x:c r="D182" s="32" t="str">
        <x:v>FinOps &amp; Commercial</x:v>
      </x:c>
      <x:c r="E182" s="32" t="str">
        <x:v>Commitment discounts</x:v>
      </x:c>
      <x:c r="F182" s="32" t="str">
        <x:v>Committed-use savings</x:v>
      </x:c>
      <x:c r="G182" s="32" t="str">
        <x:v>Reduce eligible compute costs through term-based usage commitments.</x:v>
      </x:c>
      <x:c r="H182" s="32" t="str">
        <x:v>Exact</x:v>
      </x:c>
      <x:c r="I182" s="32"/>
      <x:c r="J182" s="32" t="str">
        <x:v>https://azure.microsoft.com/en-gb/products/</x:v>
      </x:c>
      <x:c r="K182" s="32" t="str">
        <x:v>2026-07-12</x:v>
      </x:c>
    </x:row>
    <x:row r="183">
      <x:c r="A183" s="32" t="str">
        <x:v>Microsoft Azure</x:v>
      </x:c>
      <x:c r="B183" s="32" t="str">
        <x:v>Azure SDKs</x:v>
      </x:c>
      <x:c r="C183" s="32" t="str">
        <x:v>Named service / product family</x:v>
      </x:c>
      <x:c r="D183" s="32" t="str">
        <x:v>Developer Tools &amp; DevOps</x:v>
      </x:c>
      <x:c r="E183" s="32" t="str">
        <x:v>SDK and CLI</x:v>
      </x:c>
      <x:c r="F183" s="32" t="str">
        <x:v>Cloud command-line and SDK tools</x:v>
      </x:c>
      <x:c r="G183" s="32" t="str">
        <x:v>Manage cloud resources and build applications through command-line tools and language SDKs.</x:v>
      </x:c>
      <x:c r="H183" s="32" t="str">
        <x:v>Exact</x:v>
      </x:c>
      <x:c r="I183" s="32"/>
      <x:c r="J183" s="32" t="str">
        <x:v>https://azure.microsoft.com/en-gb/products/</x:v>
      </x:c>
      <x:c r="K183" s="32" t="str">
        <x:v>2026-07-12</x:v>
      </x:c>
    </x:row>
    <x:row r="184">
      <x:c r="A184" s="32" t="str">
        <x:v>Microsoft Azure</x:v>
      </x:c>
      <x:c r="B184" s="32" t="str">
        <x:v>Azure Service Bus</x:v>
      </x:c>
      <x:c r="C184" s="32" t="str">
        <x:v>Named service / product family</x:v>
      </x:c>
      <x:c r="D184" s="32" t="str">
        <x:v>Application Integration</x:v>
      </x:c>
      <x:c r="E184" s="32" t="str">
        <x:v>Managed MQ
Task queue</x:v>
      </x:c>
      <x:c r="F184" s="32" t="str">
        <x:v>Application task queue
Managed message broker</x:v>
      </x:c>
      <x:c r="G184" s="32" t="str">
        <x:v>Run managed enterprise message brokers using familiar protocols.</x:v>
      </x:c>
      <x:c r="H184" s="32" t="str">
        <x:v>Close, Partial</x:v>
      </x:c>
      <x:c r="I184" s="32"/>
      <x:c r="J184" s="32" t="str">
        <x:v>https://azure.microsoft.com/en-gb/products/</x:v>
      </x:c>
      <x:c r="K184" s="32" t="str">
        <x:v>2026-07-12</x:v>
      </x:c>
    </x:row>
    <x:row r="185">
      <x:c r="A185" s="32" t="str">
        <x:v>Microsoft Azure</x:v>
      </x:c>
      <x:c r="B185" s="32" t="str">
        <x:v>Azure Service Bus queues</x:v>
      </x:c>
      <x:c r="C185" s="32" t="str">
        <x:v>Named service / product family</x:v>
      </x:c>
      <x:c r="D185" s="32" t="str">
        <x:v>Application Integration</x:v>
      </x:c>
      <x:c r="E185" s="32" t="str">
        <x:v>Messaging</x:v>
      </x:c>
      <x:c r="F185" s="32" t="str">
        <x:v>Managed message queue</x:v>
      </x:c>
      <x:c r="G185" s="32" t="str">
        <x:v>Decouple applications with durable asynchronous message queues.</x:v>
      </x:c>
      <x:c r="H185" s="32" t="str">
        <x:v>Close</x:v>
      </x:c>
      <x:c r="I185" s="32"/>
      <x:c r="J185" s="32" t="str">
        <x:v>https://azure.microsoft.com/en-gb/products/</x:v>
      </x:c>
      <x:c r="K185" s="32" t="str">
        <x:v>2026-07-12</x:v>
      </x:c>
    </x:row>
    <x:row r="186">
      <x:c r="A186" s="32" t="str">
        <x:v>Microsoft Azure</x:v>
      </x:c>
      <x:c r="B186" s="32" t="str">
        <x:v>Azure Service Bus topics</x:v>
      </x:c>
      <x:c r="C186" s="32" t="str">
        <x:v>Named service / product family</x:v>
      </x:c>
      <x:c r="D186" s="32" t="str">
        <x:v>Application Integration</x:v>
      </x:c>
      <x:c r="E186" s="32" t="str">
        <x:v>Pub/sub</x:v>
      </x:c>
      <x:c r="F186" s="32" t="str">
        <x:v>Publish-subscribe messaging</x:v>
      </x:c>
      <x:c r="G186" s="32" t="str">
        <x:v>Distribute messages from publishers to multiple asynchronous subscribers.</x:v>
      </x:c>
      <x:c r="H186" s="32" t="str">
        <x:v>Close</x:v>
      </x:c>
      <x:c r="I186" s="32"/>
      <x:c r="J186" s="32" t="str">
        <x:v>https://azure.microsoft.com/en-gb/products/</x:v>
      </x:c>
      <x:c r="K186" s="32" t="str">
        <x:v>2026-07-12</x:v>
      </x:c>
    </x:row>
    <x:row r="187">
      <x:c r="A187" s="32" t="str">
        <x:v>Microsoft Azure</x:v>
      </x:c>
      <x:c r="B187" s="32" t="str">
        <x:v>Azure Service Fabric naming</x:v>
      </x:c>
      <x:c r="C187" s="32" t="str">
        <x:v>Named service / product family</x:v>
      </x:c>
      <x:c r="D187" s="32" t="str">
        <x:v>Networking</x:v>
      </x:c>
      <x:c r="E187" s="32" t="str">
        <x:v>Service discovery</x:v>
      </x:c>
      <x:c r="F187" s="32" t="str">
        <x:v>Service discovery</x:v>
      </x:c>
      <x:c r="G187" s="32" t="str">
        <x:v>Register and discover services by logical name and health.</x:v>
      </x:c>
      <x:c r="H187" s="32" t="str">
        <x:v>Close</x:v>
      </x:c>
      <x:c r="I187" s="32"/>
      <x:c r="J187" s="32" t="str">
        <x:v>https://azure.microsoft.com/en-gb/products/</x:v>
      </x:c>
      <x:c r="K187" s="32" t="str">
        <x:v>2026-07-12</x:v>
      </x:c>
    </x:row>
    <x:row r="188">
      <x:c r="A188" s="32" t="str">
        <x:v>Microsoft Azure</x:v>
      </x:c>
      <x:c r="B188" s="32" t="str">
        <x:v>Azure Service Health</x:v>
      </x:c>
      <x:c r="C188" s="32" t="str">
        <x:v>Named service / product family</x:v>
      </x:c>
      <x:c r="D188" s="32" t="str">
        <x:v>Governance &amp; Management
Observability &amp; Reliability</x:v>
      </x:c>
      <x:c r="E188" s="32" t="str">
        <x:v>Health
Status and maintenance</x:v>
      </x:c>
      <x:c r="F188" s="32" t="str">
        <x:v>Maintenance coordination
Personalised cloud service health</x:v>
      </x:c>
      <x:c r="G188" s="32" t="str">
        <x:v>Show provider incidents, planned maintenance and resource-specific impact.</x:v>
      </x:c>
      <x:c r="H188" s="32" t="str">
        <x:v>Close, Exact</x:v>
      </x:c>
      <x:c r="I188" s="32"/>
      <x:c r="J188" s="32" t="str">
        <x:v>https://azure.microsoft.com/en-gb/products/</x:v>
      </x:c>
      <x:c r="K188" s="32" t="str">
        <x:v>2026-07-12</x:v>
      </x:c>
    </x:row>
    <x:row r="189">
      <x:c r="A189" s="32" t="str">
        <x:v>Microsoft Azure</x:v>
      </x:c>
      <x:c r="B189" s="32" t="str">
        <x:v>Azure Service Health alerts</x:v>
      </x:c>
      <x:c r="C189" s="32" t="str">
        <x:v>Named service / product family</x:v>
      </x:c>
      <x:c r="D189" s="32" t="str">
        <x:v>Governance &amp; Management</x:v>
      </x:c>
      <x:c r="E189" s="32" t="str">
        <x:v>Notifications</x:v>
      </x:c>
      <x:c r="F189" s="32" t="str">
        <x:v>Central cloud notifications</x:v>
      </x:c>
      <x:c r="G189" s="32" t="str">
        <x:v>Route cloud operational and governance notifications to users and channels.</x:v>
      </x:c>
      <x:c r="H189" s="32" t="str">
        <x:v>Close</x:v>
      </x:c>
      <x:c r="I189" s="32"/>
      <x:c r="J189" s="32" t="str">
        <x:v>https://azure.microsoft.com/en-gb/products/</x:v>
      </x:c>
      <x:c r="K189" s="32" t="str">
        <x:v>2026-07-12</x:v>
      </x:c>
    </x:row>
    <x:row r="190">
      <x:c r="A190" s="32" t="str">
        <x:v>Microsoft Azure</x:v>
      </x:c>
      <x:c r="B190" s="32" t="str">
        <x:v>Azure Service Mesh / Istio add-on for AKS</x:v>
      </x:c>
      <x:c r="C190" s="32" t="str">
        <x:v>Product family / combined pattern</x:v>
      </x:c>
      <x:c r="D190" s="32" t="str">
        <x:v>Networking</x:v>
      </x:c>
      <x:c r="E190" s="32" t="str">
        <x:v>Service networking</x:v>
      </x:c>
      <x:c r="F190" s="32" t="str">
        <x:v>Service mesh</x:v>
      </x:c>
      <x:c r="G190" s="32" t="str">
        <x:v>Manage service-to-service traffic, identity, observability and policy for microservices.</x:v>
      </x:c>
      <x:c r="H190" s="32" t="str">
        <x:v>Close</x:v>
      </x:c>
      <x:c r="I190" s="32"/>
      <x:c r="J190" s="32" t="str">
        <x:v>https://azure.microsoft.com/en-gb/products/</x:v>
      </x:c>
      <x:c r="K190" s="32" t="str">
        <x:v>2026-07-12</x:v>
      </x:c>
    </x:row>
    <x:row r="191">
      <x:c r="A191" s="32" t="str">
        <x:v>Microsoft Azure</x:v>
      </x:c>
      <x:c r="B191" s="32" t="str">
        <x:v>Azure SignalR Service</x:v>
      </x:c>
      <x:c r="C191" s="32" t="str">
        <x:v>Named service / product family</x:v>
      </x:c>
      <x:c r="D191" s="32" t="str">
        <x:v>Application Integration</x:v>
      </x:c>
      <x:c r="E191" s="32" t="str">
        <x:v>Real-time messaging</x:v>
      </x:c>
      <x:c r="F191" s="32" t="str">
        <x:v>Managed real-time web messaging</x:v>
      </x:c>
      <x:c r="G191" s="32" t="str">
        <x:v>Deliver low-latency bidirectional messages to connected web and mobile clients.</x:v>
      </x:c>
      <x:c r="H191" s="32" t="str">
        <x:v>Partial</x:v>
      </x:c>
      <x:c r="I191" s="32"/>
      <x:c r="J191" s="32" t="str">
        <x:v>https://azure.microsoft.com/en-gb/products/</x:v>
      </x:c>
      <x:c r="K191" s="32" t="str">
        <x:v>2026-07-12</x:v>
      </x:c>
    </x:row>
    <x:row r="192">
      <x:c r="A192" s="32" t="str">
        <x:v>Microsoft Azure</x:v>
      </x:c>
      <x:c r="B192" s="32" t="str">
        <x:v>Azure Site Recovery</x:v>
      </x:c>
      <x:c r="C192" s="32" t="str">
        <x:v>Named service / product family</x:v>
      </x:c>
      <x:c r="D192" s="32" t="str">
        <x:v>Storage</x:v>
      </x:c>
      <x:c r="E192" s="32" t="str">
        <x:v>Disaster recovery</x:v>
      </x:c>
      <x:c r="F192" s="32" t="str">
        <x:v>Managed disaster recovery</x:v>
      </x:c>
      <x:c r="G192" s="32" t="str">
        <x:v>Replicate and recover workloads to meet recovery objectives.</x:v>
      </x:c>
      <x:c r="H192" s="32" t="str">
        <x:v>Close</x:v>
      </x:c>
      <x:c r="I192" s="32"/>
      <x:c r="J192" s="32" t="str">
        <x:v>https://azure.microsoft.com/en-gb/products/</x:v>
      </x:c>
      <x:c r="K192" s="32" t="str">
        <x:v>2026-07-12</x:v>
      </x:c>
    </x:row>
    <x:row r="193">
      <x:c r="A193" s="32" t="str">
        <x:v>Microsoft Azure</x:v>
      </x:c>
      <x:c r="B193" s="32" t="str">
        <x:v>Azure Speech</x:v>
      </x:c>
      <x:c r="C193" s="32" t="str">
        <x:v>Named service / product family</x:v>
      </x:c>
      <x:c r="D193" s="32" t="str">
        <x:v>AI &amp; Machine Learning</x:v>
      </x:c>
      <x:c r="E193" s="32" t="str">
        <x:v>Speech</x:v>
      </x:c>
      <x:c r="F193" s="32" t="str">
        <x:v>Speech-to-text
Text-to-speech</x:v>
      </x:c>
      <x:c r="G193" s="32" t="str">
        <x:v>Convert live or recorded speech into text.</x:v>
      </x:c>
      <x:c r="H193" s="32" t="str">
        <x:v>Exact</x:v>
      </x:c>
      <x:c r="I193" s="32"/>
      <x:c r="J193" s="32" t="str">
        <x:v>https://azure.microsoft.com/en-gb/products/</x:v>
      </x:c>
      <x:c r="K193" s="32" t="str">
        <x:v>2026-07-12</x:v>
      </x:c>
    </x:row>
    <x:row r="194">
      <x:c r="A194" s="32" t="str">
        <x:v>Microsoft Azure</x:v>
      </x:c>
      <x:c r="B194" s="32" t="str">
        <x:v>Azure Spot Virtual Machines</x:v>
      </x:c>
      <x:c r="C194" s="32" t="str">
        <x:v>Named service / product family</x:v>
      </x:c>
      <x:c r="D194" s="32" t="str">
        <x:v>Compute &amp; Application Hosting</x:v>
      </x:c>
      <x:c r="E194" s="32" t="str">
        <x:v>Discount compute</x:v>
      </x:c>
      <x:c r="F194" s="32" t="str">
        <x:v>Interruptible compute</x:v>
      </x:c>
      <x:c r="G194" s="32" t="str">
        <x:v>Run fault-tolerant workloads on discounted spare compute capacity.</x:v>
      </x:c>
      <x:c r="H194" s="32" t="str">
        <x:v>Exact</x:v>
      </x:c>
      <x:c r="I194" s="32"/>
      <x:c r="J194" s="32" t="str">
        <x:v>https://azure.microsoft.com/en-gb/products/</x:v>
      </x:c>
      <x:c r="K194" s="32" t="str">
        <x:v>2026-07-12</x:v>
      </x:c>
    </x:row>
    <x:row r="195">
      <x:c r="A195" s="32" t="str">
        <x:v>Microsoft Azure</x:v>
      </x:c>
      <x:c r="B195" s="32" t="str">
        <x:v>Azure SQL Database</x:v>
      </x:c>
      <x:c r="C195" s="32" t="str">
        <x:v>Named service / product family</x:v>
      </x:c>
      <x:c r="D195" s="32" t="str">
        <x:v>Databases</x:v>
      </x:c>
      <x:c r="E195" s="32" t="str">
        <x:v>Cloud-native relational</x:v>
      </x:c>
      <x:c r="F195" s="32" t="str">
        <x:v>Cloud-native relational database</x:v>
      </x:c>
      <x:c r="G195" s="32" t="str">
        <x:v>Run a highly available cloud-native relational database optimised for scale and resilience.</x:v>
      </x:c>
      <x:c r="H195" s="32" t="str">
        <x:v>Close</x:v>
      </x:c>
      <x:c r="I195" s="32"/>
      <x:c r="J195" s="32" t="str">
        <x:v>https://azure.microsoft.com/en-gb/products/</x:v>
      </x:c>
      <x:c r="K195" s="32" t="str">
        <x:v>2026-07-12</x:v>
      </x:c>
    </x:row>
    <x:row r="196">
      <x:c r="A196" s="32" t="str">
        <x:v>Microsoft Azure</x:v>
      </x:c>
      <x:c r="B196" s="32" t="str">
        <x:v>Azure SQL fleet tools</x:v>
      </x:c>
      <x:c r="C196" s="32" t="str">
        <x:v>Named service / product family</x:v>
      </x:c>
      <x:c r="D196" s="32" t="str">
        <x:v>Databases</x:v>
      </x:c>
      <x:c r="E196" s="32" t="str">
        <x:v>Database fleet</x:v>
      </x:c>
      <x:c r="F196" s="32" t="str">
        <x:v>Database fleet management</x:v>
      </x:c>
      <x:c r="G196" s="32" t="str">
        <x:v>Discover, assess and manage database estates from a central view.</x:v>
      </x:c>
      <x:c r="H196" s="32" t="str">
        <x:v>Partial</x:v>
      </x:c>
      <x:c r="I196" s="32"/>
      <x:c r="J196" s="32" t="str">
        <x:v>https://azure.microsoft.com/en-gb/products/</x:v>
      </x:c>
      <x:c r="K196" s="32" t="str">
        <x:v>2026-07-12</x:v>
      </x:c>
    </x:row>
    <x:row r="197">
      <x:c r="A197" s="32" t="str">
        <x:v>Microsoft Azure</x:v>
      </x:c>
      <x:c r="B197" s="32" t="str">
        <x:v>Azure SQL Managed Instance</x:v>
      </x:c>
      <x:c r="C197" s="32" t="str">
        <x:v>Named service / product family</x:v>
      </x:c>
      <x:c r="D197" s="32" t="str">
        <x:v>Databases</x:v>
      </x:c>
      <x:c r="E197" s="32" t="str">
        <x:v>Relational databases
SQL Server</x:v>
      </x:c>
      <x:c r="F197" s="32" t="str">
        <x:v>Managed SQL Server
Managed relational database service</x:v>
      </x:c>
      <x:c r="G197" s="32" t="str">
        <x:v>Operate common relational database engines with managed backups, patching and availability.</x:v>
      </x:c>
      <x:c r="H197" s="32" t="str">
        <x:v>Close</x:v>
      </x:c>
      <x:c r="I197" s="32"/>
      <x:c r="J197" s="32" t="str">
        <x:v>https://azure.microsoft.com/en-gb/products/</x:v>
      </x:c>
      <x:c r="K197" s="32" t="str">
        <x:v>2026-07-12</x:v>
      </x:c>
    </x:row>
    <x:row r="198">
      <x:c r="A198" s="32" t="str">
        <x:v>Microsoft Azure</x:v>
      </x:c>
      <x:c r="B198" s="32" t="str">
        <x:v>Azure SRE Agent</x:v>
      </x:c>
      <x:c r="C198" s="32" t="str">
        <x:v>Named service / product family</x:v>
      </x:c>
      <x:c r="D198" s="32" t="str">
        <x:v>Observability &amp; Reliability</x:v>
      </x:c>
      <x:c r="E198" s="32" t="str">
        <x:v>SRE automation</x:v>
      </x:c>
      <x:c r="F198" s="32" t="str">
        <x:v>AI-assisted reliability engineering</x:v>
      </x:c>
      <x:c r="G198" s="32" t="str">
        <x:v>Investigate incidents, propose remediation and automate reliability workflows.</x:v>
      </x:c>
      <x:c r="H198" s="32" t="str">
        <x:v>Close</x:v>
      </x:c>
      <x:c r="I198" s="32"/>
      <x:c r="J198" s="32" t="str">
        <x:v>https://azure.microsoft.com/en-gb/products/</x:v>
      </x:c>
      <x:c r="K198" s="32" t="str">
        <x:v>2026-07-12</x:v>
      </x:c>
    </x:row>
    <x:row r="199">
      <x:c r="A199" s="32" t="str">
        <x:v>Microsoft Azure</x:v>
      </x:c>
      <x:c r="B199" s="32" t="str">
        <x:v>Azure Stack Edge</x:v>
      </x:c>
      <x:c r="C199" s="32" t="str">
        <x:v>Named service / product family</x:v>
      </x:c>
      <x:c r="D199" s="32" t="str">
        <x:v>Compute &amp; Application Hosting
Hybrid &amp; Multicloud
Storage</x:v>
      </x:c>
      <x:c r="E199" s="32" t="str">
        <x:v>Edge appliance
Edge compute
Hybrid storage</x:v>
      </x:c>
      <x:c r="F199" s="32" t="str">
        <x:v>Cloud edge appliance
Hybrid storage gateway
Provider edge compute</x:v>
      </x:c>
      <x:c r="G199" s="32" t="str">
        <x:v>Run cloud compute and services near users, devices or telecom networks.</x:v>
      </x:c>
      <x:c r="H199" s="32" t="str">
        <x:v>Close, Partial</x:v>
      </x:c>
      <x:c r="I199" s="32"/>
      <x:c r="J199" s="32" t="str">
        <x:v>https://azure.microsoft.com/en-gb/products/</x:v>
      </x:c>
      <x:c r="K199" s="32" t="str">
        <x:v>2026-07-12</x:v>
      </x:c>
    </x:row>
    <x:row r="200">
      <x:c r="A200" s="32" t="str">
        <x:v>Microsoft Azure</x:v>
      </x:c>
      <x:c r="B200" s="32" t="str">
        <x:v>Azure Stack Hub</x:v>
      </x:c>
      <x:c r="C200" s="32" t="str">
        <x:v>Named service / product family</x:v>
      </x:c>
      <x:c r="D200" s="32" t="str">
        <x:v>Hybrid &amp; Multicloud</x:v>
      </x:c>
      <x:c r="E200" s="32" t="str">
        <x:v>Air-gapped cloud
Hybrid cloud platform</x:v>
      </x:c>
      <x:c r="F200" s="32" t="str">
        <x:v>Air-gapped cloud platform
On-premises cloud infrastructure</x:v>
      </x:c>
      <x:c r="G200" s="32" t="str">
        <x:v>Run provider-consistent cloud services in customer data centres or edge locations.</x:v>
      </x:c>
      <x:c r="H200" s="32" t="str">
        <x:v>Close, Partial</x:v>
      </x:c>
      <x:c r="I200" s="32"/>
      <x:c r="J200" s="32" t="str">
        <x:v>https://azure.microsoft.com/en-gb/products/</x:v>
      </x:c>
      <x:c r="K200" s="32" t="str">
        <x:v>2026-07-12</x:v>
      </x:c>
    </x:row>
    <x:row r="201">
      <x:c r="A201" s="32" t="str">
        <x:v>Microsoft Azure</x:v>
      </x:c>
      <x:c r="B201" s="32" t="str">
        <x:v>Azure Static Web Apps</x:v>
      </x:c>
      <x:c r="C201" s="32" t="str">
        <x:v>Named service / product family</x:v>
      </x:c>
      <x:c r="D201" s="32" t="str">
        <x:v>Compute &amp; Application Hosting</x:v>
      </x:c>
      <x:c r="E201" s="32" t="str">
        <x:v>Static web</x:v>
      </x:c>
      <x:c r="F201" s="32" t="str">
        <x:v>Static web application hosting</x:v>
      </x:c>
      <x:c r="G201" s="32" t="str">
        <x:v>Host globally delivered static sites with integrated deployment workflows.</x:v>
      </x:c>
      <x:c r="H201" s="32" t="str">
        <x:v>Close</x:v>
      </x:c>
      <x:c r="I201" s="32"/>
      <x:c r="J201" s="32" t="str">
        <x:v>https://azure.microsoft.com/en-gb/products/</x:v>
      </x:c>
      <x:c r="K201" s="32" t="str">
        <x:v>2026-07-12</x:v>
      </x:c>
    </x:row>
    <x:row r="202">
      <x:c r="A202" s="32" t="str">
        <x:v>Microsoft Azure</x:v>
      </x:c>
      <x:c r="B202" s="32" t="str">
        <x:v>Azure Storage</x:v>
      </x:c>
      <x:c r="C202" s="32" t="str">
        <x:v>Named service / product family</x:v>
      </x:c>
      <x:c r="D202" s="32" t="str">
        <x:v>Media &amp; Communications</x:v>
      </x:c>
      <x:c r="E202" s="32" t="str">
        <x:v>Video packaging</x:v>
      </x:c>
      <x:c r="F202" s="32" t="str">
        <x:v>Video packaging and origin</x:v>
      </x:c>
      <x:c r="G202" s="32" t="str">
        <x:v>Package live or on-demand video into streaming formats and serve manifests.</x:v>
      </x:c>
      <x:c r="H202" s="32" t="str">
        <x:v>Partial</x:v>
      </x:c>
      <x:c r="I202" s="32"/>
      <x:c r="J202" s="32" t="str">
        <x:v>https://azure.microsoft.com/en-gb/products/</x:v>
      </x:c>
      <x:c r="K202" s="32" t="str">
        <x:v>2026-07-12</x:v>
      </x:c>
    </x:row>
    <x:row r="203">
      <x:c r="A203" s="32" t="str">
        <x:v>Microsoft Azure</x:v>
      </x:c>
      <x:c r="B203" s="32" t="str">
        <x:v>Azure Storage Actions</x:v>
      </x:c>
      <x:c r="C203" s="32" t="str">
        <x:v>Named service / product family</x:v>
      </x:c>
      <x:c r="D203" s="32" t="str">
        <x:v>Storage</x:v>
      </x:c>
      <x:c r="E203" s="32" t="str">
        <x:v>Storage management</x:v>
      </x:c>
      <x:c r="F203" s="32" t="str">
        <x:v>Storage resource management</x:v>
      </x:c>
      <x:c r="G203" s="32" t="str">
        <x:v>Discover, assess and automate actions across cloud storage resources.</x:v>
      </x:c>
      <x:c r="H203" s="32" t="str">
        <x:v>Partial</x:v>
      </x:c>
      <x:c r="I203" s="32"/>
      <x:c r="J203" s="32" t="str">
        <x:v>https://azure.microsoft.com/en-gb/products/</x:v>
      </x:c>
      <x:c r="K203" s="32" t="str">
        <x:v>2026-07-12</x:v>
      </x:c>
    </x:row>
    <x:row r="204">
      <x:c r="A204" s="32" t="str">
        <x:v>Microsoft Azure</x:v>
      </x:c>
      <x:c r="B204" s="32" t="str">
        <x:v>Azure Storage Discovery</x:v>
      </x:c>
      <x:c r="C204" s="32" t="str">
        <x:v>Named service / product family</x:v>
      </x:c>
      <x:c r="D204" s="32" t="str">
        <x:v>Storage</x:v>
      </x:c>
      <x:c r="E204" s="32" t="str">
        <x:v>Storage management</x:v>
      </x:c>
      <x:c r="F204" s="32" t="str">
        <x:v>Storage resource management</x:v>
      </x:c>
      <x:c r="G204" s="32" t="str">
        <x:v>Discover, assess and automate actions across cloud storage resources.</x:v>
      </x:c>
      <x:c r="H204" s="32" t="str">
        <x:v>Partial</x:v>
      </x:c>
      <x:c r="I204" s="32"/>
      <x:c r="J204" s="32" t="str">
        <x:v>https://azure.microsoft.com/en-gb/products/</x:v>
      </x:c>
      <x:c r="K204" s="32" t="str">
        <x:v>2026-07-12</x:v>
      </x:c>
    </x:row>
    <x:row r="205">
      <x:c r="A205" s="32" t="str">
        <x:v>Microsoft Azure</x:v>
      </x:c>
      <x:c r="B205" s="32" t="str">
        <x:v>Azure Storage Mover</x:v>
      </x:c>
      <x:c r="C205" s="32" t="str">
        <x:v>Named service / product family</x:v>
      </x:c>
      <x:c r="D205" s="32" t="str">
        <x:v>Migration &amp; Modernisation
Storage</x:v>
      </x:c>
      <x:c r="E205" s="32" t="str">
        <x:v>Cross-cloud data transfer
Data transfer</x:v>
      </x:c>
      <x:c r="F205" s="32" t="str">
        <x:v>Cross-cloud data movement
Online data transfer</x:v>
      </x:c>
      <x:c r="G205" s="32" t="str">
        <x:v>Transfer large datasets between on-premises systems, clouds and cloud storage.</x:v>
      </x:c>
      <x:c r="H205" s="32" t="str">
        <x:v>Close</x:v>
      </x:c>
      <x:c r="I205" s="32"/>
      <x:c r="J205" s="32" t="str">
        <x:v>https://azure.microsoft.com/en-gb/products/</x:v>
      </x:c>
      <x:c r="K205" s="32" t="str">
        <x:v>2026-07-12</x:v>
      </x:c>
    </x:row>
    <x:row r="206">
      <x:c r="A206" s="32" t="str">
        <x:v>Microsoft Azure</x:v>
      </x:c>
      <x:c r="B206" s="32" t="str">
        <x:v>Azure Storage SFTP</x:v>
      </x:c>
      <x:c r="C206" s="32" t="str">
        <x:v>Named service / product family</x:v>
      </x:c>
      <x:c r="D206" s="32" t="str">
        <x:v>Migration &amp; Modernisation</x:v>
      </x:c>
      <x:c r="E206" s="32" t="str">
        <x:v>File transfer</x:v>
      </x:c>
      <x:c r="F206" s="32" t="str">
        <x:v>Managed file transfer</x:v>
      </x:c>
      <x:c r="G206" s="32" t="str">
        <x:v>Transfer files using managed SFTP, FTPS or FTP endpoints.</x:v>
      </x:c>
      <x:c r="H206" s="32" t="str">
        <x:v>Partial</x:v>
      </x:c>
      <x:c r="I206" s="32"/>
      <x:c r="J206" s="32" t="str">
        <x:v>https://azure.microsoft.com/en-gb/products/</x:v>
      </x:c>
      <x:c r="K206" s="32" t="str">
        <x:v>2026-07-12</x:v>
      </x:c>
    </x:row>
    <x:row r="207">
      <x:c r="A207" s="32" t="str">
        <x:v>Microsoft Azure</x:v>
      </x:c>
      <x:c r="B207" s="32" t="str">
        <x:v>Azure Stream Analytics</x:v>
      </x:c>
      <x:c r="C207" s="32" t="str">
        <x:v>Named service / product family</x:v>
      </x:c>
      <x:c r="D207" s="32" t="str">
        <x:v>Data, Analytics &amp; BI
IoT &amp; Edge</x:v>
      </x:c>
      <x:c r="E207" s="32" t="str">
        <x:v>Event detection
Stream processing</x:v>
      </x:c>
      <x:c r="F207" s="32" t="str">
        <x:v>IoT event detection
Managed stream processing</x:v>
      </x:c>
      <x:c r="G207" s="32" t="str">
        <x:v>Process and transform continuously arriving data with low latency.</x:v>
      </x:c>
      <x:c r="H207" s="32" t="str">
        <x:v>Close, Partial</x:v>
      </x:c>
      <x:c r="I207" s="32"/>
      <x:c r="J207" s="32" t="str">
        <x:v>https://azure.microsoft.com/en-gb/products/</x:v>
      </x:c>
      <x:c r="K207" s="32" t="str">
        <x:v>2026-07-12</x:v>
      </x:c>
    </x:row>
    <x:row r="208">
      <x:c r="A208" s="32" t="str">
        <x:v>Microsoft Azure</x:v>
      </x:c>
      <x:c r="B208" s="32" t="str">
        <x:v>Azure Subscriptions</x:v>
      </x:c>
      <x:c r="C208" s="32" t="str">
        <x:v>Named service / product family</x:v>
      </x:c>
      <x:c r="D208" s="32" t="str">
        <x:v>Governance &amp; Management</x:v>
      </x:c>
      <x:c r="E208" s="32" t="str">
        <x:v>Organisation governance</x:v>
      </x:c>
      <x:c r="F208" s="32" t="str">
        <x:v>Cloud organisation and account hierarchy</x:v>
      </x:c>
      <x:c r="G208" s="32" t="str">
        <x:v>Centrally organise subscriptions/accounts/projects, apply hierarchy and consolidate governance.</x:v>
      </x:c>
      <x:c r="H208" s="32" t="str">
        <x:v>Exact</x:v>
      </x:c>
      <x:c r="I208" s="32"/>
      <x:c r="J208" s="32" t="str">
        <x:v>https://azure.microsoft.com/en-gb/products/</x:v>
      </x:c>
      <x:c r="K208" s="32" t="str">
        <x:v>2026-07-12</x:v>
      </x:c>
    </x:row>
    <x:row r="209">
      <x:c r="A209" s="32" t="str">
        <x:v>Microsoft Azure</x:v>
      </x:c>
      <x:c r="B209" s="32" t="str">
        <x:v>Azure Synapse Analytics</x:v>
      </x:c>
      <x:c r="C209" s="32" t="str">
        <x:v>Named service / product family</x:v>
      </x:c>
      <x:c r="D209" s="32" t="str">
        <x:v>Data, Analytics &amp; BI</x:v>
      </x:c>
      <x:c r="E209" s="32" t="str">
        <x:v>Data warehouse</x:v>
      </x:c>
      <x:c r="F209" s="32" t="str">
        <x:v>Cloud data warehouse</x:v>
      </x:c>
      <x:c r="G209" s="32" t="str">
        <x:v>Run scalable analytical SQL workloads over structured and semi-structured data.</x:v>
      </x:c>
      <x:c r="H209" s="32" t="str">
        <x:v>Close</x:v>
      </x:c>
      <x:c r="I209" s="32"/>
      <x:c r="J209" s="32" t="str">
        <x:v>https://azure.microsoft.com/en-gb/products/</x:v>
      </x:c>
      <x:c r="K209" s="32" t="str">
        <x:v>2026-07-12</x:v>
      </x:c>
    </x:row>
    <x:row r="210">
      <x:c r="A210" s="32" t="str">
        <x:v>Microsoft Azure</x:v>
      </x:c>
      <x:c r="B210" s="32" t="str">
        <x:v>Azure Synapse serverless SQL</x:v>
      </x:c>
      <x:c r="C210" s="32" t="str">
        <x:v>Named service / product family</x:v>
      </x:c>
      <x:c r="D210" s="32" t="str">
        <x:v>Data, Analytics &amp; BI</x:v>
      </x:c>
      <x:c r="E210" s="32" t="str">
        <x:v>Serverless SQL</x:v>
      </x:c>
      <x:c r="F210" s="32" t="str">
        <x:v>Serverless query over data lake</x:v>
      </x:c>
      <x:c r="G210" s="32" t="str">
        <x:v>Query files in object storage using SQL without managing database servers.</x:v>
      </x:c>
      <x:c r="H210" s="32" t="str">
        <x:v>Close</x:v>
      </x:c>
      <x:c r="I210" s="32"/>
      <x:c r="J210" s="32" t="str">
        <x:v>https://azure.microsoft.com/en-gb/products/</x:v>
      </x:c>
      <x:c r="K210" s="32" t="str">
        <x:v>2026-07-12</x:v>
      </x:c>
    </x:row>
    <x:row r="211">
      <x:c r="A211" s="32" t="str">
        <x:v>Microsoft Azure</x:v>
      </x:c>
      <x:c r="B211" s="32" t="str">
        <x:v>Azure Traffic Manager</x:v>
      </x:c>
      <x:c r="C211" s="32" t="str">
        <x:v>Named service / product family</x:v>
      </x:c>
      <x:c r="D211" s="32" t="str">
        <x:v>Networking</x:v>
      </x:c>
      <x:c r="E211" s="32" t="str">
        <x:v>Traffic management</x:v>
      </x:c>
      <x:c r="F211" s="32" t="str">
        <x:v>DNS-based traffic management</x:v>
      </x:c>
      <x:c r="G211" s="32" t="str">
        <x:v>Route traffic across endpoints using health, latency, geography or weighted policies.</x:v>
      </x:c>
      <x:c r="H211" s="32" t="str">
        <x:v>Close</x:v>
      </x:c>
      <x:c r="I211" s="32"/>
      <x:c r="J211" s="32" t="str">
        <x:v>https://azure.microsoft.com/en-gb/products/</x:v>
      </x:c>
      <x:c r="K211" s="32" t="str">
        <x:v>2026-07-12</x:v>
      </x:c>
    </x:row>
    <x:row r="212">
      <x:c r="A212" s="32" t="str">
        <x:v>Microsoft Azure</x:v>
      </x:c>
      <x:c r="B212" s="32" t="str">
        <x:v>Azure Translator</x:v>
      </x:c>
      <x:c r="C212" s="32" t="str">
        <x:v>Named service / product family</x:v>
      </x:c>
      <x:c r="D212" s="32" t="str">
        <x:v>AI &amp; Machine Learning</x:v>
      </x:c>
      <x:c r="E212" s="32" t="str">
        <x:v>Translation</x:v>
      </x:c>
      <x:c r="F212" s="32" t="str">
        <x:v>Machine translation</x:v>
      </x:c>
      <x:c r="G212" s="32" t="str">
        <x:v>Translate text and documents between languages using managed AI.</x:v>
      </x:c>
      <x:c r="H212" s="32" t="str">
        <x:v>Exact</x:v>
      </x:c>
      <x:c r="I212" s="32"/>
      <x:c r="J212" s="32" t="str">
        <x:v>https://azure.microsoft.com/en-gb/products/</x:v>
      </x:c>
      <x:c r="K212" s="32" t="str">
        <x:v>2026-07-12</x:v>
      </x:c>
    </x:row>
    <x:row r="213">
      <x:c r="A213" s="32" t="str">
        <x:v>Microsoft Azure</x:v>
      </x:c>
      <x:c r="B213" s="32" t="str">
        <x:v>Azure Update Manager</x:v>
      </x:c>
      <x:c r="C213" s="32" t="str">
        <x:v>Named service / product family</x:v>
      </x:c>
      <x:c r="D213" s="32" t="str">
        <x:v>Governance &amp; Management
Observability &amp; Reliability</x:v>
      </x:c>
      <x:c r="E213" s="32" t="str">
        <x:v>Operations automation
Status and maintenance</x:v>
      </x:c>
      <x:c r="F213" s="32" t="str">
        <x:v>Cloud operations automation
Maintenance coordination</x:v>
      </x:c>
      <x:c r="G213" s="32" t="str">
        <x:v>Automate patching, runbooks, configuration and routine operational actions.</x:v>
      </x:c>
      <x:c r="H213" s="32" t="str">
        <x:v>Close</x:v>
      </x:c>
      <x:c r="I213" s="32"/>
      <x:c r="J213" s="32" t="str">
        <x:v>https://azure.microsoft.com/en-gb/products/</x:v>
      </x:c>
      <x:c r="K213" s="32" t="str">
        <x:v>2026-07-12</x:v>
      </x:c>
    </x:row>
    <x:row r="214">
      <x:c r="A214" s="32" t="str">
        <x:v>Microsoft Azure</x:v>
      </x:c>
      <x:c r="B214" s="32" t="str">
        <x:v>Azure Virtual Desktop</x:v>
      </x:c>
      <x:c r="C214" s="32" t="str">
        <x:v>Named service / product family</x:v>
      </x:c>
      <x:c r="D214" s="32" t="str">
        <x:v>End-User Computing &amp; Business Apps</x:v>
      </x:c>
      <x:c r="E214" s="32" t="str">
        <x:v>Virtual desktops</x:v>
      </x:c>
      <x:c r="F214" s="32" t="str">
        <x:v>Managed virtual desktop</x:v>
      </x:c>
      <x:c r="G214" s="32" t="str">
        <x:v>Deliver cloud-hosted desktops and applications to end users.</x:v>
      </x:c>
      <x:c r="H214" s="32" t="str">
        <x:v>Partial</x:v>
      </x:c>
      <x:c r="I214" s="32"/>
      <x:c r="J214" s="32" t="str">
        <x:v>https://azure.microsoft.com/en-gb/products/</x:v>
      </x:c>
      <x:c r="K214" s="32" t="str">
        <x:v>2026-07-12</x:v>
      </x:c>
    </x:row>
    <x:row r="215">
      <x:c r="A215" s="32" t="str">
        <x:v>Microsoft Azure</x:v>
      </x:c>
      <x:c r="B215" s="32" t="str">
        <x:v>Azure Virtual Desktop RemoteApp</x:v>
      </x:c>
      <x:c r="C215" s="32" t="str">
        <x:v>Named service / product family</x:v>
      </x:c>
      <x:c r="D215" s="32" t="str">
        <x:v>End-User Computing &amp; Business Apps</x:v>
      </x:c>
      <x:c r="E215" s="32" t="str">
        <x:v>Application streaming</x:v>
      </x:c>
      <x:c r="F215" s="32" t="str">
        <x:v>Application streaming</x:v>
      </x:c>
      <x:c r="G215" s="32" t="str">
        <x:v>Stream centrally managed desktop applications to users without full local installation.</x:v>
      </x:c>
      <x:c r="H215" s="32" t="str">
        <x:v>Close</x:v>
      </x:c>
      <x:c r="I215" s="32"/>
      <x:c r="J215" s="32" t="str">
        <x:v>https://azure.microsoft.com/en-gb/products/</x:v>
      </x:c>
      <x:c r="K215" s="32" t="str">
        <x:v>2026-07-12</x:v>
      </x:c>
    </x:row>
    <x:row r="216">
      <x:c r="A216" s="32" t="str">
        <x:v>Microsoft Azure</x:v>
      </x:c>
      <x:c r="B216" s="32" t="str">
        <x:v>Azure Virtual Machines</x:v>
      </x:c>
      <x:c r="C216" s="32" t="str">
        <x:v>Named service / product family</x:v>
      </x:c>
      <x:c r="D216" s="32" t="str">
        <x:v>Compute &amp; Application Hosting</x:v>
      </x:c>
      <x:c r="E216" s="32" t="str">
        <x:v>Virtual machines</x:v>
      </x:c>
      <x:c r="F216" s="32" t="str">
        <x:v>General-purpose virtual machines</x:v>
      </x:c>
      <x:c r="G216" s="32" t="str">
        <x:v>Provision resizable virtual machines with selectable operating systems and hardware.</x:v>
      </x:c>
      <x:c r="H216" s="32" t="str">
        <x:v>Exact</x:v>
      </x:c>
      <x:c r="I216" s="32"/>
      <x:c r="J216" s="32" t="str">
        <x:v>https://azure.microsoft.com/en-gb/products/</x:v>
      </x:c>
      <x:c r="K216" s="32" t="str">
        <x:v>2026-07-12</x:v>
      </x:c>
    </x:row>
    <x:row r="217">
      <x:c r="A217" s="32" t="str">
        <x:v>Microsoft Azure</x:v>
      </x:c>
      <x:c r="B217" s="32" t="str">
        <x:v>Azure Virtual Network</x:v>
      </x:c>
      <x:c r="C217" s="32" t="str">
        <x:v>Named service / product family</x:v>
      </x:c>
      <x:c r="D217" s="32" t="str">
        <x:v>Networking</x:v>
      </x:c>
      <x:c r="E217" s="32" t="str">
        <x:v>Virtual network</x:v>
      </x:c>
      <x:c r="F217" s="32" t="str">
        <x:v>Virtual private network</x:v>
      </x:c>
      <x:c r="G217" s="32" t="str">
        <x:v>Create logically isolated cloud networks, subnets, routing and private addressing.</x:v>
      </x:c>
      <x:c r="H217" s="32" t="str">
        <x:v>Exact</x:v>
      </x:c>
      <x:c r="I217" s="32"/>
      <x:c r="J217" s="32" t="str">
        <x:v>https://azure.microsoft.com/en-gb/products/</x:v>
      </x:c>
      <x:c r="K217" s="32" t="str">
        <x:v>2026-07-12</x:v>
      </x:c>
    </x:row>
    <x:row r="218">
      <x:c r="A218" s="32" t="str">
        <x:v>Microsoft Azure</x:v>
      </x:c>
      <x:c r="B218" s="32" t="str">
        <x:v>Azure Virtual Network Manager</x:v>
      </x:c>
      <x:c r="C218" s="32" t="str">
        <x:v>Named service / product family</x:v>
      </x:c>
      <x:c r="D218" s="32" t="str">
        <x:v>Networking</x:v>
      </x:c>
      <x:c r="E218" s="32" t="str">
        <x:v>Network management</x:v>
      </x:c>
      <x:c r="F218" s="32" t="str">
        <x:v>Central network management</x:v>
      </x:c>
      <x:c r="G218" s="32" t="str">
        <x:v>Centrally configure and govern virtual networks, connectivity and routing.</x:v>
      </x:c>
      <x:c r="H218" s="32" t="str">
        <x:v>Close</x:v>
      </x:c>
      <x:c r="I218" s="32"/>
      <x:c r="J218" s="32" t="str">
        <x:v>https://azure.microsoft.com/en-gb/products/</x:v>
      </x:c>
      <x:c r="K218" s="32" t="str">
        <x:v>2026-07-12</x:v>
      </x:c>
    </x:row>
    <x:row r="219">
      <x:c r="A219" s="32" t="str">
        <x:v>Microsoft Azure</x:v>
      </x:c>
      <x:c r="B219" s="32" t="str">
        <x:v>Azure Virtual WAN</x:v>
      </x:c>
      <x:c r="C219" s="32" t="str">
        <x:v>Named service / product family</x:v>
      </x:c>
      <x:c r="D219" s="32" t="str">
        <x:v>Networking</x:v>
      </x:c>
      <x:c r="E219" s="32" t="str">
        <x:v>Transit networking</x:v>
      </x:c>
      <x:c r="F219" s="32" t="str">
        <x:v>Cloud network transit hub</x:v>
      </x:c>
      <x:c r="G219" s="32" t="str">
        <x:v>Connect many virtual networks, branches and hybrid links through a central hub.</x:v>
      </x:c>
      <x:c r="H219" s="32" t="str">
        <x:v>Close</x:v>
      </x:c>
      <x:c r="I219" s="32"/>
      <x:c r="J219" s="32" t="str">
        <x:v>https://azure.microsoft.com/en-gb/products/</x:v>
      </x:c>
      <x:c r="K219" s="32" t="str">
        <x:v>2026-07-12</x:v>
      </x:c>
    </x:row>
    <x:row r="220">
      <x:c r="A220" s="32" t="str">
        <x:v>Microsoft Azure</x:v>
      </x:c>
      <x:c r="B220" s="32" t="str">
        <x:v>Azure Vision</x:v>
      </x:c>
      <x:c r="C220" s="32" t="str">
        <x:v>Named service / product family</x:v>
      </x:c>
      <x:c r="D220" s="32" t="str">
        <x:v>AI &amp; Machine Learning</x:v>
      </x:c>
      <x:c r="E220" s="32" t="str">
        <x:v>Vision</x:v>
      </x:c>
      <x:c r="F220" s="32" t="str">
        <x:v>Image analysis</x:v>
      </x:c>
      <x:c r="G220" s="32" t="str">
        <x:v>Detect, classify and extract information from images.</x:v>
      </x:c>
      <x:c r="H220" s="32" t="str">
        <x:v>Exact</x:v>
      </x:c>
      <x:c r="I220" s="32"/>
      <x:c r="J220" s="32" t="str">
        <x:v>https://azure.microsoft.com/en-gb/products/</x:v>
      </x:c>
      <x:c r="K220" s="32" t="str">
        <x:v>2026-07-12</x:v>
      </x:c>
    </x:row>
    <x:row r="221">
      <x:c r="A221" s="32" t="str">
        <x:v>Microsoft Azure</x:v>
      </x:c>
      <x:c r="B221" s="32" t="str">
        <x:v>Azure VM Image Builder</x:v>
      </x:c>
      <x:c r="C221" s="32" t="str">
        <x:v>Named service / product family</x:v>
      </x:c>
      <x:c r="D221" s="32" t="str">
        <x:v>Compute &amp; Application Hosting</x:v>
      </x:c>
      <x:c r="E221" s="32" t="str">
        <x:v>Image management</x:v>
      </x:c>
      <x:c r="F221" s="32" t="str">
        <x:v>Machine image builder</x:v>
      </x:c>
      <x:c r="G221" s="32" t="str">
        <x:v>Automate creation, validation and distribution of hardened machine images.</x:v>
      </x:c>
      <x:c r="H221" s="32" t="str">
        <x:v>Close</x:v>
      </x:c>
      <x:c r="I221" s="32"/>
      <x:c r="J221" s="32" t="str">
        <x:v>https://azure.microsoft.com/en-gb/products/</x:v>
      </x:c>
      <x:c r="K221" s="32" t="str">
        <x:v>2026-07-12</x:v>
      </x:c>
    </x:row>
    <x:row r="222">
      <x:c r="A222" s="32" t="str">
        <x:v>Microsoft Azure</x:v>
      </x:c>
      <x:c r="B222" s="32" t="str">
        <x:v>Azure VMware Solution</x:v>
      </x:c>
      <x:c r="C222" s="32" t="str">
        <x:v>Named service / product family</x:v>
      </x:c>
      <x:c r="D222" s="32" t="str">
        <x:v>Compute &amp; Application Hosting</x:v>
      </x:c>
      <x:c r="E222" s="32" t="str">
        <x:v>VMware</x:v>
      </x:c>
      <x:c r="F222" s="32" t="str">
        <x:v>Managed VMware cloud</x:v>
      </x:c>
      <x:c r="G222" s="32" t="str">
        <x:v>Run VMware environments on cloud infrastructure with familiar VMware tooling.</x:v>
      </x:c>
      <x:c r="H222" s="32" t="str">
        <x:v>Exact</x:v>
      </x:c>
      <x:c r="I222" s="32"/>
      <x:c r="J222" s="32" t="str">
        <x:v>https://azure.microsoft.com/en-gb/products/</x:v>
      </x:c>
      <x:c r="K222" s="32" t="str">
        <x:v>2026-07-12</x:v>
      </x:c>
    </x:row>
    <x:row r="223">
      <x:c r="A223" s="32" t="str">
        <x:v>Microsoft Azure</x:v>
      </x:c>
      <x:c r="B223" s="32" t="str">
        <x:v>Azure VPN Gateway</x:v>
      </x:c>
      <x:c r="C223" s="32" t="str">
        <x:v>Named service / product family</x:v>
      </x:c>
      <x:c r="D223" s="32" t="str">
        <x:v>Networking</x:v>
      </x:c>
      <x:c r="E223" s="32" t="str">
        <x:v>Hybrid connectivity</x:v>
      </x:c>
      <x:c r="F223" s="32" t="str">
        <x:v>Site-to-site VPN</x:v>
      </x:c>
      <x:c r="G223" s="32" t="str">
        <x:v>Connect on-premises networks to cloud virtual networks through encrypted tunnels.</x:v>
      </x:c>
      <x:c r="H223" s="32" t="str">
        <x:v>Exact</x:v>
      </x:c>
      <x:c r="I223" s="32"/>
      <x:c r="J223" s="32" t="str">
        <x:v>https://azure.microsoft.com/en-gb/products/</x:v>
      </x:c>
      <x:c r="K223" s="32" t="str">
        <x:v>2026-07-12</x:v>
      </x:c>
    </x:row>
    <x:row r="224">
      <x:c r="A224" s="32" t="str">
        <x:v>Microsoft Azure</x:v>
      </x:c>
      <x:c r="B224" s="32" t="str">
        <x:v>Azure Web Application Firewall</x:v>
      </x:c>
      <x:c r="C224" s="32" t="str">
        <x:v>Named service / product family</x:v>
      </x:c>
      <x:c r="D224" s="32" t="str">
        <x:v>Security, Identity &amp; Compliance</x:v>
      </x:c>
      <x:c r="E224" s="32" t="str">
        <x:v>Web security</x:v>
      </x:c>
      <x:c r="F224" s="32" t="str">
        <x:v>Web application firewall</x:v>
      </x:c>
      <x:c r="G224" s="32" t="str">
        <x:v>Protect web applications from common exploits and malicious HTTP traffic.</x:v>
      </x:c>
      <x:c r="H224" s="32" t="str">
        <x:v>Exact</x:v>
      </x:c>
      <x:c r="I224" s="32"/>
      <x:c r="J224" s="32" t="str">
        <x:v>https://azure.microsoft.com/en-gb/products/</x:v>
      </x:c>
      <x:c r="K224" s="32" t="str">
        <x:v>2026-07-12</x:v>
      </x:c>
    </x:row>
    <x:row r="225">
      <x:c r="A225" s="32" t="str">
        <x:v>Microsoft Azure</x:v>
      </x:c>
      <x:c r="B225" s="32" t="str">
        <x:v>Azure Web PubSub</x:v>
      </x:c>
      <x:c r="C225" s="32" t="str">
        <x:v>Named service / product family</x:v>
      </x:c>
      <x:c r="D225" s="32" t="str">
        <x:v>Application Integration</x:v>
      </x:c>
      <x:c r="E225" s="32" t="str">
        <x:v>Real-time messaging</x:v>
      </x:c>
      <x:c r="F225" s="32" t="str">
        <x:v>Managed real-time web messaging</x:v>
      </x:c>
      <x:c r="G225" s="32" t="str">
        <x:v>Deliver low-latency bidirectional messages to connected web and mobile clients.</x:v>
      </x:c>
      <x:c r="H225" s="32" t="str">
        <x:v>Partial</x:v>
      </x:c>
      <x:c r="I225" s="32"/>
      <x:c r="J225" s="32" t="str">
        <x:v>https://azure.microsoft.com/en-gb/products/</x:v>
      </x:c>
      <x:c r="K225" s="32" t="str">
        <x:v>2026-07-12</x:v>
      </x:c>
    </x:row>
    <x:row r="226">
      <x:c r="A226" s="32" t="str">
        <x:v>Microsoft Azure</x:v>
      </x:c>
      <x:c r="B226" s="32" t="str">
        <x:v>Azure Well-Architected Review</x:v>
      </x:c>
      <x:c r="C226" s="32" t="str">
        <x:v>Named service / product family</x:v>
      </x:c>
      <x:c r="D226" s="32" t="str">
        <x:v>Governance &amp; Management</x:v>
      </x:c>
      <x:c r="E226" s="32" t="str">
        <x:v>Architecture assurance</x:v>
      </x:c>
      <x:c r="F226" s="32" t="str">
        <x:v>Well-architected assessment</x:v>
      </x:c>
      <x:c r="G226" s="32" t="str">
        <x:v>Assess workloads against cloud architecture, resilience, security and cost practices.</x:v>
      </x:c>
      <x:c r="H226" s="32" t="str">
        <x:v>Close</x:v>
      </x:c>
      <x:c r="I226" s="32"/>
      <x:c r="J226" s="32" t="str">
        <x:v>https://azure.microsoft.com/en-gb/products/</x:v>
      </x:c>
      <x:c r="K226" s="32" t="str">
        <x:v>2026-07-12</x:v>
      </x:c>
    </x:row>
    <x:row r="227">
      <x:c r="A227" s="32" t="str">
        <x:v>Microsoft Azure</x:v>
      </x:c>
      <x:c r="B227" s="32" t="str">
        <x:v>Bicep</x:v>
      </x:c>
      <x:c r="C227" s="32" t="str">
        <x:v>Named service / product family</x:v>
      </x:c>
      <x:c r="D227" s="32" t="str">
        <x:v>Governance &amp; Management</x:v>
      </x:c>
      <x:c r="E227" s="32" t="str">
        <x:v>Infrastructure as code</x:v>
      </x:c>
      <x:c r="F227" s="32" t="str">
        <x:v>Native infrastructure as code</x:v>
      </x:c>
      <x:c r="G227" s="32" t="str">
        <x:v>Provision and manage cloud resources from declarative templates.</x:v>
      </x:c>
      <x:c r="H227" s="32" t="str">
        <x:v>Close</x:v>
      </x:c>
      <x:c r="I227" s="32"/>
      <x:c r="J227" s="32" t="str">
        <x:v>https://azure.microsoft.com/en-gb/products/</x:v>
      </x:c>
      <x:c r="K227" s="32" t="str">
        <x:v>2026-07-12</x:v>
      </x:c>
    </x:row>
    <x:row r="228">
      <x:c r="A228" s="32" t="str">
        <x:v>Microsoft Azure</x:v>
      </x:c>
      <x:c r="B228" s="32" t="str">
        <x:v>Confluent Cloud on Azure</x:v>
      </x:c>
      <x:c r="C228" s="32" t="str">
        <x:v>Named service / product family</x:v>
      </x:c>
      <x:c r="D228" s="32" t="str">
        <x:v>Data, Analytics &amp; BI</x:v>
      </x:c>
      <x:c r="E228" s="32" t="str">
        <x:v>Kafka</x:v>
      </x:c>
      <x:c r="F228" s="32" t="str">
        <x:v>Managed Apache Kafka</x:v>
      </x:c>
      <x:c r="G228" s="32" t="str">
        <x:v>Operate Apache Kafka clusters as a managed service.</x:v>
      </x:c>
      <x:c r="H228" s="32" t="str">
        <x:v>Close</x:v>
      </x:c>
      <x:c r="I228" s="32"/>
      <x:c r="J228" s="32" t="str">
        <x:v>https://azure.microsoft.com/en-gb/products/</x:v>
      </x:c>
      <x:c r="K228" s="32" t="str">
        <x:v>2026-07-12</x:v>
      </x:c>
    </x:row>
    <x:row r="229">
      <x:c r="A229" s="32" t="str">
        <x:v>Microsoft Azure</x:v>
      </x:c>
      <x:c r="B229" s="32" t="str">
        <x:v>Cost allocation rules</x:v>
      </x:c>
      <x:c r="C229" s="32" t="str">
        <x:v>Named service / product family</x:v>
      </x:c>
      <x:c r="D229" s="32" t="str">
        <x:v>FinOps &amp; Commercial</x:v>
      </x:c>
      <x:c r="E229" s="32" t="str">
        <x:v>Billing allocation</x:v>
      </x:c>
      <x:c r="F229" s="32" t="str">
        <x:v>Custom billing and chargeback</x:v>
      </x:c>
      <x:c r="G229" s="32" t="str">
        <x:v>Allocate, group and charge back cloud costs to internal entities.</x:v>
      </x:c>
      <x:c r="H229" s="32" t="str">
        <x:v>Close</x:v>
      </x:c>
      <x:c r="I229" s="32"/>
      <x:c r="J229" s="32" t="str">
        <x:v>https://azure.microsoft.com/en-gb/products/</x:v>
      </x:c>
      <x:c r="K229" s="32" t="str">
        <x:v>2026-07-12</x:v>
      </x:c>
    </x:row>
    <x:row r="230">
      <x:c r="A230" s="32" t="str">
        <x:v>Microsoft Azure</x:v>
      </x:c>
      <x:c r="B230" s="32" t="str">
        <x:v>Customer Lockbox for Microsoft Azure</x:v>
      </x:c>
      <x:c r="C230" s="32" t="str">
        <x:v>Named service / product family</x:v>
      </x:c>
      <x:c r="D230" s="32" t="str">
        <x:v>Security, Identity &amp; Compliance</x:v>
      </x:c>
      <x:c r="E230" s="32" t="str">
        <x:v>Access transparency</x:v>
      </x:c>
      <x:c r="F230" s="32" t="str">
        <x:v>Provider access transparency</x:v>
      </x:c>
      <x:c r="G230" s="32" t="str">
        <x:v>Show when and why provider personnel accessed customer content.</x:v>
      </x:c>
      <x:c r="H230" s="32" t="str">
        <x:v>Partial</x:v>
      </x:c>
      <x:c r="I230" s="32"/>
      <x:c r="J230" s="32" t="str">
        <x:v>https://azure.microsoft.com/en-gb/products/</x:v>
      </x:c>
      <x:c r="K230" s="32" t="str">
        <x:v>2026-07-12</x:v>
      </x:c>
    </x:row>
    <x:row r="231">
      <x:c r="A231" s="32" t="str">
        <x:v>Microsoft Azure</x:v>
      </x:c>
      <x:c r="B231" s="32" t="str">
        <x:v>Data Science Virtual Machines</x:v>
      </x:c>
      <x:c r="C231" s="32" t="str">
        <x:v>Named service / product family</x:v>
      </x:c>
      <x:c r="D231" s="32" t="str">
        <x:v>AI &amp; Machine Learning</x:v>
      </x:c>
      <x:c r="E231" s="32" t="str">
        <x:v>ML workbench</x:v>
      </x:c>
      <x:c r="F231" s="32" t="str">
        <x:v>Managed data-science notebooks</x:v>
      </x:c>
      <x:c r="G231" s="32" t="str">
        <x:v>Provide managed notebook environments for data exploration and model development.</x:v>
      </x:c>
      <x:c r="H231" s="32" t="str">
        <x:v>Close</x:v>
      </x:c>
      <x:c r="I231" s="32"/>
      <x:c r="J231" s="32" t="str">
        <x:v>https://azure.microsoft.com/en-gb/products/</x:v>
      </x:c>
      <x:c r="K231" s="32" t="str">
        <x:v>2026-07-12</x:v>
      </x:c>
    </x:row>
    <x:row r="232">
      <x:c r="A232" s="32" t="str">
        <x:v>Microsoft Azure</x:v>
      </x:c>
      <x:c r="B232" s="32" t="str">
        <x:v>dbt integrations</x:v>
      </x:c>
      <x:c r="C232" s="32" t="str">
        <x:v>Architecture / partner alternative</x:v>
      </x:c>
      <x:c r="D232" s="32" t="str">
        <x:v>Data, Analytics &amp; BI</x:v>
      </x:c>
      <x:c r="E232" s="32" t="str">
        <x:v>ELT</x:v>
      </x:c>
      <x:c r="F232" s="32" t="str">
        <x:v>SQL transformation and modelling</x:v>
      </x:c>
      <x:c r="G232" s="32" t="str">
        <x:v>Transform warehouse data through managed SQL development and dependency workflows.</x:v>
      </x:c>
      <x:c r="H232" s="32" t="str">
        <x:v>Close</x:v>
      </x:c>
      <x:c r="I232" s="32"/>
      <x:c r="J232" s="32" t="str">
        <x:v>https://azure.microsoft.com/en-gb/products/</x:v>
      </x:c>
      <x:c r="K232" s="32" t="str">
        <x:v>2026-07-12</x:v>
      </x:c>
    </x:row>
    <x:row r="233">
      <x:c r="A233" s="32" t="str">
        <x:v>Microsoft Azure</x:v>
      </x:c>
      <x:c r="B233" s="32" t="str">
        <x:v>Defender for Cloud</x:v>
      </x:c>
      <x:c r="C233" s="32" t="str">
        <x:v>Named service / product family</x:v>
      </x:c>
      <x:c r="D233" s="32" t="str">
        <x:v>Security, Identity &amp; Compliance</x:v>
      </x:c>
      <x:c r="E233" s="32" t="str">
        <x:v>Vulnerability management</x:v>
      </x:c>
      <x:c r="F233" s="32" t="str">
        <x:v>Workload vulnerability assessment</x:v>
      </x:c>
      <x:c r="G233" s="32" t="str">
        <x:v>Scan virtual machines, containers and software packages for vulnerabilities.</x:v>
      </x:c>
      <x:c r="H233" s="32" t="str">
        <x:v>Close</x:v>
      </x:c>
      <x:c r="I233" s="32"/>
      <x:c r="J233" s="32" t="str">
        <x:v>https://azure.microsoft.com/en-gb/products/</x:v>
      </x:c>
      <x:c r="K233" s="32" t="str">
        <x:v>2026-07-12</x:v>
      </x:c>
    </x:row>
    <x:row r="234">
      <x:c r="A234" s="32" t="str">
        <x:v>Microsoft Azure</x:v>
      </x:c>
      <x:c r="B234" s="32" t="str">
        <x:v>Durable Functions</x:v>
      </x:c>
      <x:c r="C234" s="32" t="str">
        <x:v>Named service / product family</x:v>
      </x:c>
      <x:c r="D234" s="32" t="str">
        <x:v>Application Integration</x:v>
      </x:c>
      <x:c r="E234" s="32" t="str">
        <x:v>Workflow</x:v>
      </x:c>
      <x:c r="F234" s="32" t="str">
        <x:v>Serverless workflow orchestration</x:v>
      </x:c>
      <x:c r="G234" s="32" t="str">
        <x:v>Coordinate services and application steps using durable stateful workflows.</x:v>
      </x:c>
      <x:c r="H234" s="32" t="str">
        <x:v>Close</x:v>
      </x:c>
      <x:c r="I234" s="32"/>
      <x:c r="J234" s="32" t="str">
        <x:v>https://azure.microsoft.com/en-gb/products/</x:v>
      </x:c>
      <x:c r="K234" s="32" t="str">
        <x:v>2026-07-12</x:v>
      </x:c>
    </x:row>
    <x:row r="235">
      <x:c r="A235" s="32" t="str">
        <x:v>Microsoft Azure</x:v>
      </x:c>
      <x:c r="B235" s="32" t="str">
        <x:v>Dynamics 365 Commerce</x:v>
      </x:c>
      <x:c r="C235" s="32" t="str">
        <x:v>Named service / product family</x:v>
      </x:c>
      <x:c r="D235" s="32" t="str">
        <x:v>Industry &amp; Specialist</x:v>
      </x:c>
      <x:c r="E235" s="32" t="str">
        <x:v>Retail search</x:v>
      </x:c>
      <x:c r="F235" s="32" t="str">
        <x:v>Retail product search and discovery</x:v>
      </x:c>
      <x:c r="G235" s="32" t="str">
        <x:v>Provide semantic product search, recommendations and retail discovery.</x:v>
      </x:c>
      <x:c r="H235" s="32" t="str">
        <x:v>Close</x:v>
      </x:c>
      <x:c r="I235" s="32"/>
      <x:c r="J235" s="32" t="str">
        <x:v>https://azure.microsoft.com/en-gb/products/</x:v>
      </x:c>
      <x:c r="K235" s="32" t="str">
        <x:v>2026-07-12</x:v>
      </x:c>
    </x:row>
    <x:row r="236">
      <x:c r="A236" s="32" t="str">
        <x:v>Microsoft Azure</x:v>
      </x:c>
      <x:c r="B236" s="32" t="str">
        <x:v>Dynamics 365 Contact Center</x:v>
      </x:c>
      <x:c r="C236" s="32" t="str">
        <x:v>Named service / product family</x:v>
      </x:c>
      <x:c r="D236" s="32" t="str">
        <x:v>AI &amp; Machine Learning
End-User Computing &amp; Business Apps</x:v>
      </x:c>
      <x:c r="E236" s="32" t="str">
        <x:v>Contact centre
Contact-centre AI</x:v>
      </x:c>
      <x:c r="F236" s="32" t="str">
        <x:v>Agent assistance and conversation analytics
Cloud contact centre</x:v>
      </x:c>
      <x:c r="G236" s="32" t="str">
        <x:v>Assist human contact-centre agents and analyse customer interactions.</x:v>
      </x:c>
      <x:c r="H236" s="32" t="str">
        <x:v>Close, Partial</x:v>
      </x:c>
      <x:c r="I236" s="32"/>
      <x:c r="J236" s="32" t="str">
        <x:v>https://azure.microsoft.com/en-gb/products/</x:v>
      </x:c>
      <x:c r="K236" s="32" t="str">
        <x:v>2026-07-12</x:v>
      </x:c>
    </x:row>
    <x:row r="237">
      <x:c r="A237" s="32" t="str">
        <x:v>Microsoft Azure</x:v>
      </x:c>
      <x:c r="B237" s="32" t="str">
        <x:v>Foundry Agent Service</x:v>
      </x:c>
      <x:c r="C237" s="32" t="str">
        <x:v>Named service / product family</x:v>
      </x:c>
      <x:c r="D237" s="32" t="str">
        <x:v>AI &amp; Machine Learning</x:v>
      </x:c>
      <x:c r="E237" s="32" t="str">
        <x:v>Agents</x:v>
      </x:c>
      <x:c r="F237" s="32" t="str">
        <x:v>Managed AI agent platform
Multi-agent orchestration</x:v>
      </x:c>
      <x:c r="G237" s="32" t="str">
        <x:v>Build, deploy and operate agents that reason, retrieve information and invoke tools.</x:v>
      </x:c>
      <x:c r="H237" s="32" t="str">
        <x:v>Close</x:v>
      </x:c>
      <x:c r="I237" s="32"/>
      <x:c r="J237" s="32" t="str">
        <x:v>https://azure.microsoft.com/en-gb/products/</x:v>
      </x:c>
      <x:c r="K237" s="32" t="str">
        <x:v>2026-07-12</x:v>
      </x:c>
    </x:row>
    <x:row r="238">
      <x:c r="A238" s="32" t="str">
        <x:v>Microsoft Azure</x:v>
      </x:c>
      <x:c r="B238" s="32" t="str">
        <x:v>Foundry evaluations</x:v>
      </x:c>
      <x:c r="C238" s="32" t="str">
        <x:v>Named service / product family</x:v>
      </x:c>
      <x:c r="D238" s="32" t="str">
        <x:v>AI &amp; Machine Learning</x:v>
      </x:c>
      <x:c r="E238" s="32" t="str">
        <x:v>Responsible AI</x:v>
      </x:c>
      <x:c r="F238" s="32" t="str">
        <x:v>Responsible-AI assessment</x:v>
      </x:c>
      <x:c r="G238" s="32" t="str">
        <x:v>Evaluate fairness, explainability, errors and model behaviour before and after deployment.</x:v>
      </x:c>
      <x:c r="H238" s="32" t="str">
        <x:v>Close</x:v>
      </x:c>
      <x:c r="I238" s="32"/>
      <x:c r="J238" s="32" t="str">
        <x:v>https://azure.microsoft.com/en-gb/products/</x:v>
      </x:c>
      <x:c r="K238" s="32" t="str">
        <x:v>2026-07-12</x:v>
      </x:c>
    </x:row>
    <x:row r="239">
      <x:c r="A239" s="32" t="str">
        <x:v>Microsoft Azure</x:v>
      </x:c>
      <x:c r="B239" s="32" t="str">
        <x:v>Foundry guardrails</x:v>
      </x:c>
      <x:c r="C239" s="32" t="str">
        <x:v>Named service / product family</x:v>
      </x:c>
      <x:c r="D239" s="32" t="str">
        <x:v>AI &amp; Machine Learning</x:v>
      </x:c>
      <x:c r="E239" s="32" t="str">
        <x:v>AI safety</x:v>
      </x:c>
      <x:c r="F239" s="32" t="str">
        <x:v>Generative-AI guardrails</x:v>
      </x:c>
      <x:c r="G239" s="32" t="str">
        <x:v>Apply safety policies, topic controls, grounding checks and content filters to model interactions.</x:v>
      </x:c>
      <x:c r="H239" s="32" t="str">
        <x:v>Close</x:v>
      </x:c>
      <x:c r="I239" s="32"/>
      <x:c r="J239" s="32" t="str">
        <x:v>https://azure.microsoft.com/en-gb/products/</x:v>
      </x:c>
      <x:c r="K239" s="32" t="str">
        <x:v>2026-07-12</x:v>
      </x:c>
    </x:row>
    <x:row r="240">
      <x:c r="A240" s="32" t="str">
        <x:v>Microsoft Azure</x:v>
      </x:c>
      <x:c r="B240" s="32" t="str">
        <x:v>Foundry IQ</x:v>
      </x:c>
      <x:c r="C240" s="32" t="str">
        <x:v>Named service / product family</x:v>
      </x:c>
      <x:c r="D240" s="32" t="str">
        <x:v>AI &amp; Machine Learning</x:v>
      </x:c>
      <x:c r="E240" s="32" t="str">
        <x:v>RAG</x:v>
      </x:c>
      <x:c r="F240" s="32" t="str">
        <x:v>Managed knowledge bases for RAG</x:v>
      </x:c>
      <x:c r="G240" s="32" t="str">
        <x:v>Connect enterprise content to foundation models for grounded retrieval-augmented generation.</x:v>
      </x:c>
      <x:c r="H240" s="32" t="str">
        <x:v>Close</x:v>
      </x:c>
      <x:c r="I240" s="32"/>
      <x:c r="J240" s="32" t="str">
        <x:v>https://azure.microsoft.com/en-gb/products/</x:v>
      </x:c>
      <x:c r="K240" s="32" t="str">
        <x:v>2026-07-12</x:v>
      </x:c>
    </x:row>
    <x:row r="241">
      <x:c r="A241" s="32" t="str">
        <x:v>Microsoft Azure</x:v>
      </x:c>
      <x:c r="B241" s="32" t="str">
        <x:v>Foundry Models</x:v>
      </x:c>
      <x:c r="C241" s="32" t="str">
        <x:v>Named service / product family</x:v>
      </x:c>
      <x:c r="D241" s="32" t="str">
        <x:v>AI &amp; Machine Learning</x:v>
      </x:c>
      <x:c r="E241" s="32" t="str">
        <x:v>Model catalogue
Synthetic media</x:v>
      </x:c>
      <x:c r="F241" s="32" t="str">
        <x:v>Foundation-model catalogue
Image generation</x:v>
      </x:c>
      <x:c r="G241" s="32" t="str">
        <x:v>Discover and deploy first-party and partner models from a managed catalogue.</x:v>
      </x:c>
      <x:c r="H241" s="32" t="str">
        <x:v>Close</x:v>
      </x:c>
      <x:c r="I241" s="32"/>
      <x:c r="J241" s="32" t="str">
        <x:v>https://azure.microsoft.com/en-gb/products/</x:v>
      </x:c>
      <x:c r="K241" s="32" t="str">
        <x:v>2026-07-12</x:v>
      </x:c>
    </x:row>
    <x:row r="242">
      <x:c r="A242" s="32" t="str">
        <x:v>Microsoft Azure</x:v>
      </x:c>
      <x:c r="B242" s="32" t="str">
        <x:v>GitHub Actions</x:v>
      </x:c>
      <x:c r="C242" s="32" t="str">
        <x:v>Named service / product family</x:v>
      </x:c>
      <x:c r="D242" s="32" t="str">
        <x:v>Developer Tools &amp; DevOps</x:v>
      </x:c>
      <x:c r="E242" s="32" t="str">
        <x:v>Continuous delivery
Continuous integration</x:v>
      </x:c>
      <x:c r="F242" s="32" t="str">
        <x:v>Managed continuous delivery
Managed continuous integration</x:v>
      </x:c>
      <x:c r="G242" s="32" t="str">
        <x:v>Build and test source code in automated pipelines.</x:v>
      </x:c>
      <x:c r="H242" s="32" t="str">
        <x:v>Close</x:v>
      </x:c>
      <x:c r="I242" s="32"/>
      <x:c r="J242" s="32" t="str">
        <x:v>https://azure.microsoft.com/en-gb/products/</x:v>
      </x:c>
      <x:c r="K242" s="32" t="str">
        <x:v>2026-07-12</x:v>
      </x:c>
    </x:row>
    <x:row r="243">
      <x:c r="A243" s="32" t="str">
        <x:v>Microsoft Azure</x:v>
      </x:c>
      <x:c r="B243" s="32" t="str">
        <x:v>GitHub Advanced Security</x:v>
      </x:c>
      <x:c r="C243" s="32" t="str">
        <x:v>Named service / product family</x:v>
      </x:c>
      <x:c r="D243" s="32" t="str">
        <x:v>Developer Tools &amp; DevOps</x:v>
      </x:c>
      <x:c r="E243" s="32" t="str">
        <x:v>Artifact security</x:v>
      </x:c>
      <x:c r="F243" s="32" t="str">
        <x:v>Software artifact analysis</x:v>
      </x:c>
      <x:c r="G243" s="32" t="str">
        <x:v>Scan packages and container images for vulnerabilities and supply-chain risk.</x:v>
      </x:c>
      <x:c r="H243" s="32" t="str">
        <x:v>Close</x:v>
      </x:c>
      <x:c r="I243" s="32"/>
      <x:c r="J243" s="32" t="str">
        <x:v>https://azure.microsoft.com/en-gb/products/</x:v>
      </x:c>
      <x:c r="K243" s="32" t="str">
        <x:v>2026-07-12</x:v>
      </x:c>
    </x:row>
    <x:row r="244">
      <x:c r="A244" s="32" t="str">
        <x:v>Microsoft Azure</x:v>
      </x:c>
      <x:c r="B244" s="32" t="str">
        <x:v>GitHub Copilot</x:v>
      </x:c>
      <x:c r="C244" s="32" t="str">
        <x:v>Named service / product family</x:v>
      </x:c>
      <x:c r="D244" s="32" t="str">
        <x:v>AI &amp; Machine Learning</x:v>
      </x:c>
      <x:c r="E244" s="32" t="str">
        <x:v>Developer AI</x:v>
      </x:c>
      <x:c r="F244" s="32" t="str">
        <x:v>AI coding assistant</x:v>
      </x:c>
      <x:c r="G244" s="32" t="str">
        <x:v>Generate, explain, review and transform code within developer workflows.</x:v>
      </x:c>
      <x:c r="H244" s="32" t="str">
        <x:v>Close</x:v>
      </x:c>
      <x:c r="I244" s="32"/>
      <x:c r="J244" s="32" t="str">
        <x:v>https://azure.microsoft.com/en-gb/products/</x:v>
      </x:c>
      <x:c r="K244" s="32" t="str">
        <x:v>2026-07-12</x:v>
      </x:c>
    </x:row>
    <x:row r="245">
      <x:c r="A245" s="32" t="str">
        <x:v>Microsoft Azure</x:v>
      </x:c>
      <x:c r="B245" s="32" t="str">
        <x:v>GitHub Enterprise</x:v>
      </x:c>
      <x:c r="C245" s="32" t="str">
        <x:v>Named service / product family</x:v>
      </x:c>
      <x:c r="D245" s="32" t="str">
        <x:v>Developer Tools &amp; DevOps</x:v>
      </x:c>
      <x:c r="E245" s="32" t="str">
        <x:v>Source control</x:v>
      </x:c>
      <x:c r="F245" s="32" t="str">
        <x:v>Managed Git repositories</x:v>
      </x:c>
      <x:c r="G245" s="32" t="str">
        <x:v>Host private Git repositories with access control and development integrations.</x:v>
      </x:c>
      <x:c r="H245" s="32" t="str">
        <x:v>Close</x:v>
      </x:c>
      <x:c r="I245" s="32"/>
      <x:c r="J245" s="32" t="str">
        <x:v>https://azure.microsoft.com/en-gb/products/</x:v>
      </x:c>
      <x:c r="K245" s="32" t="str">
        <x:v>2026-07-12</x:v>
      </x:c>
    </x:row>
    <x:row r="246">
      <x:c r="A246" s="32" t="str">
        <x:v>Microsoft Azure</x:v>
      </x:c>
      <x:c r="B246" s="32" t="str">
        <x:v>IBM Db2 on Azure</x:v>
      </x:c>
      <x:c r="C246" s="32" t="str">
        <x:v>Named service / product family</x:v>
      </x:c>
      <x:c r="D246" s="32" t="str">
        <x:v>Databases</x:v>
      </x:c>
      <x:c r="E246" s="32" t="str">
        <x:v>DB2</x:v>
      </x:c>
      <x:c r="F246" s="32" t="str">
        <x:v>Managed IBM Db2 database</x:v>
      </x:c>
      <x:c r="G246" s="32" t="str">
        <x:v>Operate IBM Db2 databases with managed infrastructure capabilities.</x:v>
      </x:c>
      <x:c r="H246" s="32" t="str">
        <x:v>Partial</x:v>
      </x:c>
      <x:c r="I246" s="32"/>
      <x:c r="J246" s="32" t="str">
        <x:v>https://azure.microsoft.com/en-gb/products/</x:v>
      </x:c>
      <x:c r="K246" s="32" t="str">
        <x:v>2026-07-12</x:v>
      </x:c>
    </x:row>
    <x:row r="247">
      <x:c r="A247" s="32" t="str">
        <x:v>Microsoft Azure</x:v>
      </x:c>
      <x:c r="B247" s="32" t="str">
        <x:v>Linux Virtual Machines</x:v>
      </x:c>
      <x:c r="C247" s="32" t="str">
        <x:v>Named service / product family</x:v>
      </x:c>
      <x:c r="D247" s="32" t="str">
        <x:v>Compute &amp; Application Hosting</x:v>
      </x:c>
      <x:c r="E247" s="32" t="str">
        <x:v>Virtual machines</x:v>
      </x:c>
      <x:c r="F247" s="32" t="str">
        <x:v>General-purpose virtual machines</x:v>
      </x:c>
      <x:c r="G247" s="32" t="str">
        <x:v>Provision resizable virtual machines with selectable operating systems and hardware.</x:v>
      </x:c>
      <x:c r="H247" s="32" t="str">
        <x:v>Exact</x:v>
      </x:c>
      <x:c r="I247" s="32"/>
      <x:c r="J247" s="32" t="str">
        <x:v>https://azure.microsoft.com/en-gb/products/</x:v>
      </x:c>
      <x:c r="K247" s="32" t="str">
        <x:v>2026-07-12</x:v>
      </x:c>
    </x:row>
    <x:row r="248">
      <x:c r="A248" s="32" t="str">
        <x:v>Microsoft Azure</x:v>
      </x:c>
      <x:c r="B248" s="32" t="str">
        <x:v>Log Analytics</x:v>
      </x:c>
      <x:c r="C248" s="32" t="str">
        <x:v>Named service / product family</x:v>
      </x:c>
      <x:c r="D248" s="32" t="str">
        <x:v>Observability &amp; Reliability</x:v>
      </x:c>
      <x:c r="E248" s="32" t="str">
        <x:v>Logging</x:v>
      </x:c>
      <x:c r="F248" s="32" t="str">
        <x:v>Central log management</x:v>
      </x:c>
      <x:c r="G248" s="32" t="str">
        <x:v>Collect, search, retain and route cloud and application logs.</x:v>
      </x:c>
      <x:c r="H248" s="32" t="str">
        <x:v>Exact</x:v>
      </x:c>
      <x:c r="I248" s="32"/>
      <x:c r="J248" s="32" t="str">
        <x:v>https://azure.microsoft.com/en-gb/products/</x:v>
      </x:c>
      <x:c r="K248" s="32" t="str">
        <x:v>2026-07-12</x:v>
      </x:c>
    </x:row>
    <x:row r="249">
      <x:c r="A249" s="32" t="str">
        <x:v>Microsoft Azure</x:v>
      </x:c>
      <x:c r="B249" s="32" t="str">
        <x:v>Microsoft 365 Copilot</x:v>
      </x:c>
      <x:c r="C249" s="32" t="str">
        <x:v>Named service / product family</x:v>
      </x:c>
      <x:c r="D249" s="32" t="str">
        <x:v>AI &amp; Machine Learning</x:v>
      </x:c>
      <x:c r="E249" s="32" t="str">
        <x:v>Enterprise AI assistant</x:v>
      </x:c>
      <x:c r="F249" s="32" t="str">
        <x:v>Enterprise AI assistant</x:v>
      </x:c>
      <x:c r="G249" s="32" t="str">
        <x:v>Provide grounded conversational assistance across enterprise systems and cloud operations.</x:v>
      </x:c>
      <x:c r="H249" s="32" t="str">
        <x:v>Partial</x:v>
      </x:c>
      <x:c r="I249" s="32"/>
      <x:c r="J249" s="32" t="str">
        <x:v>https://azure.microsoft.com/en-gb/products/</x:v>
      </x:c>
      <x:c r="K249" s="32" t="str">
        <x:v>2026-07-12</x:v>
      </x:c>
    </x:row>
    <x:row r="250">
      <x:c r="A250" s="32" t="str">
        <x:v>Microsoft Azure</x:v>
      </x:c>
      <x:c r="B250" s="32" t="str">
        <x:v>Microsoft Cloud for Financial Services</x:v>
      </x:c>
      <x:c r="C250" s="32" t="str">
        <x:v>Named service / product family</x:v>
      </x:c>
      <x:c r="D250" s="32" t="str">
        <x:v>Data, Analytics &amp; BI
Industry &amp; Specialist</x:v>
      </x:c>
      <x:c r="E250" s="32" t="str">
        <x:v>Financial analytics
Financial crime</x:v>
      </x:c>
      <x:c r="F250" s="32" t="str">
        <x:v>Anti-money-laundering AI
Financial-services data analytics</x:v>
      </x:c>
      <x:c r="G250" s="32" t="str">
        <x:v>Store and analyse specialised capital-markets or financial datasets.</x:v>
      </x:c>
      <x:c r="H250" s="32" t="str">
        <x:v>Partial</x:v>
      </x:c>
      <x:c r="I250" s="32"/>
      <x:c r="J250" s="32" t="str">
        <x:v>https://azure.microsoft.com/en-gb/products/</x:v>
      </x:c>
      <x:c r="K250" s="32" t="str">
        <x:v>2026-07-12</x:v>
      </x:c>
    </x:row>
    <x:row r="251">
      <x:c r="A251" s="32" t="str">
        <x:v>Microsoft Azure</x:v>
      </x:c>
      <x:c r="B251" s="32" t="str">
        <x:v>Microsoft Cloud for Healthcare</x:v>
      </x:c>
      <x:c r="C251" s="32" t="str">
        <x:v>Named service / product family</x:v>
      </x:c>
      <x:c r="D251" s="32" t="str">
        <x:v>AI &amp; Machine Learning</x:v>
      </x:c>
      <x:c r="E251" s="32" t="str">
        <x:v>Healthcare AI</x:v>
      </x:c>
      <x:c r="F251" s="32" t="str">
        <x:v>Healthcare data and AI</x:v>
      </x:c>
      <x:c r="G251" s="32" t="str">
        <x:v>Ingest, normalise, search and apply AI to healthcare information.</x:v>
      </x:c>
      <x:c r="H251" s="32" t="str">
        <x:v>Close</x:v>
      </x:c>
      <x:c r="I251" s="32"/>
      <x:c r="J251" s="32" t="str">
        <x:v>https://azure.microsoft.com/en-gb/products/</x:v>
      </x:c>
      <x:c r="K251" s="32" t="str">
        <x:v>2026-07-12</x:v>
      </x:c>
    </x:row>
    <x:row r="252">
      <x:c r="A252" s="32" t="str">
        <x:v>Microsoft Azure</x:v>
      </x:c>
      <x:c r="B252" s="32" t="str">
        <x:v>Microsoft Cloud for Sovereignty</x:v>
      </x:c>
      <x:c r="C252" s="32" t="str">
        <x:v>Named service / product family</x:v>
      </x:c>
      <x:c r="D252" s="32" t="str">
        <x:v>Industry &amp; Specialist</x:v>
      </x:c>
      <x:c r="E252" s="32" t="str">
        <x:v>Sovereign cloud</x:v>
      </x:c>
      <x:c r="F252" s="32" t="str">
        <x:v>Sovereign and regulated cloud controls</x:v>
      </x:c>
      <x:c r="G252" s="32" t="str">
        <x:v>Meet residency, operational sovereignty and regulated-industry control requirements.</x:v>
      </x:c>
      <x:c r="H252" s="32" t="str">
        <x:v>Close</x:v>
      </x:c>
      <x:c r="I252" s="32"/>
      <x:c r="J252" s="32" t="str">
        <x:v>https://azure.microsoft.com/en-gb/products/</x:v>
      </x:c>
      <x:c r="K252" s="32" t="str">
        <x:v>2026-07-12</x:v>
      </x:c>
    </x:row>
    <x:row r="253">
      <x:c r="A253" s="32" t="str">
        <x:v>Microsoft Azure</x:v>
      </x:c>
      <x:c r="B253" s="32" t="str">
        <x:v>Microsoft Cloud PKI</x:v>
      </x:c>
      <x:c r="C253" s="32" t="str">
        <x:v>Named service / product family</x:v>
      </x:c>
      <x:c r="D253" s="32" t="str">
        <x:v>Security, Identity &amp; Compliance</x:v>
      </x:c>
      <x:c r="E253" s="32" t="str">
        <x:v>Certificates</x:v>
      </x:c>
      <x:c r="F253" s="32" t="str">
        <x:v>Certificate management</x:v>
      </x:c>
      <x:c r="G253" s="32" t="str">
        <x:v>Provision, manage and rotate public or private TLS certificates.</x:v>
      </x:c>
      <x:c r="H253" s="32" t="str">
        <x:v>Close</x:v>
      </x:c>
      <x:c r="I253" s="32"/>
      <x:c r="J253" s="32" t="str">
        <x:v>https://azure.microsoft.com/en-gb/products/</x:v>
      </x:c>
      <x:c r="K253" s="32" t="str">
        <x:v>2026-07-12</x:v>
      </x:c>
    </x:row>
    <x:row r="254">
      <x:c r="A254" s="32" t="str">
        <x:v>Microsoft Azure</x:v>
      </x:c>
      <x:c r="B254" s="32" t="str">
        <x:v>Microsoft Cost Management</x:v>
      </x:c>
      <x:c r="C254" s="32" t="str">
        <x:v>Named service / product family</x:v>
      </x:c>
      <x:c r="D254" s="32" t="str">
        <x:v>FinOps &amp; Commercial</x:v>
      </x:c>
      <x:c r="E254" s="32" t="str">
        <x:v>Cost management</x:v>
      </x:c>
      <x:c r="F254" s="32" t="str">
        <x:v>Cost analysis and optimisation</x:v>
      </x:c>
      <x:c r="G254" s="32" t="str">
        <x:v>Analyse cloud spend, allocation, trends and optimisation opportunities.</x:v>
      </x:c>
      <x:c r="H254" s="32" t="str">
        <x:v>Close</x:v>
      </x:c>
      <x:c r="I254" s="32"/>
      <x:c r="J254" s="32" t="str">
        <x:v>https://azure.microsoft.com/en-gb/products/</x:v>
      </x:c>
      <x:c r="K254" s="32" t="str">
        <x:v>2026-07-12</x:v>
      </x:c>
    </x:row>
    <x:row r="255">
      <x:c r="A255" s="32" t="str">
        <x:v>Microsoft Azure</x:v>
      </x:c>
      <x:c r="B255" s="32" t="str">
        <x:v>Microsoft Cost Management budgets</x:v>
      </x:c>
      <x:c r="C255" s="32" t="str">
        <x:v>Named service / product family</x:v>
      </x:c>
      <x:c r="D255" s="32" t="str">
        <x:v>FinOps &amp; Commercial</x:v>
      </x:c>
      <x:c r="E255" s="32" t="str">
        <x:v>Budgets</x:v>
      </x:c>
      <x:c r="F255" s="32" t="str">
        <x:v>Cloud budgets and alerts</x:v>
      </x:c>
      <x:c r="G255" s="32" t="str">
        <x:v>Set budgets, thresholds and alerts for cloud expenditure.</x:v>
      </x:c>
      <x:c r="H255" s="32" t="str">
        <x:v>Exact</x:v>
      </x:c>
      <x:c r="I255" s="32"/>
      <x:c r="J255" s="32" t="str">
        <x:v>https://azure.microsoft.com/en-gb/products/</x:v>
      </x:c>
      <x:c r="K255" s="32" t="str">
        <x:v>2026-07-12</x:v>
      </x:c>
    </x:row>
    <x:row r="256">
      <x:c r="A256" s="32" t="str">
        <x:v>Microsoft Azure</x:v>
      </x:c>
      <x:c r="B256" s="32" t="str">
        <x:v>Microsoft Cost Management exports</x:v>
      </x:c>
      <x:c r="C256" s="32" t="str">
        <x:v>Named service / product family</x:v>
      </x:c>
      <x:c r="D256" s="32" t="str">
        <x:v>FinOps &amp; Commercial</x:v>
      </x:c>
      <x:c r="E256" s="32" t="str">
        <x:v>Billing allocation</x:v>
      </x:c>
      <x:c r="F256" s="32" t="str">
        <x:v>Custom billing and chargeback</x:v>
      </x:c>
      <x:c r="G256" s="32" t="str">
        <x:v>Allocate, group and charge back cloud costs to internal entities.</x:v>
      </x:c>
      <x:c r="H256" s="32" t="str">
        <x:v>Close</x:v>
      </x:c>
      <x:c r="I256" s="32"/>
      <x:c r="J256" s="32" t="str">
        <x:v>https://azure.microsoft.com/en-gb/products/</x:v>
      </x:c>
      <x:c r="K256" s="32" t="str">
        <x:v>2026-07-12</x:v>
      </x:c>
    </x:row>
    <x:row r="257">
      <x:c r="A257" s="32" t="str">
        <x:v>Microsoft Azure</x:v>
      </x:c>
      <x:c r="B257" s="32" t="str">
        <x:v>Microsoft Defender External Attack Surface Management</x:v>
      </x:c>
      <x:c r="C257" s="32" t="str">
        <x:v>Named service / product family</x:v>
      </x:c>
      <x:c r="D257" s="32" t="str">
        <x:v>Security, Identity &amp; Compliance</x:v>
      </x:c>
      <x:c r="E257" s="32" t="str">
        <x:v>External attack surface</x:v>
      </x:c>
      <x:c r="F257" s="32" t="str">
        <x:v>External attack-surface management</x:v>
      </x:c>
      <x:c r="G257" s="32" t="str">
        <x:v>Discover internet-exposed assets and assess external risk.</x:v>
      </x:c>
      <x:c r="H257" s="32" t="str">
        <x:v>Partial</x:v>
      </x:c>
      <x:c r="I257" s="32"/>
      <x:c r="J257" s="32" t="str">
        <x:v>https://azure.microsoft.com/en-gb/products/</x:v>
      </x:c>
      <x:c r="K257" s="32" t="str">
        <x:v>2026-07-12</x:v>
      </x:c>
    </x:row>
    <x:row r="258">
      <x:c r="A258" s="32" t="str">
        <x:v>Microsoft Azure</x:v>
      </x:c>
      <x:c r="B258" s="32" t="str">
        <x:v>Microsoft Defender for Cloud</x:v>
      </x:c>
      <x:c r="C258" s="32" t="str">
        <x:v>Named service / product family</x:v>
      </x:c>
      <x:c r="D258" s="32" t="str">
        <x:v>Developer Tools &amp; DevOps
Governance &amp; Management
Security, Identity &amp; Compliance</x:v>
      </x:c>
      <x:c r="E258" s="32" t="str">
        <x:v>Artifact security
Configuration management
Security posture
Threat detection</x:v>
      </x:c>
      <x:c r="F258" s="32" t="str">
        <x:v>Cloud security posture management
Cloud threat detection
Configuration compliance
Software artifact analysis</x:v>
      </x:c>
      <x:c r="G258" s="32" t="str">
        <x:v>Track configuration changes and assess resources against required baselines.</x:v>
      </x:c>
      <x:c r="H258" s="32" t="str">
        <x:v>Close, Exact</x:v>
      </x:c>
      <x:c r="I258" s="32"/>
      <x:c r="J258" s="32" t="str">
        <x:v>https://azure.microsoft.com/en-gb/products/</x:v>
      </x:c>
      <x:c r="K258" s="32" t="str">
        <x:v>2026-07-12</x:v>
      </x:c>
    </x:row>
    <x:row r="259">
      <x:c r="A259" s="32" t="str">
        <x:v>Microsoft Azure</x:v>
      </x:c>
      <x:c r="B259" s="32" t="str">
        <x:v>Microsoft Defender for Cloud AI security posture management</x:v>
      </x:c>
      <x:c r="C259" s="32" t="str">
        <x:v>Named service / product family</x:v>
      </x:c>
      <x:c r="D259" s="32" t="str">
        <x:v>AI &amp; Machine Learning</x:v>
      </x:c>
      <x:c r="E259" s="32" t="str">
        <x:v>AI security</x:v>
      </x:c>
      <x:c r="F259" s="32" t="str">
        <x:v>AI security posture management</x:v>
      </x:c>
      <x:c r="G259" s="32" t="str">
        <x:v>Discover AI workloads, identify risks and monitor threats affecting AI systems.</x:v>
      </x:c>
      <x:c r="H259" s="32" t="str">
        <x:v>Partial</x:v>
      </x:c>
      <x:c r="I259" s="32"/>
      <x:c r="J259" s="32" t="str">
        <x:v>https://azure.microsoft.com/en-gb/products/</x:v>
      </x:c>
      <x:c r="K259" s="32" t="str">
        <x:v>2026-07-12</x:v>
      </x:c>
    </x:row>
    <x:row r="260">
      <x:c r="A260" s="32" t="str">
        <x:v>Microsoft Azure</x:v>
      </x:c>
      <x:c r="B260" s="32" t="str">
        <x:v>Microsoft Defender for IoT</x:v>
      </x:c>
      <x:c r="C260" s="32" t="str">
        <x:v>Named service / product family</x:v>
      </x:c>
      <x:c r="D260" s="32" t="str">
        <x:v>IoT &amp; Edge</x:v>
      </x:c>
      <x:c r="E260" s="32" t="str">
        <x:v>IoT security</x:v>
      </x:c>
      <x:c r="F260" s="32" t="str">
        <x:v>IoT security monitoring</x:v>
      </x:c>
      <x:c r="G260" s="32" t="str">
        <x:v>Audit device configurations and detect anomalous IoT behaviour.</x:v>
      </x:c>
      <x:c r="H260" s="32" t="str">
        <x:v>Partial</x:v>
      </x:c>
      <x:c r="I260" s="32"/>
      <x:c r="J260" s="32" t="str">
        <x:v>https://azure.microsoft.com/en-gb/products/</x:v>
      </x:c>
      <x:c r="K260" s="32" t="str">
        <x:v>2026-07-12</x:v>
      </x:c>
    </x:row>
    <x:row r="261">
      <x:c r="A261" s="32" t="str">
        <x:v>Microsoft Azure</x:v>
      </x:c>
      <x:c r="B261" s="32" t="str">
        <x:v>Microsoft Defender Vulnerability Management</x:v>
      </x:c>
      <x:c r="C261" s="32" t="str">
        <x:v>Named service / product family</x:v>
      </x:c>
      <x:c r="D261" s="32" t="str">
        <x:v>Security, Identity &amp; Compliance</x:v>
      </x:c>
      <x:c r="E261" s="32" t="str">
        <x:v>Vulnerability management</x:v>
      </x:c>
      <x:c r="F261" s="32" t="str">
        <x:v>Workload vulnerability assessment</x:v>
      </x:c>
      <x:c r="G261" s="32" t="str">
        <x:v>Scan virtual machines, containers and software packages for vulnerabilities.</x:v>
      </x:c>
      <x:c r="H261" s="32" t="str">
        <x:v>Close</x:v>
      </x:c>
      <x:c r="I261" s="32"/>
      <x:c r="J261" s="32" t="str">
        <x:v>https://azure.microsoft.com/en-gb/products/</x:v>
      </x:c>
      <x:c r="K261" s="32" t="str">
        <x:v>2026-07-12</x:v>
      </x:c>
    </x:row>
    <x:row r="262">
      <x:c r="A262" s="32" t="str">
        <x:v>Microsoft Azure</x:v>
      </x:c>
      <x:c r="B262" s="32" t="str">
        <x:v>Microsoft Defender XDR</x:v>
      </x:c>
      <x:c r="C262" s="32" t="str">
        <x:v>Named service / product family</x:v>
      </x:c>
      <x:c r="D262" s="32" t="str">
        <x:v>Security, Identity &amp; Compliance</x:v>
      </x:c>
      <x:c r="E262" s="32" t="str">
        <x:v>Investigation</x:v>
      </x:c>
      <x:c r="F262" s="32" t="str">
        <x:v>Security investigation</x:v>
      </x:c>
      <x:c r="G262" s="32" t="str">
        <x:v>Correlate security findings and accelerate investigation of potential incidents.</x:v>
      </x:c>
      <x:c r="H262" s="32" t="str">
        <x:v>Close</x:v>
      </x:c>
      <x:c r="I262" s="32"/>
      <x:c r="J262" s="32" t="str">
        <x:v>https://azure.microsoft.com/en-gb/products/</x:v>
      </x:c>
      <x:c r="K262" s="32" t="str">
        <x:v>2026-07-12</x:v>
      </x:c>
    </x:row>
    <x:row r="263">
      <x:c r="A263" s="32" t="str">
        <x:v>Microsoft Azure</x:v>
      </x:c>
      <x:c r="B263" s="32" t="str">
        <x:v>Microsoft Dev Box</x:v>
      </x:c>
      <x:c r="C263" s="32" t="str">
        <x:v>Named service / product family</x:v>
      </x:c>
      <x:c r="D263" s="32" t="str">
        <x:v>Developer Tools &amp; DevOps</x:v>
      </x:c>
      <x:c r="E263" s="32" t="str">
        <x:v>Cloud IDE</x:v>
      </x:c>
      <x:c r="F263" s="32" t="str">
        <x:v>Browser-based cloud development environment</x:v>
      </x:c>
      <x:c r="G263" s="32" t="str">
        <x:v>Provide managed browser-accessible development environments connected to cloud resources.</x:v>
      </x:c>
      <x:c r="H263" s="32" t="str">
        <x:v>Close</x:v>
      </x:c>
      <x:c r="I263" s="32"/>
      <x:c r="J263" s="32" t="str">
        <x:v>https://azure.microsoft.com/en-gb/products/</x:v>
      </x:c>
      <x:c r="K263" s="32" t="str">
        <x:v>2026-07-12</x:v>
      </x:c>
    </x:row>
    <x:row r="264">
      <x:c r="A264" s="32" t="str">
        <x:v>Microsoft Azure</x:v>
      </x:c>
      <x:c r="B264" s="32" t="str">
        <x:v>Microsoft Emissions Impact Dashboard</x:v>
      </x:c>
      <x:c r="C264" s="32" t="str">
        <x:v>Named service / product family</x:v>
      </x:c>
      <x:c r="D264" s="32" t="str">
        <x:v>FinOps &amp; Commercial</x:v>
      </x:c>
      <x:c r="E264" s="32" t="str">
        <x:v>Sustainability</x:v>
      </x:c>
      <x:c r="F264" s="32" t="str">
        <x:v>Cloud carbon reporting</x:v>
      </x:c>
      <x:c r="G264" s="32" t="str">
        <x:v>Estimate carbon emissions associated with cloud usage.</x:v>
      </x:c>
      <x:c r="H264" s="32" t="str">
        <x:v>Close</x:v>
      </x:c>
      <x:c r="I264" s="32"/>
      <x:c r="J264" s="32" t="str">
        <x:v>https://azure.microsoft.com/en-gb/products/</x:v>
      </x:c>
      <x:c r="K264" s="32" t="str">
        <x:v>2026-07-12</x:v>
      </x:c>
    </x:row>
    <x:row r="265">
      <x:c r="A265" s="32" t="str">
        <x:v>Microsoft Azure</x:v>
      </x:c>
      <x:c r="B265" s="32" t="str">
        <x:v>Microsoft Entra audit logs</x:v>
      </x:c>
      <x:c r="C265" s="32" t="str">
        <x:v>Named service / product family</x:v>
      </x:c>
      <x:c r="D265" s="32" t="str">
        <x:v>Security, Identity &amp; Compliance</x:v>
      </x:c>
      <x:c r="E265" s="32" t="str">
        <x:v>Audit logs</x:v>
      </x:c>
      <x:c r="F265" s="32" t="str">
        <x:v>Cloud audit trail</x:v>
      </x:c>
      <x:c r="G265" s="32" t="str">
        <x:v>Record administrative and data-access activity for investigation and compliance.</x:v>
      </x:c>
      <x:c r="H265" s="32" t="str">
        <x:v>Exact</x:v>
      </x:c>
      <x:c r="I265" s="32"/>
      <x:c r="J265" s="32" t="str">
        <x:v>https://azure.microsoft.com/en-gb/products/</x:v>
      </x:c>
      <x:c r="K265" s="32" t="str">
        <x:v>2026-07-12</x:v>
      </x:c>
    </x:row>
    <x:row r="266">
      <x:c r="A266" s="32" t="str">
        <x:v>Microsoft Azure</x:v>
      </x:c>
      <x:c r="B266" s="32" t="str">
        <x:v>Microsoft Entra Domain Services</x:v>
      </x:c>
      <x:c r="C266" s="32" t="str">
        <x:v>Named service / product family</x:v>
      </x:c>
      <x:c r="D266" s="32" t="str">
        <x:v>Security, Identity &amp; Compliance</x:v>
      </x:c>
      <x:c r="E266" s="32" t="str">
        <x:v>Directory</x:v>
      </x:c>
      <x:c r="F266" s="32" t="str">
        <x:v>Managed directory service</x:v>
      </x:c>
      <x:c r="G266" s="32" t="str">
        <x:v>Provide managed directory and domain services for enterprise workloads.</x:v>
      </x:c>
      <x:c r="H266" s="32" t="str">
        <x:v>Exact</x:v>
      </x:c>
      <x:c r="I266" s="32"/>
      <x:c r="J266" s="32" t="str">
        <x:v>https://azure.microsoft.com/en-gb/products/</x:v>
      </x:c>
      <x:c r="K266" s="32" t="str">
        <x:v>2026-07-12</x:v>
      </x:c>
    </x:row>
    <x:row r="267">
      <x:c r="A267" s="32" t="str">
        <x:v>Microsoft Azure</x:v>
      </x:c>
      <x:c r="B267" s="32" t="str">
        <x:v>Microsoft Entra External ID</x:v>
      </x:c>
      <x:c r="C267" s="32" t="str">
        <x:v>Named service / product family</x:v>
      </x:c>
      <x:c r="D267" s="32" t="str">
        <x:v>Security, Identity &amp; Compliance</x:v>
      </x:c>
      <x:c r="E267" s="32" t="str">
        <x:v>Customer identity</x:v>
      </x:c>
      <x:c r="F267" s="32" t="str">
        <x:v>Customer identity platform</x:v>
      </x:c>
      <x:c r="G267" s="32" t="str">
        <x:v>Add sign-up, sign-in, federation and access controls to customer-facing applications.</x:v>
      </x:c>
      <x:c r="H267" s="32" t="str">
        <x:v>Exact</x:v>
      </x:c>
      <x:c r="I267" s="32"/>
      <x:c r="J267" s="32" t="str">
        <x:v>https://azure.microsoft.com/en-gb/products/</x:v>
      </x:c>
      <x:c r="K267" s="32" t="str">
        <x:v>2026-07-12</x:v>
      </x:c>
    </x:row>
    <x:row r="268">
      <x:c r="A268" s="32" t="str">
        <x:v>Microsoft Azure</x:v>
      </x:c>
      <x:c r="B268" s="32" t="str">
        <x:v>Microsoft Entra ID</x:v>
      </x:c>
      <x:c r="C268" s="32" t="str">
        <x:v>Named service / product family</x:v>
      </x:c>
      <x:c r="D268" s="32" t="str">
        <x:v>Security, Identity &amp; Compliance</x:v>
      </x:c>
      <x:c r="E268" s="32" t="str">
        <x:v>Workforce identity</x:v>
      </x:c>
      <x:c r="F268" s="32" t="str">
        <x:v>Identity and access management</x:v>
      </x:c>
      <x:c r="G268" s="32" t="str">
        <x:v>Authenticate identities and authorise access to cloud resources.</x:v>
      </x:c>
      <x:c r="H268" s="32" t="str">
        <x:v>Close</x:v>
      </x:c>
      <x:c r="I268" s="32"/>
      <x:c r="J268" s="32" t="str">
        <x:v>https://azure.microsoft.com/en-gb/products/</x:v>
      </x:c>
      <x:c r="K268" s="32" t="str">
        <x:v>2026-07-12</x:v>
      </x:c>
    </x:row>
    <x:row r="269">
      <x:c r="A269" s="32" t="str">
        <x:v>Microsoft Azure</x:v>
      </x:c>
      <x:c r="B269" s="32" t="str">
        <x:v>Microsoft Entra ID Governance</x:v>
      </x:c>
      <x:c r="C269" s="32" t="str">
        <x:v>Named service / product family</x:v>
      </x:c>
      <x:c r="D269" s="32" t="str">
        <x:v>Security, Identity &amp; Compliance</x:v>
      </x:c>
      <x:c r="E269" s="32" t="str">
        <x:v>Authorisation</x:v>
      </x:c>
      <x:c r="F269" s="32" t="str">
        <x:v>Fine-grained application authorisation</x:v>
      </x:c>
      <x:c r="G269" s="32" t="str">
        <x:v>Externalise and evaluate fine-grained application permissions and policies.</x:v>
      </x:c>
      <x:c r="H269" s="32" t="str">
        <x:v>Partial</x:v>
      </x:c>
      <x:c r="I269" s="32"/>
      <x:c r="J269" s="32" t="str">
        <x:v>https://azure.microsoft.com/en-gb/products/</x:v>
      </x:c>
      <x:c r="K269" s="32" t="str">
        <x:v>2026-07-12</x:v>
      </x:c>
    </x:row>
    <x:row r="270">
      <x:c r="A270" s="32" t="str">
        <x:v>Microsoft Azure</x:v>
      </x:c>
      <x:c r="B270" s="32" t="str">
        <x:v>Microsoft Entra Private Access</x:v>
      </x:c>
      <x:c r="C270" s="32" t="str">
        <x:v>Named service / product family</x:v>
      </x:c>
      <x:c r="D270" s="32" t="str">
        <x:v>Networking</x:v>
      </x:c>
      <x:c r="E270" s="32" t="str">
        <x:v>Zero trust access</x:v>
      </x:c>
      <x:c r="F270" s="32" t="str">
        <x:v>Identity-aware application access</x:v>
      </x:c>
      <x:c r="G270" s="32" t="str">
        <x:v>Provide identity-based access to private applications without broad network access.</x:v>
      </x:c>
      <x:c r="H270" s="32" t="str">
        <x:v>Close</x:v>
      </x:c>
      <x:c r="I270" s="32"/>
      <x:c r="J270" s="32" t="str">
        <x:v>https://azure.microsoft.com/en-gb/products/</x:v>
      </x:c>
      <x:c r="K270" s="32" t="str">
        <x:v>2026-07-12</x:v>
      </x:c>
    </x:row>
    <x:row r="271">
      <x:c r="A271" s="32" t="str">
        <x:v>Microsoft Azure</x:v>
      </x:c>
      <x:c r="B271" s="32" t="str">
        <x:v>Microsoft Exchange Online</x:v>
      </x:c>
      <x:c r="C271" s="32" t="str">
        <x:v>Named service / product family</x:v>
      </x:c>
      <x:c r="D271" s="32" t="str">
        <x:v>End-User Computing &amp; Business Apps</x:v>
      </x:c>
      <x:c r="E271" s="32" t="str">
        <x:v>Business email</x:v>
      </x:c>
      <x:c r="F271" s="32" t="str">
        <x:v>Managed business email</x:v>
      </x:c>
      <x:c r="G271" s="32" t="str">
        <x:v>Host managed organisational email and calendaring.</x:v>
      </x:c>
      <x:c r="H271" s="32" t="str">
        <x:v>Exact</x:v>
      </x:c>
      <x:c r="I271" s="32" t="str">
        <x:v>Microsoft 365 and Google Workspace sit outside the core Azure/GCP infrastructure catalogues but are the closest provider alternatives.</x:v>
      </x:c>
      <x:c r="J271" s="32" t="str">
        <x:v>https://azure.microsoft.com/en-gb/products/</x:v>
      </x:c>
      <x:c r="K271" s="32" t="str">
        <x:v>2026-07-12</x:v>
      </x:c>
    </x:row>
    <x:row r="272">
      <x:c r="A272" s="32" t="str">
        <x:v>Microsoft Azure</x:v>
      </x:c>
      <x:c r="B272" s="32" t="str">
        <x:v>Microsoft Fabric</x:v>
      </x:c>
      <x:c r="C272" s="32" t="str">
        <x:v>Named service / product family</x:v>
      </x:c>
      <x:c r="D272" s="32" t="str">
        <x:v>AI &amp; Machine Learning
Data, Analytics &amp; BI
Security, Identity &amp; Compliance</x:v>
      </x:c>
      <x:c r="E272" s="32" t="str">
        <x:v>Business intelligence
Data orchestration
Financial analytics
Fraud &amp; risk
Lakehouse
Security data lake
Serverless SQL</x:v>
      </x:c>
      <x:c r="F272" s="32" t="str">
        <x:v>Business intelligence and dashboards
Data workflow orchestration
Financial-services data analytics
Fraud detection
Lakehouse platform
Security telemetry lake
Serverless query over data lake</x:v>
      </x:c>
      <x:c r="G272" s="32" t="str">
        <x:v>Build or consume models that identify suspicious transactions and behaviour.</x:v>
      </x:c>
      <x:c r="H272" s="32" t="str">
        <x:v>Close, Partial</x:v>
      </x:c>
      <x:c r="I272" s="32"/>
      <x:c r="J272" s="32" t="str">
        <x:v>https://azure.microsoft.com/en-gb/products/</x:v>
      </x:c>
      <x:c r="K272" s="32" t="str">
        <x:v>2026-07-12</x:v>
      </x:c>
    </x:row>
    <x:row r="273">
      <x:c r="A273" s="32" t="str">
        <x:v>Microsoft Azure</x:v>
      </x:c>
      <x:c r="B273" s="32" t="str">
        <x:v>Microsoft Fabric Data Factory</x:v>
      </x:c>
      <x:c r="C273" s="32" t="str">
        <x:v>Named service / product family</x:v>
      </x:c>
      <x:c r="D273" s="32" t="str">
        <x:v>Data, Analytics &amp; BI</x:v>
      </x:c>
      <x:c r="E273" s="32" t="str">
        <x:v>ELT
ETL and integration</x:v>
      </x:c>
      <x:c r="F273" s="32" t="str">
        <x:v>Managed ETL and data integration
SQL transformation and modelling</x:v>
      </x:c>
      <x:c r="G273" s="32" t="str">
        <x:v>Discover, prepare, transform and move data between systems.</x:v>
      </x:c>
      <x:c r="H273" s="32" t="str">
        <x:v>Close</x:v>
      </x:c>
      <x:c r="I273" s="32"/>
      <x:c r="J273" s="32" t="str">
        <x:v>https://azure.microsoft.com/en-gb/products/</x:v>
      </x:c>
      <x:c r="K273" s="32" t="str">
        <x:v>2026-07-12</x:v>
      </x:c>
    </x:row>
    <x:row r="274">
      <x:c r="A274" s="32" t="str">
        <x:v>Microsoft Azure</x:v>
      </x:c>
      <x:c r="B274" s="32" t="str">
        <x:v>Microsoft Fabric Data Factory / partner MDM</x:v>
      </x:c>
      <x:c r="C274" s="32" t="str">
        <x:v>Architecture / partner alternative</x:v>
      </x:c>
      <x:c r="D274" s="32" t="str">
        <x:v>Data, Analytics &amp; BI</x:v>
      </x:c>
      <x:c r="E274" s="32" t="str">
        <x:v>Entity resolution</x:v>
      </x:c>
      <x:c r="F274" s="32" t="str">
        <x:v>Entity matching</x:v>
      </x:c>
      <x:c r="G274" s="32" t="str">
        <x:v>Match and link records that refer to the same real-world entity.</x:v>
      </x:c>
      <x:c r="H274" s="32" t="str">
        <x:v>Partial</x:v>
      </x:c>
      <x:c r="I274" s="32"/>
      <x:c r="J274" s="32" t="str">
        <x:v>https://azure.microsoft.com/en-gb/products/</x:v>
      </x:c>
      <x:c r="K274" s="32" t="str">
        <x:v>2026-07-12</x:v>
      </x:c>
    </x:row>
    <x:row r="275">
      <x:c r="A275" s="32" t="str">
        <x:v>Microsoft Azure</x:v>
      </x:c>
      <x:c r="B275" s="32" t="str">
        <x:v>Microsoft Fabric Warehouse</x:v>
      </x:c>
      <x:c r="C275" s="32" t="str">
        <x:v>Named service / product family</x:v>
      </x:c>
      <x:c r="D275" s="32" t="str">
        <x:v>Data, Analytics &amp; BI</x:v>
      </x:c>
      <x:c r="E275" s="32" t="str">
        <x:v>Data warehouse</x:v>
      </x:c>
      <x:c r="F275" s="32" t="str">
        <x:v>Cloud data warehouse</x:v>
      </x:c>
      <x:c r="G275" s="32" t="str">
        <x:v>Run scalable analytical SQL workloads over structured and semi-structured data.</x:v>
      </x:c>
      <x:c r="H275" s="32" t="str">
        <x:v>Close</x:v>
      </x:c>
      <x:c r="I275" s="32"/>
      <x:c r="J275" s="32" t="str">
        <x:v>https://azure.microsoft.com/en-gb/products/</x:v>
      </x:c>
      <x:c r="K275" s="32" t="str">
        <x:v>2026-07-12</x:v>
      </x:c>
    </x:row>
    <x:row r="276">
      <x:c r="A276" s="32" t="str">
        <x:v>Microsoft Azure</x:v>
      </x:c>
      <x:c r="B276" s="32" t="str">
        <x:v>Microsoft Foundry</x:v>
      </x:c>
      <x:c r="C276" s="32" t="str">
        <x:v>Named service / product family</x:v>
      </x:c>
      <x:c r="D276" s="32" t="str">
        <x:v>AI &amp; Machine Learning</x:v>
      </x:c>
      <x:c r="E276" s="32" t="str">
        <x:v>AI platform
Contact-centre AI
Foundation models</x:v>
      </x:c>
      <x:c r="F276" s="32" t="str">
        <x:v>Agent assistance and conversation analytics
Managed foundation-model platform
Unified AI/ML platform</x:v>
      </x:c>
      <x:c r="G276" s="32" t="str">
        <x:v>Develop, train, govern, deploy and operate machine-learning and generative-AI solutions.</x:v>
      </x:c>
      <x:c r="H276" s="32" t="str">
        <x:v>Close, Partial</x:v>
      </x:c>
      <x:c r="I276" s="32"/>
      <x:c r="J276" s="32" t="str">
        <x:v>https://azure.microsoft.com/en-gb/products/</x:v>
      </x:c>
      <x:c r="K276" s="32" t="str">
        <x:v>2026-07-12</x:v>
      </x:c>
    </x:row>
    <x:row r="277">
      <x:c r="A277" s="32" t="str">
        <x:v>Microsoft Azure</x:v>
      </x:c>
      <x:c r="B277" s="32" t="str">
        <x:v>Microsoft Foundry Control Plane</x:v>
      </x:c>
      <x:c r="C277" s="32" t="str">
        <x:v>Named service / product family</x:v>
      </x:c>
      <x:c r="D277" s="32" t="str">
        <x:v>AI &amp; Machine Learning</x:v>
      </x:c>
      <x:c r="E277" s="32" t="str">
        <x:v>AI governance</x:v>
      </x:c>
      <x:c r="F277" s="32" t="str">
        <x:v>AI governance and control plane</x:v>
      </x:c>
      <x:c r="G277" s="32" t="str">
        <x:v>Inventory AI assets, apply policies, assess risk and oversee AI across its lifecycle.</x:v>
      </x:c>
      <x:c r="H277" s="32" t="str">
        <x:v>Partial</x:v>
      </x:c>
      <x:c r="I277" s="32" t="str">
        <x:v>AI governance is a control set rather than one perfectly equivalent product.</x:v>
      </x:c>
      <x:c r="J277" s="32" t="str">
        <x:v>https://azure.microsoft.com/en-gb/products/</x:v>
      </x:c>
      <x:c r="K277" s="32" t="str">
        <x:v>2026-07-12</x:v>
      </x:c>
    </x:row>
    <x:row r="278">
      <x:c r="A278" s="32" t="str">
        <x:v>Microsoft Azure</x:v>
      </x:c>
      <x:c r="B278" s="32" t="str">
        <x:v>Microsoft Foundry evaluations</x:v>
      </x:c>
      <x:c r="C278" s="32" t="str">
        <x:v>Named service / product family</x:v>
      </x:c>
      <x:c r="D278" s="32" t="str">
        <x:v>AI &amp; Machine Learning</x:v>
      </x:c>
      <x:c r="E278" s="32" t="str">
        <x:v>AI evaluation</x:v>
      </x:c>
      <x:c r="F278" s="32" t="str">
        <x:v>Foundation-model evaluation</x:v>
      </x:c>
      <x:c r="G278" s="32" t="str">
        <x:v>Measure quality, safety, groundedness and task performance of generative-AI systems.</x:v>
      </x:c>
      <x:c r="H278" s="32" t="str">
        <x:v>Close</x:v>
      </x:c>
      <x:c r="I278" s="32"/>
      <x:c r="J278" s="32" t="str">
        <x:v>https://azure.microsoft.com/en-gb/products/</x:v>
      </x:c>
      <x:c r="K278" s="32" t="str">
        <x:v>2026-07-12</x:v>
      </x:c>
    </x:row>
    <x:row r="279">
      <x:c r="A279" s="32" t="str">
        <x:v>Microsoft Azure</x:v>
      </x:c>
      <x:c r="B279" s="32" t="str">
        <x:v>Microsoft Playwright Testing</x:v>
      </x:c>
      <x:c r="C279" s="32" t="str">
        <x:v>Named service / product family</x:v>
      </x:c>
      <x:c r="D279" s="32" t="str">
        <x:v>Developer Tools &amp; DevOps</x:v>
      </x:c>
      <x:c r="E279" s="32" t="str">
        <x:v>Testing</x:v>
      </x:c>
      <x:c r="F279" s="32" t="str">
        <x:v>Cloud application testing</x:v>
      </x:c>
      <x:c r="G279" s="32" t="str">
        <x:v>Run browser, mobile or load tests through managed infrastructure.</x:v>
      </x:c>
      <x:c r="H279" s="32" t="str">
        <x:v>Close</x:v>
      </x:c>
      <x:c r="I279" s="32"/>
      <x:c r="J279" s="32" t="str">
        <x:v>https://azure.microsoft.com/en-gb/products/</x:v>
      </x:c>
      <x:c r="K279" s="32" t="str">
        <x:v>2026-07-12</x:v>
      </x:c>
    </x:row>
    <x:row r="280">
      <x:c r="A280" s="32" t="str">
        <x:v>Microsoft Azure</x:v>
      </x:c>
      <x:c r="B280" s="32" t="str">
        <x:v>Microsoft Purview</x:v>
      </x:c>
      <x:c r="C280" s="32" t="str">
        <x:v>Named service / product family</x:v>
      </x:c>
      <x:c r="D280" s="32" t="str">
        <x:v>AI &amp; Machine Learning
Data, Analytics &amp; BI
Security, Identity &amp; Compliance</x:v>
      </x:c>
      <x:c r="E280" s="32" t="str">
        <x:v>AI governance
Data governance
Data perimeter
Data sharing</x:v>
      </x:c>
      <x:c r="F280" s="32" t="str">
        <x:v>AI governance and control plane
Enterprise data governance
Governed data sharing
Service data perimeter</x:v>
      </x:c>
      <x:c r="G280" s="32" t="str">
        <x:v>Inventory AI assets, apply policies, assess risk and oversee AI across its lifecycle.</x:v>
      </x:c>
      <x:c r="H280" s="32" t="str">
        <x:v>Close, Partial</x:v>
      </x:c>
      <x:c r="I280" s="32" t="str">
        <x:v>AI governance is a control set rather than one perfectly equivalent product.</x:v>
      </x:c>
      <x:c r="J280" s="32" t="str">
        <x:v>https://azure.microsoft.com/en-gb/products/</x:v>
      </x:c>
      <x:c r="K280" s="32" t="str">
        <x:v>2026-07-12</x:v>
      </x:c>
    </x:row>
    <x:row r="281">
      <x:c r="A281" s="32" t="str">
        <x:v>Microsoft Azure</x:v>
      </x:c>
      <x:c r="B281" s="32" t="str">
        <x:v>Microsoft Purview Compliance Manager</x:v>
      </x:c>
      <x:c r="C281" s="32" t="str">
        <x:v>Named service / product family</x:v>
      </x:c>
      <x:c r="D281" s="32" t="str">
        <x:v>Security, Identity &amp; Compliance</x:v>
      </x:c>
      <x:c r="E281" s="32" t="str">
        <x:v>Compliance evidence</x:v>
      </x:c>
      <x:c r="F281" s="32" t="str">
        <x:v>Compliance reports and evidence</x:v>
      </x:c>
      <x:c r="G281" s="32" t="str">
        <x:v>Access provider compliance reports and collect audit evidence.</x:v>
      </x:c>
      <x:c r="H281" s="32" t="str">
        <x:v>Close</x:v>
      </x:c>
      <x:c r="I281" s="32"/>
      <x:c r="J281" s="32" t="str">
        <x:v>https://azure.microsoft.com/en-gb/products/</x:v>
      </x:c>
      <x:c r="K281" s="32" t="str">
        <x:v>2026-07-12</x:v>
      </x:c>
    </x:row>
    <x:row r="282">
      <x:c r="A282" s="32" t="str">
        <x:v>Microsoft Azure</x:v>
      </x:c>
      <x:c r="B282" s="32" t="str">
        <x:v>Microsoft Purview Data Map</x:v>
      </x:c>
      <x:c r="C282" s="32" t="str">
        <x:v>Named service / product family</x:v>
      </x:c>
      <x:c r="D282" s="32" t="str">
        <x:v>Data, Analytics &amp; BI
Security, Identity &amp; Compliance</x:v>
      </x:c>
      <x:c r="E282" s="32" t="str">
        <x:v>Data catalogue
Data discovery</x:v>
      </x:c>
      <x:c r="F282" s="32" t="str">
        <x:v>Data catalogue and metadata
Sensitive-data discovery</x:v>
      </x:c>
      <x:c r="G282" s="32" t="str">
        <x:v>Discover, classify and monitor sensitive data held in cloud services.</x:v>
      </x:c>
      <x:c r="H282" s="32" t="str">
        <x:v>Close</x:v>
      </x:c>
      <x:c r="I282" s="32"/>
      <x:c r="J282" s="32" t="str">
        <x:v>https://azure.microsoft.com/en-gb/products/</x:v>
      </x:c>
      <x:c r="K282" s="32" t="str">
        <x:v>2026-07-12</x:v>
      </x:c>
    </x:row>
    <x:row r="283">
      <x:c r="A283" s="32" t="str">
        <x:v>Microsoft Azure</x:v>
      </x:c>
      <x:c r="B283" s="32" t="str">
        <x:v>Microsoft Purview Information Protection</x:v>
      </x:c>
      <x:c r="C283" s="32" t="str">
        <x:v>Named service / product family</x:v>
      </x:c>
      <x:c r="D283" s="32" t="str">
        <x:v>Security, Identity &amp; Compliance</x:v>
      </x:c>
      <x:c r="E283" s="32" t="str">
        <x:v>Data discovery</x:v>
      </x:c>
      <x:c r="F283" s="32" t="str">
        <x:v>Sensitive-data discovery</x:v>
      </x:c>
      <x:c r="G283" s="32" t="str">
        <x:v>Discover, classify and monitor sensitive data held in cloud services.</x:v>
      </x:c>
      <x:c r="H283" s="32" t="str">
        <x:v>Close</x:v>
      </x:c>
      <x:c r="I283" s="32"/>
      <x:c r="J283" s="32" t="str">
        <x:v>https://azure.microsoft.com/en-gb/products/</x:v>
      </x:c>
      <x:c r="K283" s="32" t="str">
        <x:v>2026-07-12</x:v>
      </x:c>
    </x:row>
    <x:row r="284">
      <x:c r="A284" s="32" t="str">
        <x:v>Microsoft Azure</x:v>
      </x:c>
      <x:c r="B284" s="32" t="str">
        <x:v>Microsoft Security Copilot</x:v>
      </x:c>
      <x:c r="C284" s="32" t="str">
        <x:v>Named service / product family</x:v>
      </x:c>
      <x:c r="D284" s="32" t="str">
        <x:v>AI &amp; Machine Learning
Security, Identity &amp; Compliance</x:v>
      </x:c>
      <x:c r="E284" s="32" t="str">
        <x:v>AI security
Security assistant</x:v>
      </x:c>
      <x:c r="F284" s="32" t="str">
        <x:v>AI security posture management
Generative-AI security assistant</x:v>
      </x:c>
      <x:c r="G284" s="32" t="str">
        <x:v>Discover AI workloads, identify risks and monitor threats affecting AI systems.</x:v>
      </x:c>
      <x:c r="H284" s="32" t="str">
        <x:v>Close, Partial</x:v>
      </x:c>
      <x:c r="I284" s="32"/>
      <x:c r="J284" s="32" t="str">
        <x:v>https://azure.microsoft.com/en-gb/products/</x:v>
      </x:c>
      <x:c r="K284" s="32" t="str">
        <x:v>2026-07-12</x:v>
      </x:c>
    </x:row>
    <x:row r="285">
      <x:c r="A285" s="32" t="str">
        <x:v>Microsoft Azure</x:v>
      </x:c>
      <x:c r="B285" s="32" t="str">
        <x:v>Microsoft Sentinel</x:v>
      </x:c>
      <x:c r="C285" s="32" t="str">
        <x:v>Named service / product family</x:v>
      </x:c>
      <x:c r="D285" s="32" t="str">
        <x:v>Security, Identity &amp; Compliance</x:v>
      </x:c>
      <x:c r="E285" s="32" t="str">
        <x:v>Investigation
SIEM and SOAR
Threat detection</x:v>
      </x:c>
      <x:c r="F285" s="32" t="str">
        <x:v>Cloud threat detection
Cloud-native SIEM and SOAR
Security investigation</x:v>
      </x:c>
      <x:c r="G285" s="32" t="str">
        <x:v>Detect suspicious activity, compromised identities and malicious workload behaviour.</x:v>
      </x:c>
      <x:c r="H285" s="32" t="str">
        <x:v>Close, Partial</x:v>
      </x:c>
      <x:c r="I285" s="32" t="str">
        <x:v>AWS provides the data lake and analytics building blocks but does not position one identical first-party SIEM product.</x:v>
      </x:c>
      <x:c r="J285" s="32" t="str">
        <x:v>https://azure.microsoft.com/en-gb/products/</x:v>
      </x:c>
      <x:c r="K285" s="32" t="str">
        <x:v>2026-07-12</x:v>
      </x:c>
    </x:row>
    <x:row r="286">
      <x:c r="A286" s="32" t="str">
        <x:v>Microsoft Azure</x:v>
      </x:c>
      <x:c r="B286" s="32" t="str">
        <x:v>Microsoft Sentinel data lake</x:v>
      </x:c>
      <x:c r="C286" s="32" t="str">
        <x:v>Named service / product family</x:v>
      </x:c>
      <x:c r="D286" s="32" t="str">
        <x:v>Security, Identity &amp; Compliance</x:v>
      </x:c>
      <x:c r="E286" s="32" t="str">
        <x:v>Security data lake</x:v>
      </x:c>
      <x:c r="F286" s="32" t="str">
        <x:v>Security telemetry lake</x:v>
      </x:c>
      <x:c r="G286" s="32" t="str">
        <x:v>Centralise normalised security logs and findings for analytics and detection.</x:v>
      </x:c>
      <x:c r="H286" s="32" t="str">
        <x:v>Close</x:v>
      </x:c>
      <x:c r="I286" s="32"/>
      <x:c r="J286" s="32" t="str">
        <x:v>https://azure.microsoft.com/en-gb/products/</x:v>
      </x:c>
      <x:c r="K286" s="32" t="str">
        <x:v>2026-07-12</x:v>
      </x:c>
    </x:row>
    <x:row r="287">
      <x:c r="A287" s="32" t="str">
        <x:v>Microsoft Azure</x:v>
      </x:c>
      <x:c r="B287" s="32" t="str">
        <x:v>Microsoft Service Trust Portal</x:v>
      </x:c>
      <x:c r="C287" s="32" t="str">
        <x:v>Named service / product family</x:v>
      </x:c>
      <x:c r="D287" s="32" t="str">
        <x:v>Security, Identity &amp; Compliance</x:v>
      </x:c>
      <x:c r="E287" s="32" t="str">
        <x:v>Compliance evidence</x:v>
      </x:c>
      <x:c r="F287" s="32" t="str">
        <x:v>Compliance reports and evidence</x:v>
      </x:c>
      <x:c r="G287" s="32" t="str">
        <x:v>Access provider compliance reports and collect audit evidence.</x:v>
      </x:c>
      <x:c r="H287" s="32" t="str">
        <x:v>Close</x:v>
      </x:c>
      <x:c r="I287" s="32"/>
      <x:c r="J287" s="32" t="str">
        <x:v>https://azure.microsoft.com/en-gb/products/</x:v>
      </x:c>
      <x:c r="K287" s="32" t="str">
        <x:v>2026-07-12</x:v>
      </x:c>
    </x:row>
    <x:row r="288">
      <x:c r="A288" s="32" t="str">
        <x:v>Microsoft Azure</x:v>
      </x:c>
      <x:c r="B288" s="32" t="str">
        <x:v>Microsoft Teams</x:v>
      </x:c>
      <x:c r="C288" s="32" t="str">
        <x:v>Named service / product family</x:v>
      </x:c>
      <x:c r="D288" s="32" t="str">
        <x:v>End-User Computing &amp; Business Apps</x:v>
      </x:c>
      <x:c r="E288" s="32" t="str">
        <x:v>Collaboration</x:v>
      </x:c>
      <x:c r="F288" s="32" t="str">
        <x:v>Business collaboration</x:v>
      </x:c>
      <x:c r="G288" s="32" t="str">
        <x:v>Provide meetings, chat, content collaboration and productivity capabilities.</x:v>
      </x:c>
      <x:c r="H288" s="32" t="str">
        <x:v>Partial</x:v>
      </x:c>
      <x:c r="I288" s="32"/>
      <x:c r="J288" s="32" t="str">
        <x:v>https://azure.microsoft.com/en-gb/products/</x:v>
      </x:c>
      <x:c r="K288" s="32" t="str">
        <x:v>2026-07-12</x:v>
      </x:c>
    </x:row>
    <x:row r="289">
      <x:c r="A289" s="32" t="str">
        <x:v>Microsoft Azure</x:v>
      </x:c>
      <x:c r="B289" s="32" t="str">
        <x:v>Network Security Groups</x:v>
      </x:c>
      <x:c r="C289" s="32" t="str">
        <x:v>Named service / product family</x:v>
      </x:c>
      <x:c r="D289" s="32" t="str">
        <x:v>Networking</x:v>
      </x:c>
      <x:c r="E289" s="32" t="str">
        <x:v>Network segmentation</x:v>
      </x:c>
      <x:c r="F289" s="32" t="str">
        <x:v>Network security groups</x:v>
      </x:c>
      <x:c r="G289" s="32" t="str">
        <x:v>Apply stateful network access rules to interfaces, workloads or subnets.</x:v>
      </x:c>
      <x:c r="H289" s="32" t="str">
        <x:v>Close</x:v>
      </x:c>
      <x:c r="I289" s="32"/>
      <x:c r="J289" s="32" t="str">
        <x:v>https://azure.microsoft.com/en-gb/products/</x:v>
      </x:c>
      <x:c r="K289" s="32" t="str">
        <x:v>2026-07-12</x:v>
      </x:c>
    </x:row>
    <x:row r="290">
      <x:c r="A290" s="32" t="str">
        <x:v>Microsoft Azure</x:v>
      </x:c>
      <x:c r="B290" s="32" t="str">
        <x:v>Observability in Foundry Control Plane</x:v>
      </x:c>
      <x:c r="C290" s="32" t="str">
        <x:v>Named service / product family</x:v>
      </x:c>
      <x:c r="D290" s="32" t="str">
        <x:v>AI &amp; Machine Learning</x:v>
      </x:c>
      <x:c r="E290" s="32" t="str">
        <x:v>AI observability</x:v>
      </x:c>
      <x:c r="F290" s="32" t="str">
        <x:v>AI application observability</x:v>
      </x:c>
      <x:c r="G290" s="32" t="str">
        <x:v>Trace prompts, agents, tools, latency, quality and token usage in AI applications.</x:v>
      </x:c>
      <x:c r="H290" s="32" t="str">
        <x:v>Close</x:v>
      </x:c>
      <x:c r="I290" s="32"/>
      <x:c r="J290" s="32" t="str">
        <x:v>https://azure.microsoft.com/en-gb/products/</x:v>
      </x:c>
      <x:c r="K290" s="32" t="str">
        <x:v>2026-07-12</x:v>
      </x:c>
    </x:row>
    <x:row r="291">
      <x:c r="A291" s="32" t="str">
        <x:v>Microsoft Azure</x:v>
      </x:c>
      <x:c r="B291" s="32" t="str">
        <x:v>Oracle Database@Azure</x:v>
      </x:c>
      <x:c r="C291" s="32" t="str">
        <x:v>Named service / product family</x:v>
      </x:c>
      <x:c r="D291" s="32" t="str">
        <x:v>Databases</x:v>
      </x:c>
      <x:c r="E291" s="32" t="str">
        <x:v>Oracle</x:v>
      </x:c>
      <x:c r="F291" s="32" t="str">
        <x:v>Managed Oracle database</x:v>
      </x:c>
      <x:c r="G291" s="32" t="str">
        <x:v>Operate Oracle database workloads through managed or cloud-hosted services.</x:v>
      </x:c>
      <x:c r="H291" s="32" t="str">
        <x:v>Close</x:v>
      </x:c>
      <x:c r="I291" s="32"/>
      <x:c r="J291" s="32" t="str">
        <x:v>https://azure.microsoft.com/en-gb/products/</x:v>
      </x:c>
      <x:c r="K291" s="32" t="str">
        <x:v>2026-07-12</x:v>
      </x:c>
    </x:row>
    <x:row r="292">
      <x:c r="A292" s="32" t="str">
        <x:v>Microsoft Azure</x:v>
      </x:c>
      <x:c r="B292" s="32" t="str">
        <x:v>Oracle on Azure VMs</x:v>
      </x:c>
      <x:c r="C292" s="32" t="str">
        <x:v>Architecture / partner alternative</x:v>
      </x:c>
      <x:c r="D292" s="32" t="str">
        <x:v>Databases</x:v>
      </x:c>
      <x:c r="E292" s="32" t="str">
        <x:v>Oracle</x:v>
      </x:c>
      <x:c r="F292" s="32" t="str">
        <x:v>Managed Oracle database</x:v>
      </x:c>
      <x:c r="G292" s="32" t="str">
        <x:v>Operate Oracle database workloads through managed or cloud-hosted services.</x:v>
      </x:c>
      <x:c r="H292" s="32" t="str">
        <x:v>Close</x:v>
      </x:c>
      <x:c r="I292" s="32"/>
      <x:c r="J292" s="32" t="str">
        <x:v>https://azure.microsoft.com/en-gb/products/</x:v>
      </x:c>
      <x:c r="K292" s="32" t="str">
        <x:v>2026-07-12</x:v>
      </x:c>
    </x:row>
    <x:row r="293">
      <x:c r="A293" s="32" t="str">
        <x:v>Microsoft Azure</x:v>
      </x:c>
      <x:c r="B293" s="32" t="str">
        <x:v>partner ad-insertion services on Azure</x:v>
      </x:c>
      <x:c r="C293" s="32" t="str">
        <x:v>Architecture / partner alternative</x:v>
      </x:c>
      <x:c r="D293" s="32" t="str">
        <x:v>Media &amp; Communications</x:v>
      </x:c>
      <x:c r="E293" s="32" t="str">
        <x:v>Ad insertion</x:v>
      </x:c>
      <x:c r="F293" s="32" t="str">
        <x:v>Server-side ad insertion</x:v>
      </x:c>
      <x:c r="G293" s="32" t="str">
        <x:v>Personalise and insert advertising into streaming video on the server side.</x:v>
      </x:c>
      <x:c r="H293" s="32" t="str">
        <x:v>Partial</x:v>
      </x:c>
      <x:c r="I293" s="32"/>
      <x:c r="J293" s="32" t="str">
        <x:v>https://azure.microsoft.com/en-gb/products/</x:v>
      </x:c>
      <x:c r="K293" s="32" t="str">
        <x:v>2026-07-12</x:v>
      </x:c>
    </x:row>
    <x:row r="294">
      <x:c r="A294" s="32" t="str">
        <x:v>Microsoft Azure</x:v>
      </x:c>
      <x:c r="B294" s="32" t="str">
        <x:v>partner live-video services on Azure</x:v>
      </x:c>
      <x:c r="C294" s="32" t="str">
        <x:v>Architecture / partner alternative</x:v>
      </x:c>
      <x:c r="D294" s="32" t="str">
        <x:v>Media &amp; Communications</x:v>
      </x:c>
      <x:c r="E294" s="32" t="str">
        <x:v>Live video processing</x:v>
      </x:c>
      <x:c r="F294" s="32" t="str">
        <x:v>Live video encoding</x:v>
      </x:c>
      <x:c r="G294" s="32" t="str">
        <x:v>Encode and transform live video streams for broadcast and online distribution.</x:v>
      </x:c>
      <x:c r="H294" s="32" t="str">
        <x:v>Partial</x:v>
      </x:c>
      <x:c r="I294" s="32"/>
      <x:c r="J294" s="32" t="str">
        <x:v>https://azure.microsoft.com/en-gb/products/</x:v>
      </x:c>
      <x:c r="K294" s="32" t="str">
        <x:v>2026-07-12</x:v>
      </x:c>
    </x:row>
    <x:row r="295">
      <x:c r="A295" s="32" t="str">
        <x:v>Microsoft Azure</x:v>
      </x:c>
      <x:c r="B295" s="32" t="str">
        <x:v>partner mainframe services</x:v>
      </x:c>
      <x:c r="C295" s="32" t="str">
        <x:v>Architecture / partner alternative</x:v>
      </x:c>
      <x:c r="D295" s="32" t="str">
        <x:v>Migration &amp; Modernisation</x:v>
      </x:c>
      <x:c r="E295" s="32" t="str">
        <x:v>Mainframe</x:v>
      </x:c>
      <x:c r="F295" s="32" t="str">
        <x:v>Mainframe modernisation</x:v>
      </x:c>
      <x:c r="G295" s="32" t="str">
        <x:v>Assess, replatform, refactor or incrementally modernise mainframe workloads.</x:v>
      </x:c>
      <x:c r="H295" s="32" t="str">
        <x:v>Partial</x:v>
      </x:c>
      <x:c r="I295" s="32"/>
      <x:c r="J295" s="32" t="str">
        <x:v>https://azure.microsoft.com/en-gb/products/</x:v>
      </x:c>
      <x:c r="K295" s="32" t="str">
        <x:v>2026-07-12</x:v>
      </x:c>
    </x:row>
    <x:row r="296">
      <x:c r="A296" s="32" t="str">
        <x:v>Microsoft Azure</x:v>
      </x:c>
      <x:c r="B296" s="32" t="str">
        <x:v>partner packaging</x:v>
      </x:c>
      <x:c r="C296" s="32" t="str">
        <x:v>Architecture / partner alternative</x:v>
      </x:c>
      <x:c r="D296" s="32" t="str">
        <x:v>Media &amp; Communications</x:v>
      </x:c>
      <x:c r="E296" s="32" t="str">
        <x:v>Video packaging</x:v>
      </x:c>
      <x:c r="F296" s="32" t="str">
        <x:v>Video packaging and origin</x:v>
      </x:c>
      <x:c r="G296" s="32" t="str">
        <x:v>Package live or on-demand video into streaming formats and serve manifests.</x:v>
      </x:c>
      <x:c r="H296" s="32" t="str">
        <x:v>Partial</x:v>
      </x:c>
      <x:c r="I296" s="32"/>
      <x:c r="J296" s="32" t="str">
        <x:v>https://azure.microsoft.com/en-gb/products/</x:v>
      </x:c>
      <x:c r="K296" s="32" t="str">
        <x:v>2026-07-12</x:v>
      </x:c>
    </x:row>
    <x:row r="297">
      <x:c r="A297" s="32" t="str">
        <x:v>Microsoft Azure</x:v>
      </x:c>
      <x:c r="B297" s="32" t="str">
        <x:v>Phi models</x:v>
      </x:c>
      <x:c r="C297" s="32" t="str">
        <x:v>Named service / product family</x:v>
      </x:c>
      <x:c r="D297" s="32" t="str">
        <x:v>AI &amp; Machine Learning</x:v>
      </x:c>
      <x:c r="E297" s="32" t="str">
        <x:v>Foundation models</x:v>
      </x:c>
      <x:c r="F297" s="32" t="str">
        <x:v>Provider foundation models</x:v>
      </x:c>
      <x:c r="G297" s="32" t="str">
        <x:v>Cloud-provider-developed multimodal foundation-model family.</x:v>
      </x:c>
      <x:c r="H297" s="32" t="str">
        <x:v>Close</x:v>
      </x:c>
      <x:c r="I297" s="32"/>
      <x:c r="J297" s="32" t="str">
        <x:v>https://azure.microsoft.com/en-gb/products/</x:v>
      </x:c>
      <x:c r="K297" s="32" t="str">
        <x:v>2026-07-12</x:v>
      </x:c>
    </x:row>
    <x:row r="298">
      <x:c r="A298" s="32" t="str">
        <x:v>Microsoft Azure</x:v>
      </x:c>
      <x:c r="B298" s="32" t="str">
        <x:v>PlayFab Multiplayer Servers</x:v>
      </x:c>
      <x:c r="C298" s="32" t="str">
        <x:v>Named service / product family</x:v>
      </x:c>
      <x:c r="D298" s="32" t="str">
        <x:v>Media &amp; Communications</x:v>
      </x:c>
      <x:c r="E298" s="32" t="str">
        <x:v>Game servers</x:v>
      </x:c>
      <x:c r="F298" s="32" t="str">
        <x:v>Managed multiplayer game servers</x:v>
      </x:c>
      <x:c r="G298" s="32" t="str">
        <x:v>Deploy, scale and operate session-based multiplayer game server fleets.</x:v>
      </x:c>
      <x:c r="H298" s="32" t="str">
        <x:v>Close</x:v>
      </x:c>
      <x:c r="I298" s="32"/>
      <x:c r="J298" s="32" t="str">
        <x:v>https://azure.microsoft.com/en-gb/products/</x:v>
      </x:c>
      <x:c r="K298" s="32" t="str">
        <x:v>2026-07-12</x:v>
      </x:c>
    </x:row>
    <x:row r="299">
      <x:c r="A299" s="32" t="str">
        <x:v>Microsoft Azure</x:v>
      </x:c>
      <x:c r="B299" s="32" t="str">
        <x:v>Power BI</x:v>
      </x:c>
      <x:c r="C299" s="32" t="str">
        <x:v>Named service / product family</x:v>
      </x:c>
      <x:c r="D299" s="32" t="str">
        <x:v>Data, Analytics &amp; BI</x:v>
      </x:c>
      <x:c r="E299" s="32" t="str">
        <x:v>Business intelligence</x:v>
      </x:c>
      <x:c r="F299" s="32" t="str">
        <x:v>Business intelligence and dashboards</x:v>
      </x:c>
      <x:c r="G299" s="32" t="str">
        <x:v>Create interactive reports, dashboards and governed analytical experiences.</x:v>
      </x:c>
      <x:c r="H299" s="32" t="str">
        <x:v>Close</x:v>
      </x:c>
      <x:c r="I299" s="32"/>
      <x:c r="J299" s="32" t="str">
        <x:v>https://azure.microsoft.com/en-gb/products/</x:v>
      </x:c>
      <x:c r="K299" s="32" t="str">
        <x:v>2026-07-12</x:v>
      </x:c>
    </x:row>
    <x:row r="300">
      <x:c r="A300" s="32" t="str">
        <x:v>Microsoft Azure</x:v>
      </x:c>
      <x:c r="B300" s="32" t="str">
        <x:v>Private Endpoints</x:v>
      </x:c>
      <x:c r="C300" s="32" t="str">
        <x:v>Named service / product family</x:v>
      </x:c>
      <x:c r="D300" s="32" t="str">
        <x:v>Networking</x:v>
      </x:c>
      <x:c r="E300" s="32" t="str">
        <x:v>Private services</x:v>
      </x:c>
      <x:c r="F300" s="32" t="str">
        <x:v>Private service endpoint</x:v>
      </x:c>
      <x:c r="G300" s="32" t="str">
        <x:v>Access managed services privately without traversing the public internet.</x:v>
      </x:c>
      <x:c r="H300" s="32" t="str">
        <x:v>Exact</x:v>
      </x:c>
      <x:c r="I300" s="32"/>
      <x:c r="J300" s="32" t="str">
        <x:v>https://azure.microsoft.com/en-gb/products/</x:v>
      </x:c>
      <x:c r="K300" s="32" t="str">
        <x:v>2026-07-12</x:v>
      </x:c>
    </x:row>
    <x:row r="301">
      <x:c r="A301" s="32" t="str">
        <x:v>Microsoft Azure</x:v>
      </x:c>
      <x:c r="B301" s="32" t="str">
        <x:v>Private Link</x:v>
      </x:c>
      <x:c r="C301" s="32" t="str">
        <x:v>Named service / product family</x:v>
      </x:c>
      <x:c r="D301" s="32" t="str">
        <x:v>Security, Identity &amp; Compliance</x:v>
      </x:c>
      <x:c r="E301" s="32" t="str">
        <x:v>Data perimeter</x:v>
      </x:c>
      <x:c r="F301" s="32" t="str">
        <x:v>Service data perimeter</x:v>
      </x:c>
      <x:c r="G301" s="32" t="str">
        <x:v>Restrict data movement and service access across trusted cloud boundaries.</x:v>
      </x:c>
      <x:c r="H301" s="32" t="str">
        <x:v>Close</x:v>
      </x:c>
      <x:c r="I301" s="32"/>
      <x:c r="J301" s="32" t="str">
        <x:v>https://azure.microsoft.com/en-gb/products/</x:v>
      </x:c>
      <x:c r="K301" s="32" t="str">
        <x:v>2026-07-12</x:v>
      </x:c>
    </x:row>
    <x:row r="302">
      <x:c r="A302" s="32" t="str">
        <x:v>Microsoft Azure</x:v>
      </x:c>
      <x:c r="B302" s="32" t="str">
        <x:v>Prompt flow in Microsoft Foundry</x:v>
      </x:c>
      <x:c r="C302" s="32" t="str">
        <x:v>Named service / product family</x:v>
      </x:c>
      <x:c r="D302" s="32" t="str">
        <x:v>AI &amp; Machine Learning</x:v>
      </x:c>
      <x:c r="E302" s="32" t="str">
        <x:v>Prompt engineering</x:v>
      </x:c>
      <x:c r="F302" s="32" t="str">
        <x:v>Prompt development and orchestration</x:v>
      </x:c>
      <x:c r="G302" s="32" t="str">
        <x:v>Design, test, version and connect prompts into AI workflows.</x:v>
      </x:c>
      <x:c r="H302" s="32" t="str">
        <x:v>Close</x:v>
      </x:c>
      <x:c r="I302" s="32"/>
      <x:c r="J302" s="32" t="str">
        <x:v>https://azure.microsoft.com/en-gb/products/</x:v>
      </x:c>
      <x:c r="K302" s="32" t="str">
        <x:v>2026-07-12</x:v>
      </x:c>
    </x:row>
    <x:row r="303">
      <x:c r="A303" s="32" t="str">
        <x:v>Microsoft Azure</x:v>
      </x:c>
      <x:c r="B303" s="32" t="str">
        <x:v>Prompt Shields in Azure AI Content Safety</x:v>
      </x:c>
      <x:c r="C303" s="32" t="str">
        <x:v>Named service / product family</x:v>
      </x:c>
      <x:c r="D303" s="32" t="str">
        <x:v>AI &amp; Machine Learning</x:v>
      </x:c>
      <x:c r="E303" s="32" t="str">
        <x:v>AI safety</x:v>
      </x:c>
      <x:c r="F303" s="32" t="str">
        <x:v>Prompt-injection protection</x:v>
      </x:c>
      <x:c r="G303" s="32" t="str">
        <x:v>Detect and mitigate malicious instructions, jailbreaks and unsafe prompt patterns.</x:v>
      </x:c>
      <x:c r="H303" s="32" t="str">
        <x:v>Close</x:v>
      </x:c>
      <x:c r="I303" s="32"/>
      <x:c r="J303" s="32" t="str">
        <x:v>https://azure.microsoft.com/en-gb/products/</x:v>
      </x:c>
      <x:c r="K303" s="32" t="str">
        <x:v>2026-07-12</x:v>
      </x:c>
    </x:row>
    <x:row r="304">
      <x:c r="A304" s="32" t="str">
        <x:v>Microsoft Azure</x:v>
      </x:c>
      <x:c r="B304" s="32" t="str">
        <x:v>SAP on Azure</x:v>
      </x:c>
      <x:c r="C304" s="32" t="str">
        <x:v>Named service / product family</x:v>
      </x:c>
      <x:c r="D304" s="32" t="str">
        <x:v>Compute &amp; Application Hosting</x:v>
      </x:c>
      <x:c r="E304" s="32" t="str">
        <x:v>SAP</x:v>
      </x:c>
      <x:c r="F304" s="32" t="str">
        <x:v>SAP workload platform</x:v>
      </x:c>
      <x:c r="G304" s="32" t="str">
        <x:v>Run certified SAP applications and databases on cloud infrastructure.</x:v>
      </x:c>
      <x:c r="H304" s="32" t="str">
        <x:v>Exact</x:v>
      </x:c>
      <x:c r="I304" s="32"/>
      <x:c r="J304" s="32" t="str">
        <x:v>https://azure.microsoft.com/en-gb/products/</x:v>
      </x:c>
      <x:c r="K304" s="32" t="str">
        <x:v>2026-07-12</x:v>
      </x:c>
    </x:row>
    <x:row r="305">
      <x:c r="A305" s="32" t="str">
        <x:v>Microsoft Azure</x:v>
      </x:c>
      <x:c r="B305" s="32" t="str">
        <x:v>SharePoint Online</x:v>
      </x:c>
      <x:c r="C305" s="32" t="str">
        <x:v>Named service / product family</x:v>
      </x:c>
      <x:c r="D305" s="32" t="str">
        <x:v>End-User Computing &amp; Business Apps</x:v>
      </x:c>
      <x:c r="E305" s="32" t="str">
        <x:v>Collaboration</x:v>
      </x:c>
      <x:c r="F305" s="32" t="str">
        <x:v>Business collaboration</x:v>
      </x:c>
      <x:c r="G305" s="32" t="str">
        <x:v>Provide meetings, chat, content collaboration and productivity capabilities.</x:v>
      </x:c>
      <x:c r="H305" s="32" t="str">
        <x:v>Partial</x:v>
      </x:c>
      <x:c r="I305" s="32"/>
      <x:c r="J305" s="32" t="str">
        <x:v>https://azure.microsoft.com/en-gb/products/</x:v>
      </x:c>
      <x:c r="K305" s="32" t="str">
        <x:v>2026-07-12</x:v>
      </x:c>
    </x:row>
    <x:row r="306">
      <x:c r="A306" s="32" t="str">
        <x:v>Microsoft Azure</x:v>
      </x:c>
      <x:c r="B306" s="32" t="str">
        <x:v>SQL Server on Azure VMs</x:v>
      </x:c>
      <x:c r="C306" s="32" t="str">
        <x:v>Architecture / partner alternative</x:v>
      </x:c>
      <x:c r="D306" s="32" t="str">
        <x:v>Databases</x:v>
      </x:c>
      <x:c r="E306" s="32" t="str">
        <x:v>SQL Server</x:v>
      </x:c>
      <x:c r="F306" s="32" t="str">
        <x:v>Managed SQL Server</x:v>
      </x:c>
      <x:c r="G306" s="32" t="str">
        <x:v>Run Microsoft SQL Server as a managed database or on cloud virtual machines.</x:v>
      </x:c>
      <x:c r="H306" s="32" t="str">
        <x:v>Close</x:v>
      </x:c>
      <x:c r="I306" s="32"/>
      <x:c r="J306" s="32" t="str">
        <x:v>https://azure.microsoft.com/en-gb/products/</x:v>
      </x:c>
      <x:c r="K306" s="32" t="str">
        <x:v>2026-07-12</x:v>
      </x:c>
    </x:row>
    <x:row r="307">
      <x:c r="A307" s="32" t="str">
        <x:v>Microsoft Azure</x:v>
      </x:c>
      <x:c r="B307" s="32" t="str">
        <x:v>Virtual Machine Scale Sets</x:v>
      </x:c>
      <x:c r="C307" s="32" t="str">
        <x:v>Named service / product family</x:v>
      </x:c>
      <x:c r="D307" s="32" t="str">
        <x:v>Compute &amp; Application Hosting</x:v>
      </x:c>
      <x:c r="E307" s="32" t="str">
        <x:v>Autoscaling</x:v>
      </x:c>
      <x:c r="F307" s="32" t="str">
        <x:v>Virtual-machine autoscaling</x:v>
      </x:c>
      <x:c r="G307" s="32" t="str">
        <x:v>Automatically add or remove virtual-machine capacity based on demand or schedules.</x:v>
      </x:c>
      <x:c r="H307" s="32" t="str">
        <x:v>Exact</x:v>
      </x:c>
      <x:c r="I307" s="32"/>
      <x:c r="J307" s="32" t="str">
        <x:v>https://azure.microsoft.com/en-gb/products/</x:v>
      </x:c>
      <x:c r="K307" s="32" t="str">
        <x:v>2026-07-12</x:v>
      </x:c>
    </x:row>
    <x:row r="308">
      <x:c r="A308" s="32" t="str">
        <x:v>Microsoft Azure</x:v>
      </x:c>
      <x:c r="B308" s="32" t="str">
        <x:v>Windows 365</x:v>
      </x:c>
      <x:c r="C308" s="32" t="str">
        <x:v>Named service / product family</x:v>
      </x:c>
      <x:c r="D308" s="32" t="str">
        <x:v>End-User Computing &amp; Business Apps</x:v>
      </x:c>
      <x:c r="E308" s="32" t="str">
        <x:v>Virtual desktops</x:v>
      </x:c>
      <x:c r="F308" s="32" t="str">
        <x:v>Managed virtual desktop</x:v>
      </x:c>
      <x:c r="G308" s="32" t="str">
        <x:v>Deliver cloud-hosted desktops and applications to end users.</x:v>
      </x:c>
      <x:c r="H308" s="32" t="str">
        <x:v>Partial</x:v>
      </x:c>
      <x:c r="I308" s="32"/>
      <x:c r="J308" s="32" t="str">
        <x:v>https://azure.microsoft.com/en-gb/products/</x:v>
      </x:c>
      <x:c r="K308" s="32" t="str">
        <x:v>2026-07-12</x:v>
      </x:c>
    </x:row>
  </x:sheetData>
  <x:mergeCells>
    <x:mergeCell ref="A1:K1"/>
    <x:mergeCell ref="A2:K2"/>
  </x:mergeCells>
  <x:pageMargins left="0.7" right="0.7" top="0.75" bottom="0.75" header="0.3" footer="0.3"/>
  <x:tableParts count="1">
    <x:tablePart xmlns:r="http://schemas.openxmlformats.org/officeDocument/2006/relationships" r:id="R1d0621362c294a7d"/>
  </x:tableParts>
</x:worksheet>
</file>

<file path=xl/worksheets/sheet11.xml><?xml version="1.0" encoding="utf-8"?>
<x:worksheet xmlns:x="http://schemas.openxmlformats.org/spreadsheetml/2006/main">
  <x:sheetFormatPr defaultRowHeight="15"/>
  <x:cols>
    <x:col min="1" max="1" width="18" hidden="0" customWidth="1"/>
    <x:col min="2" max="2" width="40" hidden="0" customWidth="1"/>
    <x:col min="3" max="3" width="28" hidden="0" customWidth="1"/>
    <x:col min="4" max="4" width="30" hidden="0" customWidth="1"/>
    <x:col min="5" max="5" width="30" hidden="0" customWidth="1"/>
    <x:col min="6" max="6" width="45" hidden="0" customWidth="1"/>
    <x:col min="7" max="7" width="48" hidden="0" customWidth="1"/>
    <x:col min="8" max="8" width="18" hidden="0" customWidth="1"/>
    <x:col min="9" max="9" width="42" hidden="0" customWidth="1"/>
    <x:col min="10" max="10" width="48" hidden="0" customWidth="1"/>
    <x:col min="11" max="11" width="14" hidden="0" customWidth="1"/>
  </x:cols>
  <x:sheetData>
    <x:row r="1" ht="30" customHeight="1">
      <x:c r="A1" s="5" t="str">
        <x:v>GCP Catalogue</x:v>
      </x:c>
      <x:c r="B1" s="5"/>
      <x:c r="C1" s="5"/>
      <x:c r="D1" s="5"/>
      <x:c r="E1" s="5"/>
      <x:c r="F1" s="5"/>
      <x:c r="G1" s="5"/>
      <x:c r="H1" s="5"/>
      <x:c r="I1" s="5"/>
      <x:c r="J1" s="5"/>
      <x:c r="K1" s="5"/>
    </x:row>
    <x:row r="2" ht="34" customHeight="1">
      <x:c r="A2" s="14" t="str">
        <x:v>Provider catalogue retained for A–Z service lookup and traceability.</x:v>
      </x:c>
      <x:c r="B2" s="14"/>
      <x:c r="C2" s="14"/>
      <x:c r="D2" s="14"/>
      <x:c r="E2" s="14"/>
      <x:c r="F2" s="14"/>
      <x:c r="G2" s="14"/>
      <x:c r="H2" s="14"/>
      <x:c r="I2" s="14"/>
      <x:c r="J2" s="14"/>
      <x:c r="K2" s="14"/>
    </x:row>
    <x:row r="4" ht="34" customHeight="1">
      <x:c r="A4" s="24" t="str">
        <x:v>Provider</x:v>
      </x:c>
      <x:c r="B4" s="24" t="str">
        <x:v>Service or product family</x:v>
      </x:c>
      <x:c r="C4" s="24" t="str">
        <x:v>Entry type</x:v>
      </x:c>
      <x:c r="D4" s="24" t="str">
        <x:v>Domain(s)</x:v>
      </x:c>
      <x:c r="E4" s="24" t="str">
        <x:v>Category / categories</x:v>
      </x:c>
      <x:c r="F4" s="24" t="str">
        <x:v>Mapped generic capability / capabilities</x:v>
      </x:c>
      <x:c r="G4" s="24" t="str">
        <x:v>Short description</x:v>
      </x:c>
      <x:c r="H4" s="24" t="str">
        <x:v>Mapping confidence</x:v>
      </x:c>
      <x:c r="I4" s="24" t="str">
        <x:v>Notes</x:v>
      </x:c>
      <x:c r="J4" s="24" t="str">
        <x:v>Official catalogue</x:v>
      </x:c>
      <x:c r="K4" s="24" t="str">
        <x:v>Verified date</x:v>
      </x:c>
    </x:row>
    <x:row r="5">
      <x:c r="A5" s="32" t="str">
        <x:v>Google Cloud</x:v>
      </x:c>
      <x:c r="B5" s="32" t="str">
        <x:v>Access Context Manager</x:v>
      </x:c>
      <x:c r="C5" s="32" t="str">
        <x:v>Named service / product family</x:v>
      </x:c>
      <x:c r="D5" s="32" t="str">
        <x:v>Security, Identity &amp; Compliance</x:v>
      </x:c>
      <x:c r="E5" s="32" t="str">
        <x:v>Data perimeter</x:v>
      </x:c>
      <x:c r="F5" s="32" t="str">
        <x:v>Service data perimeter</x:v>
      </x:c>
      <x:c r="G5" s="32" t="str">
        <x:v>Restrict data movement and service access across trusted cloud boundaries.</x:v>
      </x:c>
      <x:c r="H5" s="32" t="str">
        <x:v>Close</x:v>
      </x:c>
      <x:c r="I5" s="32"/>
      <x:c r="J5" s="32" t="str">
        <x:v>https://docs.cloud.google.com/docs/product-list</x:v>
      </x:c>
      <x:c r="K5" s="32" t="str">
        <x:v>2026-07-12</x:v>
      </x:c>
    </x:row>
    <x:row r="6">
      <x:c r="A6" s="32" t="str">
        <x:v>Google Cloud</x:v>
      </x:c>
      <x:c r="B6" s="32" t="str">
        <x:v>Access Transparency</x:v>
      </x:c>
      <x:c r="C6" s="32" t="str">
        <x:v>Named service / product family</x:v>
      </x:c>
      <x:c r="D6" s="32" t="str">
        <x:v>Security, Identity &amp; Compliance</x:v>
      </x:c>
      <x:c r="E6" s="32" t="str">
        <x:v>Access transparency</x:v>
      </x:c>
      <x:c r="F6" s="32" t="str">
        <x:v>Provider access transparency</x:v>
      </x:c>
      <x:c r="G6" s="32" t="str">
        <x:v>Show when and why provider personnel accessed customer content.</x:v>
      </x:c>
      <x:c r="H6" s="32" t="str">
        <x:v>Partial</x:v>
      </x:c>
      <x:c r="I6" s="32"/>
      <x:c r="J6" s="32" t="str">
        <x:v>https://docs.cloud.google.com/docs/product-list</x:v>
      </x:c>
      <x:c r="K6" s="32" t="str">
        <x:v>2026-07-12</x:v>
      </x:c>
    </x:row>
    <x:row r="7">
      <x:c r="A7" s="32" t="str">
        <x:v>Google Cloud</x:v>
      </x:c>
      <x:c r="B7" s="32" t="str">
        <x:v>Advisory Notifications</x:v>
      </x:c>
      <x:c r="C7" s="32" t="str">
        <x:v>Named service / product family</x:v>
      </x:c>
      <x:c r="D7" s="32" t="str">
        <x:v>Governance &amp; Management</x:v>
      </x:c>
      <x:c r="E7" s="32" t="str">
        <x:v>Notifications</x:v>
      </x:c>
      <x:c r="F7" s="32" t="str">
        <x:v>Central cloud notifications</x:v>
      </x:c>
      <x:c r="G7" s="32" t="str">
        <x:v>Route cloud operational and governance notifications to users and channels.</x:v>
      </x:c>
      <x:c r="H7" s="32" t="str">
        <x:v>Close</x:v>
      </x:c>
      <x:c r="I7" s="32"/>
      <x:c r="J7" s="32" t="str">
        <x:v>https://docs.cloud.google.com/docs/product-list</x:v>
      </x:c>
      <x:c r="K7" s="32" t="str">
        <x:v>2026-07-12</x:v>
      </x:c>
    </x:row>
    <x:row r="8">
      <x:c r="A8" s="32" t="str">
        <x:v>Google Cloud</x:v>
      </x:c>
      <x:c r="B8" s="32" t="str">
        <x:v>Agent Assist</x:v>
      </x:c>
      <x:c r="C8" s="32" t="str">
        <x:v>Named service / product family</x:v>
      </x:c>
      <x:c r="D8" s="32" t="str">
        <x:v>AI &amp; Machine Learning</x:v>
      </x:c>
      <x:c r="E8" s="32" t="str">
        <x:v>Contact-centre AI</x:v>
      </x:c>
      <x:c r="F8" s="32" t="str">
        <x:v>Agent assistance and conversation analytics</x:v>
      </x:c>
      <x:c r="G8" s="32" t="str">
        <x:v>Assist human contact-centre agents and analyse customer interactions.</x:v>
      </x:c>
      <x:c r="H8" s="32" t="str">
        <x:v>Partial</x:v>
      </x:c>
      <x:c r="I8" s="32"/>
      <x:c r="J8" s="32" t="str">
        <x:v>https://docs.cloud.google.com/docs/product-list</x:v>
      </x:c>
      <x:c r="K8" s="32" t="str">
        <x:v>2026-07-12</x:v>
      </x:c>
    </x:row>
    <x:row r="9">
      <x:c r="A9" s="32" t="str">
        <x:v>Google Cloud</x:v>
      </x:c>
      <x:c r="B9" s="32" t="str">
        <x:v>Agent Development Kit</x:v>
      </x:c>
      <x:c r="C9" s="32" t="str">
        <x:v>Named service / product family</x:v>
      </x:c>
      <x:c r="D9" s="32" t="str">
        <x:v>AI &amp; Machine Learning</x:v>
      </x:c>
      <x:c r="E9" s="32" t="str">
        <x:v>Agents</x:v>
      </x:c>
      <x:c r="F9" s="32" t="str">
        <x:v>Multi-agent orchestration</x:v>
      </x:c>
      <x:c r="G9" s="32" t="str">
        <x:v>Coordinate specialised AI agents, workflows and tools to complete complex tasks.</x:v>
      </x:c>
      <x:c r="H9" s="32" t="str">
        <x:v>Close</x:v>
      </x:c>
      <x:c r="I9" s="32"/>
      <x:c r="J9" s="32" t="str">
        <x:v>https://docs.cloud.google.com/docs/product-list</x:v>
      </x:c>
      <x:c r="K9" s="32" t="str">
        <x:v>2026-07-12</x:v>
      </x:c>
    </x:row>
    <x:row r="10">
      <x:c r="A10" s="32" t="str">
        <x:v>Google Cloud</x:v>
      </x:c>
      <x:c r="B10" s="32" t="str">
        <x:v>Agent Platform Inference</x:v>
      </x:c>
      <x:c r="C10" s="32" t="str">
        <x:v>Named service / product family</x:v>
      </x:c>
      <x:c r="D10" s="32" t="str">
        <x:v>AI &amp; Machine Learning</x:v>
      </x:c>
      <x:c r="E10" s="32" t="str">
        <x:v>Inference</x:v>
      </x:c>
      <x:c r="F10" s="32" t="str">
        <x:v>Managed real-time model endpoints</x:v>
      </x:c>
      <x:c r="G10" s="32" t="str">
        <x:v>Serve machine-learning models through autoscaling online inference endpoints.</x:v>
      </x:c>
      <x:c r="H10" s="32" t="str">
        <x:v>Exact</x:v>
      </x:c>
      <x:c r="I10" s="32"/>
      <x:c r="J10" s="32" t="str">
        <x:v>https://docs.cloud.google.com/docs/product-list</x:v>
      </x:c>
      <x:c r="K10" s="32" t="str">
        <x:v>2026-07-12</x:v>
      </x:c>
    </x:row>
    <x:row r="11">
      <x:c r="A11" s="32" t="str">
        <x:v>Google Cloud</x:v>
      </x:c>
      <x:c r="B11" s="32" t="str">
        <x:v>Agent Platform Managed Training</x:v>
      </x:c>
      <x:c r="C11" s="32" t="str">
        <x:v>Named service / product family</x:v>
      </x:c>
      <x:c r="D11" s="32" t="str">
        <x:v>AI &amp; Machine Learning</x:v>
      </x:c>
      <x:c r="E11" s="32" t="str">
        <x:v>Training</x:v>
      </x:c>
      <x:c r="F11" s="32" t="str">
        <x:v>Managed model training</x:v>
      </x:c>
      <x:c r="G11" s="32" t="str">
        <x:v>Run managed, scalable training jobs using CPUs, GPUs or specialised accelerators.</x:v>
      </x:c>
      <x:c r="H11" s="32" t="str">
        <x:v>Close</x:v>
      </x:c>
      <x:c r="I11" s="32"/>
      <x:c r="J11" s="32" t="str">
        <x:v>https://docs.cloud.google.com/docs/product-list</x:v>
      </x:c>
      <x:c r="K11" s="32" t="str">
        <x:v>2026-07-12</x:v>
      </x:c>
    </x:row>
    <x:row r="12">
      <x:c r="A12" s="32" t="str">
        <x:v>Google Cloud</x:v>
      </x:c>
      <x:c r="B12" s="32" t="str">
        <x:v>Agent Platform Pipelines</x:v>
      </x:c>
      <x:c r="C12" s="32" t="str">
        <x:v>Named service / product family</x:v>
      </x:c>
      <x:c r="D12" s="32" t="str">
        <x:v>AI &amp; Machine Learning</x:v>
      </x:c>
      <x:c r="E12" s="32" t="str">
        <x:v>MLOps</x:v>
      </x:c>
      <x:c r="F12" s="32" t="str">
        <x:v>ML pipelines</x:v>
      </x:c>
      <x:c r="G12" s="32" t="str">
        <x:v>Orchestrate repeatable data preparation, training, validation and deployment pipelines.</x:v>
      </x:c>
      <x:c r="H12" s="32" t="str">
        <x:v>Exact</x:v>
      </x:c>
      <x:c r="I12" s="32"/>
      <x:c r="J12" s="32" t="str">
        <x:v>https://docs.cloud.google.com/docs/product-list</x:v>
      </x:c>
      <x:c r="K12" s="32" t="str">
        <x:v>2026-07-12</x:v>
      </x:c>
    </x:row>
    <x:row r="13">
      <x:c r="A13" s="32" t="str">
        <x:v>Google Cloud</x:v>
      </x:c>
      <x:c r="B13" s="32" t="str">
        <x:v>Agent Platform Vision</x:v>
      </x:c>
      <x:c r="C13" s="32" t="str">
        <x:v>Named service / product family</x:v>
      </x:c>
      <x:c r="D13" s="32" t="str">
        <x:v>AI &amp; Machine Learning</x:v>
      </x:c>
      <x:c r="E13" s="32" t="str">
        <x:v>Video AI</x:v>
      </x:c>
      <x:c r="F13" s="32" t="str">
        <x:v>Video intelligence</x:v>
      </x:c>
      <x:c r="G13" s="32" t="str">
        <x:v>Analyse, index and extract metadata from video content.</x:v>
      </x:c>
      <x:c r="H13" s="32" t="str">
        <x:v>Close</x:v>
      </x:c>
      <x:c r="I13" s="32"/>
      <x:c r="J13" s="32" t="str">
        <x:v>https://docs.cloud.google.com/docs/product-list</x:v>
      </x:c>
      <x:c r="K13" s="32" t="str">
        <x:v>2026-07-12</x:v>
      </x:c>
    </x:row>
    <x:row r="14">
      <x:c r="A14" s="32" t="str">
        <x:v>Google Cloud</x:v>
      </x:c>
      <x:c r="B14" s="32" t="str">
        <x:v>Agones on Google Kubernetes Engine</x:v>
      </x:c>
      <x:c r="C14" s="32" t="str">
        <x:v>Named service / product family</x:v>
      </x:c>
      <x:c r="D14" s="32" t="str">
        <x:v>Media &amp; Communications</x:v>
      </x:c>
      <x:c r="E14" s="32" t="str">
        <x:v>Game servers</x:v>
      </x:c>
      <x:c r="F14" s="32" t="str">
        <x:v>Managed multiplayer game servers</x:v>
      </x:c>
      <x:c r="G14" s="32" t="str">
        <x:v>Deploy, scale and operate session-based multiplayer game server fleets.</x:v>
      </x:c>
      <x:c r="H14" s="32" t="str">
        <x:v>Close</x:v>
      </x:c>
      <x:c r="I14" s="32"/>
      <x:c r="J14" s="32" t="str">
        <x:v>https://docs.cloud.google.com/docs/product-list</x:v>
      </x:c>
      <x:c r="K14" s="32" t="str">
        <x:v>2026-07-12</x:v>
      </x:c>
    </x:row>
    <x:row r="15">
      <x:c r="A15" s="32" t="str">
        <x:v>Google Cloud</x:v>
      </x:c>
      <x:c r="B15" s="32" t="str">
        <x:v>AI Commerce Search</x:v>
      </x:c>
      <x:c r="C15" s="32" t="str">
        <x:v>Named service / product family</x:v>
      </x:c>
      <x:c r="D15" s="32" t="str">
        <x:v>Industry &amp; Specialist</x:v>
      </x:c>
      <x:c r="E15" s="32" t="str">
        <x:v>Retail search</x:v>
      </x:c>
      <x:c r="F15" s="32" t="str">
        <x:v>Retail product search and discovery</x:v>
      </x:c>
      <x:c r="G15" s="32" t="str">
        <x:v>Provide semantic product search, recommendations and retail discovery.</x:v>
      </x:c>
      <x:c r="H15" s="32" t="str">
        <x:v>Close</x:v>
      </x:c>
      <x:c r="I15" s="32"/>
      <x:c r="J15" s="32" t="str">
        <x:v>https://docs.cloud.google.com/docs/product-list</x:v>
      </x:c>
      <x:c r="K15" s="32" t="str">
        <x:v>2026-07-12</x:v>
      </x:c>
    </x:row>
    <x:row r="16">
      <x:c r="A16" s="32" t="str">
        <x:v>Google Cloud</x:v>
      </x:c>
      <x:c r="B16" s="32" t="str">
        <x:v>AI Hypercomputer</x:v>
      </x:c>
      <x:c r="C16" s="32" t="str">
        <x:v>Named service / product family</x:v>
      </x:c>
      <x:c r="D16" s="32" t="str">
        <x:v>AI &amp; Machine Learning</x:v>
      </x:c>
      <x:c r="E16" s="32" t="str">
        <x:v>AI infrastructure</x:v>
      </x:c>
      <x:c r="F16" s="32" t="str">
        <x:v>AI accelerators</x:v>
      </x:c>
      <x:c r="G16" s="32" t="str">
        <x:v>Provide specialised GPU or accelerator infrastructure for training and inference.</x:v>
      </x:c>
      <x:c r="H16" s="32" t="str">
        <x:v>Close</x:v>
      </x:c>
      <x:c r="I16" s="32"/>
      <x:c r="J16" s="32" t="str">
        <x:v>https://docs.cloud.google.com/docs/product-list</x:v>
      </x:c>
      <x:c r="K16" s="32" t="str">
        <x:v>2026-07-12</x:v>
      </x:c>
    </x:row>
    <x:row r="17">
      <x:c r="A17" s="32" t="str">
        <x:v>Google Cloud</x:v>
      </x:c>
      <x:c r="B17" s="32" t="str">
        <x:v>AlloyDB AI</x:v>
      </x:c>
      <x:c r="C17" s="32" t="str">
        <x:v>Named service / product family</x:v>
      </x:c>
      <x:c r="D17" s="32" t="str">
        <x:v>AI &amp; Machine Learning</x:v>
      </x:c>
      <x:c r="E17" s="32" t="str">
        <x:v>Vector search</x:v>
      </x:c>
      <x:c r="F17" s="32" t="str">
        <x:v>Managed vector search</x:v>
      </x:c>
      <x:c r="G17" s="32" t="str">
        <x:v>Store embeddings and run similarity search for RAG and recommendation workloads.</x:v>
      </x:c>
      <x:c r="H17" s="32" t="str">
        <x:v>Close</x:v>
      </x:c>
      <x:c r="I17" s="32"/>
      <x:c r="J17" s="32" t="str">
        <x:v>https://docs.cloud.google.com/docs/product-list</x:v>
      </x:c>
      <x:c r="K17" s="32" t="str">
        <x:v>2026-07-12</x:v>
      </x:c>
    </x:row>
    <x:row r="18">
      <x:c r="A18" s="32" t="str">
        <x:v>Google Cloud</x:v>
      </x:c>
      <x:c r="B18" s="32" t="str">
        <x:v>AlloyDB for PostgreSQL</x:v>
      </x:c>
      <x:c r="C18" s="32" t="str">
        <x:v>Named service / product family</x:v>
      </x:c>
      <x:c r="D18" s="32" t="str">
        <x:v>Databases</x:v>
      </x:c>
      <x:c r="E18" s="32" t="str">
        <x:v>Cloud-native relational
PostgreSQL</x:v>
      </x:c>
      <x:c r="F18" s="32" t="str">
        <x:v>Cloud-native relational database
High-performance PostgreSQL-compatible database</x:v>
      </x:c>
      <x:c r="G18" s="32" t="str">
        <x:v>Run a highly available cloud-native relational database optimised for scale and resilience.</x:v>
      </x:c>
      <x:c r="H18" s="32" t="str">
        <x:v>Close</x:v>
      </x:c>
      <x:c r="I18" s="32"/>
      <x:c r="J18" s="32" t="str">
        <x:v>https://docs.cloud.google.com/docs/product-list</x:v>
      </x:c>
      <x:c r="K18" s="32" t="str">
        <x:v>2026-07-12</x:v>
      </x:c>
    </x:row>
    <x:row r="19">
      <x:c r="A19" s="32" t="str">
        <x:v>Google Cloud</x:v>
      </x:c>
      <x:c r="B19" s="32" t="str">
        <x:v>Analytics Hub</x:v>
      </x:c>
      <x:c r="C19" s="32" t="str">
        <x:v>Named service / product family</x:v>
      </x:c>
      <x:c r="D19" s="32" t="str">
        <x:v>Data, Analytics &amp; BI</x:v>
      </x:c>
      <x:c r="E19" s="32" t="str">
        <x:v>Data sharing</x:v>
      </x:c>
      <x:c r="F19" s="32" t="str">
        <x:v>Governed data sharing</x:v>
      </x:c>
      <x:c r="G19" s="32" t="str">
        <x:v>Share datasets with internal or external consumers under controlled access.</x:v>
      </x:c>
      <x:c r="H19" s="32" t="str">
        <x:v>Close</x:v>
      </x:c>
      <x:c r="I19" s="32"/>
      <x:c r="J19" s="32" t="str">
        <x:v>https://docs.cloud.google.com/docs/product-list</x:v>
      </x:c>
      <x:c r="K19" s="32" t="str">
        <x:v>2026-07-12</x:v>
      </x:c>
    </x:row>
    <x:row r="20">
      <x:c r="A20" s="32" t="str">
        <x:v>Google Cloud</x:v>
      </x:c>
      <x:c r="B20" s="32" t="str">
        <x:v>Anti Money Laundering AI</x:v>
      </x:c>
      <x:c r="C20" s="32" t="str">
        <x:v>Named service / product family</x:v>
      </x:c>
      <x:c r="D20" s="32" t="str">
        <x:v>AI &amp; Machine Learning
Industry &amp; Specialist</x:v>
      </x:c>
      <x:c r="E20" s="32" t="str">
        <x:v>Financial crime
Fraud &amp; risk</x:v>
      </x:c>
      <x:c r="F20" s="32" t="str">
        <x:v>Anti-money-laundering AI
Fraud detection</x:v>
      </x:c>
      <x:c r="G20" s="32" t="str">
        <x:v>Build or consume models that identify suspicious transactions and behaviour.</x:v>
      </x:c>
      <x:c r="H20" s="32" t="str">
        <x:v>Partial</x:v>
      </x:c>
      <x:c r="I20" s="32"/>
      <x:c r="J20" s="32" t="str">
        <x:v>https://docs.cloud.google.com/docs/product-list</x:v>
      </x:c>
      <x:c r="K20" s="32" t="str">
        <x:v>2026-07-12</x:v>
      </x:c>
    </x:row>
    <x:row r="21">
      <x:c r="A21" s="32" t="str">
        <x:v>Google Cloud</x:v>
      </x:c>
      <x:c r="B21" s="32" t="str">
        <x:v>API Gateway</x:v>
      </x:c>
      <x:c r="C21" s="32" t="str">
        <x:v>Named service / product family</x:v>
      </x:c>
      <x:c r="D21" s="32" t="str">
        <x:v>Networking</x:v>
      </x:c>
      <x:c r="E21" s="32" t="str">
        <x:v>API networking</x:v>
      </x:c>
      <x:c r="F21" s="32" t="str">
        <x:v>API gateway</x:v>
      </x:c>
      <x:c r="G21" s="32" t="str">
        <x:v>Publish, secure, throttle, transform and monitor APIs.</x:v>
      </x:c>
      <x:c r="H21" s="32" t="str">
        <x:v>Close</x:v>
      </x:c>
      <x:c r="I21" s="32"/>
      <x:c r="J21" s="32" t="str">
        <x:v>https://docs.cloud.google.com/docs/product-list</x:v>
      </x:c>
      <x:c r="K21" s="32" t="str">
        <x:v>2026-07-12</x:v>
      </x:c>
    </x:row>
    <x:row r="22">
      <x:c r="A22" s="32" t="str">
        <x:v>Google Cloud</x:v>
      </x:c>
      <x:c r="B22" s="32" t="str">
        <x:v>Apigee</x:v>
      </x:c>
      <x:c r="C22" s="32" t="str">
        <x:v>Named service / product family</x:v>
      </x:c>
      <x:c r="D22" s="32" t="str">
        <x:v>Networking</x:v>
      </x:c>
      <x:c r="E22" s="32" t="str">
        <x:v>API networking</x:v>
      </x:c>
      <x:c r="F22" s="32" t="str">
        <x:v>API gateway</x:v>
      </x:c>
      <x:c r="G22" s="32" t="str">
        <x:v>Publish, secure, throttle, transform and monitor APIs.</x:v>
      </x:c>
      <x:c r="H22" s="32" t="str">
        <x:v>Close</x:v>
      </x:c>
      <x:c r="I22" s="32"/>
      <x:c r="J22" s="32" t="str">
        <x:v>https://docs.cloud.google.com/docs/product-list</x:v>
      </x:c>
      <x:c r="K22" s="32" t="str">
        <x:v>2026-07-12</x:v>
      </x:c>
    </x:row>
    <x:row r="23">
      <x:c r="A23" s="32" t="str">
        <x:v>Google Cloud</x:v>
      </x:c>
      <x:c r="B23" s="32" t="str">
        <x:v>App Engine</x:v>
      </x:c>
      <x:c r="C23" s="32" t="str">
        <x:v>Named service / product family</x:v>
      </x:c>
      <x:c r="D23" s="32" t="str">
        <x:v>Compute &amp; Application Hosting</x:v>
      </x:c>
      <x:c r="E23" s="32" t="str">
        <x:v>Application PaaS</x:v>
      </x:c>
      <x:c r="F23" s="32" t="str">
        <x:v>Managed web application platform</x:v>
      </x:c>
      <x:c r="G23" s="32" t="str">
        <x:v>Deploy web applications and APIs on a managed runtime platform.</x:v>
      </x:c>
      <x:c r="H23" s="32" t="str">
        <x:v>Close</x:v>
      </x:c>
      <x:c r="I23" s="32"/>
      <x:c r="J23" s="32" t="str">
        <x:v>https://docs.cloud.google.com/docs/product-list</x:v>
      </x:c>
      <x:c r="K23" s="32" t="str">
        <x:v>2026-07-12</x:v>
      </x:c>
    </x:row>
    <x:row r="24">
      <x:c r="A24" s="32" t="str">
        <x:v>Google Cloud</x:v>
      </x:c>
      <x:c r="B24" s="32" t="str">
        <x:v>App Hub</x:v>
      </x:c>
      <x:c r="C24" s="32" t="str">
        <x:v>Named service / product family</x:v>
      </x:c>
      <x:c r="D24" s="32" t="str">
        <x:v>Developer Tools &amp; DevOps</x:v>
      </x:c>
      <x:c r="E24" s="32" t="str">
        <x:v>Application lifecycle
Developer portal</x:v>
      </x:c>
      <x:c r="F24" s="32" t="str">
        <x:v>Application portfolio hub
Internal developer platform</x:v>
      </x:c>
      <x:c r="G24" s="32" t="str">
        <x:v>Standardise approved application templates, environments and developer self-service.</x:v>
      </x:c>
      <x:c r="H24" s="32" t="str">
        <x:v>Close, Partial</x:v>
      </x:c>
      <x:c r="I24" s="32"/>
      <x:c r="J24" s="32" t="str">
        <x:v>https://docs.cloud.google.com/docs/product-list</x:v>
      </x:c>
      <x:c r="K24" s="32" t="str">
        <x:v>2026-07-12</x:v>
      </x:c>
    </x:row>
    <x:row r="25">
      <x:c r="A25" s="32" t="str">
        <x:v>Google Cloud</x:v>
      </x:c>
      <x:c r="B25" s="32" t="str">
        <x:v>Application Design Center</x:v>
      </x:c>
      <x:c r="C25" s="32" t="str">
        <x:v>Named service / product family</x:v>
      </x:c>
      <x:c r="D25" s="32" t="str">
        <x:v>Developer Tools &amp; DevOps
Governance &amp; Management</x:v>
      </x:c>
      <x:c r="E25" s="32" t="str">
        <x:v>Developer portal
Service catalogue</x:v>
      </x:c>
      <x:c r="F25" s="32" t="str">
        <x:v>Approved service catalogue
Internal developer platform</x:v>
      </x:c>
      <x:c r="G25" s="32" t="str">
        <x:v>Publish governed, reusable infrastructure and application products for internal teams.</x:v>
      </x:c>
      <x:c r="H25" s="32" t="str">
        <x:v>Close, Partial</x:v>
      </x:c>
      <x:c r="I25" s="32"/>
      <x:c r="J25" s="32" t="str">
        <x:v>https://docs.cloud.google.com/docs/product-list</x:v>
      </x:c>
      <x:c r="K25" s="32" t="str">
        <x:v>2026-07-12</x:v>
      </x:c>
    </x:row>
    <x:row r="26">
      <x:c r="A26" s="32" t="str">
        <x:v>Google Cloud</x:v>
      </x:c>
      <x:c r="B26" s="32" t="str">
        <x:v>Application Integration</x:v>
      </x:c>
      <x:c r="C26" s="32" t="str">
        <x:v>Named service / product family</x:v>
      </x:c>
      <x:c r="D26" s="32" t="str">
        <x:v>Application Integration</x:v>
      </x:c>
      <x:c r="E26" s="32" t="str">
        <x:v>Integration platform</x:v>
      </x:c>
      <x:c r="F26" s="32" t="str">
        <x:v>Integration platform as a service</x:v>
      </x:c>
      <x:c r="G26" s="32" t="str">
        <x:v>Connect SaaS, cloud and on-premises systems through managed connectors and workflows.</x:v>
      </x:c>
      <x:c r="H26" s="32" t="str">
        <x:v>Close</x:v>
      </x:c>
      <x:c r="I26" s="32"/>
      <x:c r="J26" s="32" t="str">
        <x:v>https://docs.cloud.google.com/docs/product-list</x:v>
      </x:c>
      <x:c r="K26" s="32" t="str">
        <x:v>2026-07-12</x:v>
      </x:c>
    </x:row>
    <x:row r="27">
      <x:c r="A27" s="32" t="str">
        <x:v>Google Cloud</x:v>
      </x:c>
      <x:c r="B27" s="32" t="str">
        <x:v>Application Integration / partner EDI</x:v>
      </x:c>
      <x:c r="C27" s="32" t="str">
        <x:v>Architecture / partner alternative</x:v>
      </x:c>
      <x:c r="D27" s="32" t="str">
        <x:v>Application Integration</x:v>
      </x:c>
      <x:c r="E27" s="32" t="str">
        <x:v>B2B integration</x:v>
      </x:c>
      <x:c r="F27" s="32" t="str">
        <x:v>B2B and EDI integration</x:v>
      </x:c>
      <x:c r="G27" s="32" t="str">
        <x:v>Exchange and transform business documents with trading partners.</x:v>
      </x:c>
      <x:c r="H27" s="32" t="str">
        <x:v>Partial</x:v>
      </x:c>
      <x:c r="I27" s="32"/>
      <x:c r="J27" s="32" t="str">
        <x:v>https://docs.cloud.google.com/docs/product-list</x:v>
      </x:c>
      <x:c r="K27" s="32" t="str">
        <x:v>2026-07-12</x:v>
      </x:c>
    </x:row>
    <x:row r="28">
      <x:c r="A28" s="32" t="str">
        <x:v>Google Cloud</x:v>
      </x:c>
      <x:c r="B28" s="32" t="str">
        <x:v>Architecture Framework</x:v>
      </x:c>
      <x:c r="C28" s="32" t="str">
        <x:v>Named service / product family</x:v>
      </x:c>
      <x:c r="D28" s="32" t="str">
        <x:v>Governance &amp; Management</x:v>
      </x:c>
      <x:c r="E28" s="32" t="str">
        <x:v>Architecture assurance</x:v>
      </x:c>
      <x:c r="F28" s="32" t="str">
        <x:v>Well-architected assessment</x:v>
      </x:c>
      <x:c r="G28" s="32" t="str">
        <x:v>Assess workloads against cloud architecture, resilience, security and cost practices.</x:v>
      </x:c>
      <x:c r="H28" s="32" t="str">
        <x:v>Close</x:v>
      </x:c>
      <x:c r="I28" s="32"/>
      <x:c r="J28" s="32" t="str">
        <x:v>https://docs.cloud.google.com/docs/product-list</x:v>
      </x:c>
      <x:c r="K28" s="32" t="str">
        <x:v>2026-07-12</x:v>
      </x:c>
    </x:row>
    <x:row r="29">
      <x:c r="A29" s="32" t="str">
        <x:v>Google Cloud</x:v>
      </x:c>
      <x:c r="B29" s="32" t="str">
        <x:v>Artifact Analysis</x:v>
      </x:c>
      <x:c r="C29" s="32" t="str">
        <x:v>Named service / product family</x:v>
      </x:c>
      <x:c r="D29" s="32" t="str">
        <x:v>Developer Tools &amp; DevOps
Security, Identity &amp; Compliance</x:v>
      </x:c>
      <x:c r="E29" s="32" t="str">
        <x:v>Artifact security
Vulnerability management</x:v>
      </x:c>
      <x:c r="F29" s="32" t="str">
        <x:v>Software artifact analysis
Workload vulnerability assessment</x:v>
      </x:c>
      <x:c r="G29" s="32" t="str">
        <x:v>Scan virtual machines, containers and software packages for vulnerabilities.</x:v>
      </x:c>
      <x:c r="H29" s="32" t="str">
        <x:v>Close</x:v>
      </x:c>
      <x:c r="I29" s="32"/>
      <x:c r="J29" s="32" t="str">
        <x:v>https://docs.cloud.google.com/docs/product-list</x:v>
      </x:c>
      <x:c r="K29" s="32" t="str">
        <x:v>2026-07-12</x:v>
      </x:c>
    </x:row>
    <x:row r="30">
      <x:c r="A30" s="32" t="str">
        <x:v>Google Cloud</x:v>
      </x:c>
      <x:c r="B30" s="32" t="str">
        <x:v>Artifact Registry</x:v>
      </x:c>
      <x:c r="C30" s="32" t="str">
        <x:v>Named service / product family</x:v>
      </x:c>
      <x:c r="D30" s="32" t="str">
        <x:v>Compute &amp; Application Hosting
Developer Tools &amp; DevOps</x:v>
      </x:c>
      <x:c r="E30" s="32" t="str">
        <x:v>Artifacts
Container registry</x:v>
      </x:c>
      <x:c r="F30" s="32" t="str">
        <x:v>Artifact and package repository
Container image registry</x:v>
      </x:c>
      <x:c r="G30" s="32" t="str">
        <x:v>Store, scan and distribute container images and related artifacts.</x:v>
      </x:c>
      <x:c r="H30" s="32" t="str">
        <x:v>Close, Exact</x:v>
      </x:c>
      <x:c r="I30" s="32"/>
      <x:c r="J30" s="32" t="str">
        <x:v>https://docs.cloud.google.com/docs/product-list</x:v>
      </x:c>
      <x:c r="K30" s="32" t="str">
        <x:v>2026-07-12</x:v>
      </x:c>
    </x:row>
    <x:row r="31">
      <x:c r="A31" s="32" t="str">
        <x:v>Google Cloud</x:v>
      </x:c>
      <x:c r="B31" s="32" t="str">
        <x:v>Assured Workloads</x:v>
      </x:c>
      <x:c r="C31" s="32" t="str">
        <x:v>Named service / product family</x:v>
      </x:c>
      <x:c r="D31" s="32" t="str">
        <x:v>Industry &amp; Specialist</x:v>
      </x:c>
      <x:c r="E31" s="32" t="str">
        <x:v>Sovereign cloud</x:v>
      </x:c>
      <x:c r="F31" s="32" t="str">
        <x:v>Sovereign and regulated cloud controls</x:v>
      </x:c>
      <x:c r="G31" s="32" t="str">
        <x:v>Meet residency, operational sovereignty and regulated-industry control requirements.</x:v>
      </x:c>
      <x:c r="H31" s="32" t="str">
        <x:v>Close</x:v>
      </x:c>
      <x:c r="I31" s="32"/>
      <x:c r="J31" s="32" t="str">
        <x:v>https://docs.cloud.google.com/docs/product-list</x:v>
      </x:c>
      <x:c r="K31" s="32" t="str">
        <x:v>2026-07-12</x:v>
      </x:c>
    </x:row>
    <x:row r="32">
      <x:c r="A32" s="32" t="str">
        <x:v>Google Cloud</x:v>
      </x:c>
      <x:c r="B32" s="32" t="str">
        <x:v>Audit Manager</x:v>
      </x:c>
      <x:c r="C32" s="32" t="str">
        <x:v>Named service / product family</x:v>
      </x:c>
      <x:c r="D32" s="32" t="str">
        <x:v>Security, Identity &amp; Compliance</x:v>
      </x:c>
      <x:c r="E32" s="32" t="str">
        <x:v>Compliance evidence</x:v>
      </x:c>
      <x:c r="F32" s="32" t="str">
        <x:v>Compliance reports and evidence</x:v>
      </x:c>
      <x:c r="G32" s="32" t="str">
        <x:v>Access provider compliance reports and collect audit evidence.</x:v>
      </x:c>
      <x:c r="H32" s="32" t="str">
        <x:v>Close</x:v>
      </x:c>
      <x:c r="I32" s="32"/>
      <x:c r="J32" s="32" t="str">
        <x:v>https://docs.cloud.google.com/docs/product-list</x:v>
      </x:c>
      <x:c r="K32" s="32" t="str">
        <x:v>2026-07-12</x:v>
      </x:c>
    </x:row>
    <x:row r="33">
      <x:c r="A33" s="32" t="str">
        <x:v>Google Cloud</x:v>
      </x:c>
      <x:c r="B33" s="32" t="str">
        <x:v>Backup and DR Service</x:v>
      </x:c>
      <x:c r="C33" s="32" t="str">
        <x:v>Named service / product family</x:v>
      </x:c>
      <x:c r="D33" s="32" t="str">
        <x:v>Storage</x:v>
      </x:c>
      <x:c r="E33" s="32" t="str">
        <x:v>Backup
Disaster recovery</x:v>
      </x:c>
      <x:c r="F33" s="32" t="str">
        <x:v>Central cloud backup
Managed disaster recovery</x:v>
      </x:c>
      <x:c r="G33" s="32" t="str">
        <x:v>Protect cloud and hybrid workloads through centrally managed backup policies.</x:v>
      </x:c>
      <x:c r="H33" s="32" t="str">
        <x:v>Close, Exact</x:v>
      </x:c>
      <x:c r="I33" s="32"/>
      <x:c r="J33" s="32" t="str">
        <x:v>https://docs.cloud.google.com/docs/product-list</x:v>
      </x:c>
      <x:c r="K33" s="32" t="str">
        <x:v>2026-07-12</x:v>
      </x:c>
    </x:row>
    <x:row r="34">
      <x:c r="A34" s="32" t="str">
        <x:v>Google Cloud</x:v>
      </x:c>
      <x:c r="B34" s="32" t="str">
        <x:v>Batch</x:v>
      </x:c>
      <x:c r="C34" s="32" t="str">
        <x:v>Named service / product family</x:v>
      </x:c>
      <x:c r="D34" s="32" t="str">
        <x:v>Compute &amp; Application Hosting</x:v>
      </x:c>
      <x:c r="E34" s="32" t="str">
        <x:v>Batch</x:v>
      </x:c>
      <x:c r="F34" s="32" t="str">
        <x:v>Managed batch computing</x:v>
      </x:c>
      <x:c r="G34" s="32" t="str">
        <x:v>Schedule and run large numbers of parallel or queued compute jobs.</x:v>
      </x:c>
      <x:c r="H34" s="32" t="str">
        <x:v>Exact</x:v>
      </x:c>
      <x:c r="I34" s="32"/>
      <x:c r="J34" s="32" t="str">
        <x:v>https://docs.cloud.google.com/docs/product-list</x:v>
      </x:c>
      <x:c r="K34" s="32" t="str">
        <x:v>2026-07-12</x:v>
      </x:c>
    </x:row>
    <x:row r="35">
      <x:c r="A35" s="32" t="str">
        <x:v>Google Cloud</x:v>
      </x:c>
      <x:c r="B35" s="32" t="str">
        <x:v>BigLake</x:v>
      </x:c>
      <x:c r="C35" s="32" t="str">
        <x:v>Named service / product family</x:v>
      </x:c>
      <x:c r="D35" s="32" t="str">
        <x:v>Data, Analytics &amp; BI</x:v>
      </x:c>
      <x:c r="E35" s="32" t="str">
        <x:v>Data lake
Serverless SQL</x:v>
      </x:c>
      <x:c r="F35" s="32" t="str">
        <x:v>Cloud data lake storage
Serverless query over data lake</x:v>
      </x:c>
      <x:c r="G35" s="32" t="str">
        <x:v>Store raw and curated data centrally for analytics, ML and governance.</x:v>
      </x:c>
      <x:c r="H35" s="32" t="str">
        <x:v>Close</x:v>
      </x:c>
      <x:c r="I35" s="32"/>
      <x:c r="J35" s="32" t="str">
        <x:v>https://docs.cloud.google.com/docs/product-list</x:v>
      </x:c>
      <x:c r="K35" s="32" t="str">
        <x:v>2026-07-12</x:v>
      </x:c>
    </x:row>
    <x:row r="36">
      <x:c r="A36" s="32" t="str">
        <x:v>Google Cloud</x:v>
      </x:c>
      <x:c r="B36" s="32" t="str">
        <x:v>BigQuery</x:v>
      </x:c>
      <x:c r="C36" s="32" t="str">
        <x:v>Named service / product family</x:v>
      </x:c>
      <x:c r="D36" s="32" t="str">
        <x:v>Data, Analytics &amp; BI
Databases</x:v>
      </x:c>
      <x:c r="E36" s="32" t="str">
        <x:v>Data warehouse
Search analytics
Time-series database</x:v>
      </x:c>
      <x:c r="F36" s="32" t="str">
        <x:v>Cloud data warehouse
Managed search and log analytics
Managed time-series database</x:v>
      </x:c>
      <x:c r="G36" s="32" t="str">
        <x:v>Store, query and analyse timestamped operational or IoT data.</x:v>
      </x:c>
      <x:c r="H36" s="32" t="str">
        <x:v>Close, Partial</x:v>
      </x:c>
      <x:c r="I36" s="32"/>
      <x:c r="J36" s="32" t="str">
        <x:v>https://docs.cloud.google.com/docs/product-list</x:v>
      </x:c>
      <x:c r="K36" s="32" t="str">
        <x:v>2026-07-12</x:v>
      </x:c>
    </x:row>
    <x:row r="37">
      <x:c r="A37" s="32" t="str">
        <x:v>Google Cloud</x:v>
      </x:c>
      <x:c r="B37" s="32" t="str">
        <x:v>BigQuery data clean rooms</x:v>
      </x:c>
      <x:c r="C37" s="32" t="str">
        <x:v>Named service / product family</x:v>
      </x:c>
      <x:c r="D37" s="32" t="str">
        <x:v>Data, Analytics &amp; BI</x:v>
      </x:c>
      <x:c r="E37" s="32" t="str">
        <x:v>Clean rooms</x:v>
      </x:c>
      <x:c r="F37" s="32" t="str">
        <x:v>Data clean room</x:v>
      </x:c>
      <x:c r="G37" s="32" t="str">
        <x:v>Collaborate on data analysis without exposing underlying sensitive records.</x:v>
      </x:c>
      <x:c r="H37" s="32" t="str">
        <x:v>Close</x:v>
      </x:c>
      <x:c r="I37" s="32"/>
      <x:c r="J37" s="32" t="str">
        <x:v>https://docs.cloud.google.com/docs/product-list</x:v>
      </x:c>
      <x:c r="K37" s="32" t="str">
        <x:v>2026-07-12</x:v>
      </x:c>
    </x:row>
    <x:row r="38">
      <x:c r="A38" s="32" t="str">
        <x:v>Google Cloud</x:v>
      </x:c>
      <x:c r="B38" s="32" t="str">
        <x:v>BigQuery entity resolution patterns</x:v>
      </x:c>
      <x:c r="C38" s="32" t="str">
        <x:v>Architecture / partner alternative</x:v>
      </x:c>
      <x:c r="D38" s="32" t="str">
        <x:v>Data, Analytics &amp; BI</x:v>
      </x:c>
      <x:c r="E38" s="32" t="str">
        <x:v>Entity resolution</x:v>
      </x:c>
      <x:c r="F38" s="32" t="str">
        <x:v>Entity matching</x:v>
      </x:c>
      <x:c r="G38" s="32" t="str">
        <x:v>Match and link records that refer to the same real-world entity.</x:v>
      </x:c>
      <x:c r="H38" s="32" t="str">
        <x:v>Partial</x:v>
      </x:c>
      <x:c r="I38" s="32"/>
      <x:c r="J38" s="32" t="str">
        <x:v>https://docs.cloud.google.com/docs/product-list</x:v>
      </x:c>
      <x:c r="K38" s="32" t="str">
        <x:v>2026-07-12</x:v>
      </x:c>
    </x:row>
    <x:row r="39">
      <x:c r="A39" s="32" t="str">
        <x:v>Google Cloud</x:v>
      </x:c>
      <x:c r="B39" s="32" t="str">
        <x:v>BigQuery external tables</x:v>
      </x:c>
      <x:c r="C39" s="32" t="str">
        <x:v>Named service / product family</x:v>
      </x:c>
      <x:c r="D39" s="32" t="str">
        <x:v>Data, Analytics &amp; BI</x:v>
      </x:c>
      <x:c r="E39" s="32" t="str">
        <x:v>Serverless SQL</x:v>
      </x:c>
      <x:c r="F39" s="32" t="str">
        <x:v>Serverless query over data lake</x:v>
      </x:c>
      <x:c r="G39" s="32" t="str">
        <x:v>Query files in object storage using SQL without managing database servers.</x:v>
      </x:c>
      <x:c r="H39" s="32" t="str">
        <x:v>Close</x:v>
      </x:c>
      <x:c r="I39" s="32"/>
      <x:c r="J39" s="32" t="str">
        <x:v>https://docs.cloud.google.com/docs/product-list</x:v>
      </x:c>
      <x:c r="K39" s="32" t="str">
        <x:v>2026-07-12</x:v>
      </x:c>
    </x:row>
    <x:row r="40">
      <x:c r="A40" s="32" t="str">
        <x:v>Google Cloud</x:v>
      </x:c>
      <x:c r="B40" s="32" t="str">
        <x:v>BigQuery financial-services solutions</x:v>
      </x:c>
      <x:c r="C40" s="32" t="str">
        <x:v>Named service / product family</x:v>
      </x:c>
      <x:c r="D40" s="32" t="str">
        <x:v>Data, Analytics &amp; BI</x:v>
      </x:c>
      <x:c r="E40" s="32" t="str">
        <x:v>Financial analytics</x:v>
      </x:c>
      <x:c r="F40" s="32" t="str">
        <x:v>Financial-services data analytics</x:v>
      </x:c>
      <x:c r="G40" s="32" t="str">
        <x:v>Store and analyse specialised capital-markets or financial datasets.</x:v>
      </x:c>
      <x:c r="H40" s="32" t="str">
        <x:v>Partial</x:v>
      </x:c>
      <x:c r="I40" s="32"/>
      <x:c r="J40" s="32" t="str">
        <x:v>https://docs.cloud.google.com/docs/product-list</x:v>
      </x:c>
      <x:c r="K40" s="32" t="str">
        <x:v>2026-07-12</x:v>
      </x:c>
    </x:row>
    <x:row r="41">
      <x:c r="A41" s="32" t="str">
        <x:v>Google Cloud</x:v>
      </x:c>
      <x:c r="B41" s="32" t="str">
        <x:v>BigQuery Lakehouse</x:v>
      </x:c>
      <x:c r="C41" s="32" t="str">
        <x:v>Named service / product family</x:v>
      </x:c>
      <x:c r="D41" s="32" t="str">
        <x:v>Data, Analytics &amp; BI</x:v>
      </x:c>
      <x:c r="E41" s="32" t="str">
        <x:v>Lakehouse</x:v>
      </x:c>
      <x:c r="F41" s="32" t="str">
        <x:v>Lakehouse platform</x:v>
      </x:c>
      <x:c r="G41" s="32" t="str">
        <x:v>Combine data-lake flexibility with warehouse governance and analytics.</x:v>
      </x:c>
      <x:c r="H41" s="32" t="str">
        <x:v>Close</x:v>
      </x:c>
      <x:c r="I41" s="32"/>
      <x:c r="J41" s="32" t="str">
        <x:v>https://docs.cloud.google.com/docs/product-list</x:v>
      </x:c>
      <x:c r="K41" s="32" t="str">
        <x:v>2026-07-12</x:v>
      </x:c>
    </x:row>
    <x:row r="42">
      <x:c r="A42" s="32" t="str">
        <x:v>Google Cloud</x:v>
      </x:c>
      <x:c r="B42" s="32" t="str">
        <x:v>BigQuery ML</x:v>
      </x:c>
      <x:c r="C42" s="32" t="str">
        <x:v>Named service / product family</x:v>
      </x:c>
      <x:c r="D42" s="32" t="str">
        <x:v>AI &amp; Machine Learning</x:v>
      </x:c>
      <x:c r="E42" s="32" t="str">
        <x:v>Forecasting</x:v>
      </x:c>
      <x:c r="F42" s="32" t="str">
        <x:v>Demand and time-series forecasting</x:v>
      </x:c>
      <x:c r="G42" s="32" t="str">
        <x:v>Create forecasts from historical time-series and related data.</x:v>
      </x:c>
      <x:c r="H42" s="32" t="str">
        <x:v>Partial</x:v>
      </x:c>
      <x:c r="I42" s="32"/>
      <x:c r="J42" s="32" t="str">
        <x:v>https://docs.cloud.google.com/docs/product-list</x:v>
      </x:c>
      <x:c r="K42" s="32" t="str">
        <x:v>2026-07-12</x:v>
      </x:c>
    </x:row>
    <x:row r="43">
      <x:c r="A43" s="32" t="str">
        <x:v>Google Cloud</x:v>
      </x:c>
      <x:c r="B43" s="32" t="str">
        <x:v>BigQuery sharing</x:v>
      </x:c>
      <x:c r="C43" s="32" t="str">
        <x:v>Named service / product family</x:v>
      </x:c>
      <x:c r="D43" s="32" t="str">
        <x:v>Data, Analytics &amp; BI</x:v>
      </x:c>
      <x:c r="E43" s="32" t="str">
        <x:v>Data sharing</x:v>
      </x:c>
      <x:c r="F43" s="32" t="str">
        <x:v>Governed data sharing</x:v>
      </x:c>
      <x:c r="G43" s="32" t="str">
        <x:v>Share datasets with internal or external consumers under controlled access.</x:v>
      </x:c>
      <x:c r="H43" s="32" t="str">
        <x:v>Close</x:v>
      </x:c>
      <x:c r="I43" s="32"/>
      <x:c r="J43" s="32" t="str">
        <x:v>https://docs.cloud.google.com/docs/product-list</x:v>
      </x:c>
      <x:c r="K43" s="32" t="str">
        <x:v>2026-07-12</x:v>
      </x:c>
    </x:row>
    <x:row r="44">
      <x:c r="A44" s="32" t="str">
        <x:v>Google Cloud</x:v>
      </x:c>
      <x:c r="B44" s="32" t="str">
        <x:v>Bigtable</x:v>
      </x:c>
      <x:c r="C44" s="32" t="str">
        <x:v>Named service / product family</x:v>
      </x:c>
      <x:c r="D44" s="32" t="str">
        <x:v>Databases</x:v>
      </x:c>
      <x:c r="E44" s="32" t="str">
        <x:v>Key-value NoSQL
Time-series database
Wide-column database</x:v>
      </x:c>
      <x:c r="F44" s="32" t="str">
        <x:v>Managed key-value database
Managed time-series database
Managed wide-column database</x:v>
      </x:c>
      <x:c r="G44" s="32" t="str">
        <x:v>Store and retrieve low-latency key-value data at large scale.</x:v>
      </x:c>
      <x:c r="H44" s="32" t="str">
        <x:v>Close, Partial</x:v>
      </x:c>
      <x:c r="I44" s="32"/>
      <x:c r="J44" s="32" t="str">
        <x:v>https://docs.cloud.google.com/docs/product-list</x:v>
      </x:c>
      <x:c r="K44" s="32" t="str">
        <x:v>2026-07-12</x:v>
      </x:c>
    </x:row>
    <x:row r="45">
      <x:c r="A45" s="32" t="str">
        <x:v>Google Cloud</x:v>
      </x:c>
      <x:c r="B45" s="32" t="str">
        <x:v>Billing account structure</x:v>
      </x:c>
      <x:c r="C45" s="32" t="str">
        <x:v>Named service / product family</x:v>
      </x:c>
      <x:c r="D45" s="32" t="str">
        <x:v>FinOps &amp; Commercial</x:v>
      </x:c>
      <x:c r="E45" s="32" t="str">
        <x:v>Billing allocation</x:v>
      </x:c>
      <x:c r="F45" s="32" t="str">
        <x:v>Custom billing and chargeback</x:v>
      </x:c>
      <x:c r="G45" s="32" t="str">
        <x:v>Allocate, group and charge back cloud costs to internal entities.</x:v>
      </x:c>
      <x:c r="H45" s="32" t="str">
        <x:v>Close</x:v>
      </x:c>
      <x:c r="I45" s="32"/>
      <x:c r="J45" s="32" t="str">
        <x:v>https://docs.cloud.google.com/docs/product-list</x:v>
      </x:c>
      <x:c r="K45" s="32" t="str">
        <x:v>2026-07-12</x:v>
      </x:c>
    </x:row>
    <x:row r="46">
      <x:c r="A46" s="32" t="str">
        <x:v>Google Cloud</x:v>
      </x:c>
      <x:c r="B46" s="32" t="str">
        <x:v>Binary Authorization</x:v>
      </x:c>
      <x:c r="C46" s="32" t="str">
        <x:v>Named service / product family</x:v>
      </x:c>
      <x:c r="D46" s="32" t="str">
        <x:v>Developer Tools &amp; DevOps</x:v>
      </x:c>
      <x:c r="E46" s="32" t="str">
        <x:v>Code signing</x:v>
      </x:c>
      <x:c r="F46" s="32" t="str">
        <x:v>Artifact and code signing</x:v>
      </x:c>
      <x:c r="G46" s="32" t="str">
        <x:v>Sign software artifacts to verify publisher identity and integrity.</x:v>
      </x:c>
      <x:c r="H46" s="32" t="str">
        <x:v>Close</x:v>
      </x:c>
      <x:c r="I46" s="32"/>
      <x:c r="J46" s="32" t="str">
        <x:v>https://docs.cloud.google.com/docs/product-list</x:v>
      </x:c>
      <x:c r="K46" s="32" t="str">
        <x:v>2026-07-12</x:v>
      </x:c>
    </x:row>
    <x:row r="47">
      <x:c r="A47" s="32" t="str">
        <x:v>Google Cloud</x:v>
      </x:c>
      <x:c r="B47" s="32" t="str">
        <x:v>Blockchain Analytics</x:v>
      </x:c>
      <x:c r="C47" s="32" t="str">
        <x:v>Named service / product family</x:v>
      </x:c>
      <x:c r="D47" s="32" t="str">
        <x:v>Databases</x:v>
      </x:c>
      <x:c r="E47" s="32" t="str">
        <x:v>Blockchain</x:v>
      </x:c>
      <x:c r="F47" s="32" t="str">
        <x:v>Managed blockchain infrastructure</x:v>
      </x:c>
      <x:c r="G47" s="32" t="str">
        <x:v>Provision and operate blockchain networks, nodes or blockchain data access.</x:v>
      </x:c>
      <x:c r="H47" s="32" t="str">
        <x:v>Partial</x:v>
      </x:c>
      <x:c r="I47" s="32"/>
      <x:c r="J47" s="32" t="str">
        <x:v>https://docs.cloud.google.com/docs/product-list</x:v>
      </x:c>
      <x:c r="K47" s="32" t="str">
        <x:v>2026-07-12</x:v>
      </x:c>
    </x:row>
    <x:row r="48">
      <x:c r="A48" s="32" t="str">
        <x:v>Google Cloud</x:v>
      </x:c>
      <x:c r="B48" s="32" t="str">
        <x:v>Blockchain Node Engine</x:v>
      </x:c>
      <x:c r="C48" s="32" t="str">
        <x:v>Named service / product family</x:v>
      </x:c>
      <x:c r="D48" s="32" t="str">
        <x:v>Databases</x:v>
      </x:c>
      <x:c r="E48" s="32" t="str">
        <x:v>Blockchain</x:v>
      </x:c>
      <x:c r="F48" s="32" t="str">
        <x:v>Managed blockchain infrastructure</x:v>
      </x:c>
      <x:c r="G48" s="32" t="str">
        <x:v>Provision and operate blockchain networks, nodes or blockchain data access.</x:v>
      </x:c>
      <x:c r="H48" s="32" t="str">
        <x:v>Partial</x:v>
      </x:c>
      <x:c r="I48" s="32"/>
      <x:c r="J48" s="32" t="str">
        <x:v>https://docs.cloud.google.com/docs/product-list</x:v>
      </x:c>
      <x:c r="K48" s="32" t="str">
        <x:v>2026-07-12</x:v>
      </x:c>
    </x:row>
    <x:row r="49">
      <x:c r="A49" s="32" t="str">
        <x:v>Google Cloud</x:v>
      </x:c>
      <x:c r="B49" s="32" t="str">
        <x:v>Blockchain Node Engine / partner ledgers</x:v>
      </x:c>
      <x:c r="C49" s="32" t="str">
        <x:v>Architecture / partner alternative</x:v>
      </x:c>
      <x:c r="D49" s="32" t="str">
        <x:v>Databases</x:v>
      </x:c>
      <x:c r="E49" s="32" t="str">
        <x:v>Ledger</x:v>
      </x:c>
      <x:c r="F49" s="32" t="str">
        <x:v>Immutable ledger database</x:v>
      </x:c>
      <x:c r="G49" s="32" t="str">
        <x:v>Maintain cryptographically verifiable or tamper-evident transaction records.</x:v>
      </x:c>
      <x:c r="H49" s="32" t="str">
        <x:v>Partial</x:v>
      </x:c>
      <x:c r="I49" s="32"/>
      <x:c r="J49" s="32" t="str">
        <x:v>https://docs.cloud.google.com/docs/product-list</x:v>
      </x:c>
      <x:c r="K49" s="32" t="str">
        <x:v>2026-07-12</x:v>
      </x:c>
    </x:row>
    <x:row r="50">
      <x:c r="A50" s="32" t="str">
        <x:v>Google Cloud</x:v>
      </x:c>
      <x:c r="B50" s="32" t="str">
        <x:v>Blockchain RPC</x:v>
      </x:c>
      <x:c r="C50" s="32" t="str">
        <x:v>Named service / product family</x:v>
      </x:c>
      <x:c r="D50" s="32" t="str">
        <x:v>Databases</x:v>
      </x:c>
      <x:c r="E50" s="32" t="str">
        <x:v>Blockchain</x:v>
      </x:c>
      <x:c r="F50" s="32" t="str">
        <x:v>Managed blockchain infrastructure</x:v>
      </x:c>
      <x:c r="G50" s="32" t="str">
        <x:v>Provision and operate blockchain networks, nodes or blockchain data access.</x:v>
      </x:c>
      <x:c r="H50" s="32" t="str">
        <x:v>Partial</x:v>
      </x:c>
      <x:c r="I50" s="32"/>
      <x:c r="J50" s="32" t="str">
        <x:v>https://docs.cloud.google.com/docs/product-list</x:v>
      </x:c>
      <x:c r="K50" s="32" t="str">
        <x:v>2026-07-12</x:v>
      </x:c>
    </x:row>
    <x:row r="51">
      <x:c r="A51" s="32" t="str">
        <x:v>Google Cloud</x:v>
      </x:c>
      <x:c r="B51" s="32" t="str">
        <x:v>Carbon Footprint</x:v>
      </x:c>
      <x:c r="C51" s="32" t="str">
        <x:v>Named service / product family</x:v>
      </x:c>
      <x:c r="D51" s="32" t="str">
        <x:v>FinOps &amp; Commercial</x:v>
      </x:c>
      <x:c r="E51" s="32" t="str">
        <x:v>Sustainability</x:v>
      </x:c>
      <x:c r="F51" s="32" t="str">
        <x:v>Cloud carbon reporting</x:v>
      </x:c>
      <x:c r="G51" s="32" t="str">
        <x:v>Estimate carbon emissions associated with cloud usage.</x:v>
      </x:c>
      <x:c r="H51" s="32" t="str">
        <x:v>Close</x:v>
      </x:c>
      <x:c r="I51" s="32"/>
      <x:c r="J51" s="32" t="str">
        <x:v>https://docs.cloud.google.com/docs/product-list</x:v>
      </x:c>
      <x:c r="K51" s="32" t="str">
        <x:v>2026-07-12</x:v>
      </x:c>
    </x:row>
    <x:row r="52">
      <x:c r="A52" s="32" t="str">
        <x:v>Google Cloud</x:v>
      </x:c>
      <x:c r="B52" s="32" t="str">
        <x:v>Certificate Authority Service</x:v>
      </x:c>
      <x:c r="C52" s="32" t="str">
        <x:v>Named service / product family</x:v>
      </x:c>
      <x:c r="D52" s="32" t="str">
        <x:v>Security, Identity &amp; Compliance</x:v>
      </x:c>
      <x:c r="E52" s="32" t="str">
        <x:v>Certificates</x:v>
      </x:c>
      <x:c r="F52" s="32" t="str">
        <x:v>Certificate management</x:v>
      </x:c>
      <x:c r="G52" s="32" t="str">
        <x:v>Provision, manage and rotate public or private TLS certificates.</x:v>
      </x:c>
      <x:c r="H52" s="32" t="str">
        <x:v>Close</x:v>
      </x:c>
      <x:c r="I52" s="32"/>
      <x:c r="J52" s="32" t="str">
        <x:v>https://docs.cloud.google.com/docs/product-list</x:v>
      </x:c>
      <x:c r="K52" s="32" t="str">
        <x:v>2026-07-12</x:v>
      </x:c>
    </x:row>
    <x:row r="53">
      <x:c r="A53" s="32" t="str">
        <x:v>Google Cloud</x:v>
      </x:c>
      <x:c r="B53" s="32" t="str">
        <x:v>Certificate Manager</x:v>
      </x:c>
      <x:c r="C53" s="32" t="str">
        <x:v>Named service / product family</x:v>
      </x:c>
      <x:c r="D53" s="32" t="str">
        <x:v>Security, Identity &amp; Compliance</x:v>
      </x:c>
      <x:c r="E53" s="32" t="str">
        <x:v>Certificates</x:v>
      </x:c>
      <x:c r="F53" s="32" t="str">
        <x:v>Certificate management</x:v>
      </x:c>
      <x:c r="G53" s="32" t="str">
        <x:v>Provision, manage and rotate public or private TLS certificates.</x:v>
      </x:c>
      <x:c r="H53" s="32" t="str">
        <x:v>Close</x:v>
      </x:c>
      <x:c r="I53" s="32"/>
      <x:c r="J53" s="32" t="str">
        <x:v>https://docs.cloud.google.com/docs/product-list</x:v>
      </x:c>
      <x:c r="K53" s="32" t="str">
        <x:v>2026-07-12</x:v>
      </x:c>
    </x:row>
    <x:row r="54">
      <x:c r="A54" s="32" t="str">
        <x:v>Google Cloud</x:v>
      </x:c>
      <x:c r="B54" s="32" t="str">
        <x:v>Cloud Armor</x:v>
      </x:c>
      <x:c r="C54" s="32" t="str">
        <x:v>Named service / product family</x:v>
      </x:c>
      <x:c r="D54" s="32" t="str">
        <x:v>Security, Identity &amp; Compliance</x:v>
      </x:c>
      <x:c r="E54" s="32" t="str">
        <x:v>DDoS
Web security</x:v>
      </x:c>
      <x:c r="F54" s="32" t="str">
        <x:v>DDoS protection
Web application firewall</x:v>
      </x:c>
      <x:c r="G54" s="32" t="str">
        <x:v>Protect web applications from common exploits and malicious HTTP traffic.</x:v>
      </x:c>
      <x:c r="H54" s="32" t="str">
        <x:v>Close, Exact</x:v>
      </x:c>
      <x:c r="I54" s="32"/>
      <x:c r="J54" s="32" t="str">
        <x:v>https://docs.cloud.google.com/docs/product-list</x:v>
      </x:c>
      <x:c r="K54" s="32" t="str">
        <x:v>2026-07-12</x:v>
      </x:c>
    </x:row>
    <x:row r="55">
      <x:c r="A55" s="32" t="str">
        <x:v>Google Cloud</x:v>
      </x:c>
      <x:c r="B55" s="32" t="str">
        <x:v>Cloud Asset Inventory</x:v>
      </x:c>
      <x:c r="C55" s="32" t="str">
        <x:v>Named service / product family</x:v>
      </x:c>
      <x:c r="D55" s="32" t="str">
        <x:v>Governance &amp; Management</x:v>
      </x:c>
      <x:c r="E55" s="32" t="str">
        <x:v>Resource inventory</x:v>
      </x:c>
      <x:c r="F55" s="32" t="str">
        <x:v>Cloud asset inventory</x:v>
      </x:c>
      <x:c r="G55" s="32" t="str">
        <x:v>Discover, inventory and query cloud resources and configuration state.</x:v>
      </x:c>
      <x:c r="H55" s="32" t="str">
        <x:v>Close</x:v>
      </x:c>
      <x:c r="I55" s="32"/>
      <x:c r="J55" s="32" t="str">
        <x:v>https://docs.cloud.google.com/docs/product-list</x:v>
      </x:c>
      <x:c r="K55" s="32" t="str">
        <x:v>2026-07-12</x:v>
      </x:c>
    </x:row>
    <x:row r="56">
      <x:c r="A56" s="32" t="str">
        <x:v>Google Cloud</x:v>
      </x:c>
      <x:c r="B56" s="32" t="str">
        <x:v>Cloud Audit Logs</x:v>
      </x:c>
      <x:c r="C56" s="32" t="str">
        <x:v>Named service / product family</x:v>
      </x:c>
      <x:c r="D56" s="32" t="str">
        <x:v>Security, Identity &amp; Compliance</x:v>
      </x:c>
      <x:c r="E56" s="32" t="str">
        <x:v>Audit logs</x:v>
      </x:c>
      <x:c r="F56" s="32" t="str">
        <x:v>Cloud audit trail</x:v>
      </x:c>
      <x:c r="G56" s="32" t="str">
        <x:v>Record administrative and data-access activity for investigation and compliance.</x:v>
      </x:c>
      <x:c r="H56" s="32" t="str">
        <x:v>Exact</x:v>
      </x:c>
      <x:c r="I56" s="32"/>
      <x:c r="J56" s="32" t="str">
        <x:v>https://docs.cloud.google.com/docs/product-list</x:v>
      </x:c>
      <x:c r="K56" s="32" t="str">
        <x:v>2026-07-12</x:v>
      </x:c>
    </x:row>
    <x:row r="57">
      <x:c r="A57" s="32" t="str">
        <x:v>Google Cloud</x:v>
      </x:c>
      <x:c r="B57" s="32" t="str">
        <x:v>Cloud Billing</x:v>
      </x:c>
      <x:c r="C57" s="32" t="str">
        <x:v>Named service / product family</x:v>
      </x:c>
      <x:c r="D57" s="32" t="str">
        <x:v>FinOps &amp; Commercial</x:v>
      </x:c>
      <x:c r="E57" s="32" t="str">
        <x:v>Cost management</x:v>
      </x:c>
      <x:c r="F57" s="32" t="str">
        <x:v>Cost analysis and optimisation</x:v>
      </x:c>
      <x:c r="G57" s="32" t="str">
        <x:v>Analyse cloud spend, allocation, trends and optimisation opportunities.</x:v>
      </x:c>
      <x:c r="H57" s="32" t="str">
        <x:v>Close</x:v>
      </x:c>
      <x:c r="I57" s="32"/>
      <x:c r="J57" s="32" t="str">
        <x:v>https://docs.cloud.google.com/docs/product-list</x:v>
      </x:c>
      <x:c r="K57" s="32" t="str">
        <x:v>2026-07-12</x:v>
      </x:c>
    </x:row>
    <x:row r="58">
      <x:c r="A58" s="32" t="str">
        <x:v>Google Cloud</x:v>
      </x:c>
      <x:c r="B58" s="32" t="str">
        <x:v>Cloud Billing budgets and alerts</x:v>
      </x:c>
      <x:c r="C58" s="32" t="str">
        <x:v>Named service / product family</x:v>
      </x:c>
      <x:c r="D58" s="32" t="str">
        <x:v>FinOps &amp; Commercial</x:v>
      </x:c>
      <x:c r="E58" s="32" t="str">
        <x:v>Budgets</x:v>
      </x:c>
      <x:c r="F58" s="32" t="str">
        <x:v>Cloud budgets and alerts</x:v>
      </x:c>
      <x:c r="G58" s="32" t="str">
        <x:v>Set budgets, thresholds and alerts for cloud expenditure.</x:v>
      </x:c>
      <x:c r="H58" s="32" t="str">
        <x:v>Exact</x:v>
      </x:c>
      <x:c r="I58" s="32"/>
      <x:c r="J58" s="32" t="str">
        <x:v>https://docs.cloud.google.com/docs/product-list</x:v>
      </x:c>
      <x:c r="K58" s="32" t="str">
        <x:v>2026-07-12</x:v>
      </x:c>
    </x:row>
    <x:row r="59">
      <x:c r="A59" s="32" t="str">
        <x:v>Google Cloud</x:v>
      </x:c>
      <x:c r="B59" s="32" t="str">
        <x:v>Cloud Billing export</x:v>
      </x:c>
      <x:c r="C59" s="32" t="str">
        <x:v>Named service / product family</x:v>
      </x:c>
      <x:c r="D59" s="32" t="str">
        <x:v>FinOps &amp; Commercial</x:v>
      </x:c>
      <x:c r="E59" s="32" t="str">
        <x:v>Billing allocation</x:v>
      </x:c>
      <x:c r="F59" s="32" t="str">
        <x:v>Custom billing and chargeback</x:v>
      </x:c>
      <x:c r="G59" s="32" t="str">
        <x:v>Allocate, group and charge back cloud costs to internal entities.</x:v>
      </x:c>
      <x:c r="H59" s="32" t="str">
        <x:v>Close</x:v>
      </x:c>
      <x:c r="I59" s="32"/>
      <x:c r="J59" s="32" t="str">
        <x:v>https://docs.cloud.google.com/docs/product-list</x:v>
      </x:c>
      <x:c r="K59" s="32" t="str">
        <x:v>2026-07-12</x:v>
      </x:c>
    </x:row>
    <x:row r="60">
      <x:c r="A60" s="32" t="str">
        <x:v>Google Cloud</x:v>
      </x:c>
      <x:c r="B60" s="32" t="str">
        <x:v>Cloud Build</x:v>
      </x:c>
      <x:c r="C60" s="32" t="str">
        <x:v>Named service / product family</x:v>
      </x:c>
      <x:c r="D60" s="32" t="str">
        <x:v>Developer Tools &amp; DevOps</x:v>
      </x:c>
      <x:c r="E60" s="32" t="str">
        <x:v>Continuous integration</x:v>
      </x:c>
      <x:c r="F60" s="32" t="str">
        <x:v>Managed continuous integration</x:v>
      </x:c>
      <x:c r="G60" s="32" t="str">
        <x:v>Build and test source code in automated pipelines.</x:v>
      </x:c>
      <x:c r="H60" s="32" t="str">
        <x:v>Close</x:v>
      </x:c>
      <x:c r="I60" s="32"/>
      <x:c r="J60" s="32" t="str">
        <x:v>https://docs.cloud.google.com/docs/product-list</x:v>
      </x:c>
      <x:c r="K60" s="32" t="str">
        <x:v>2026-07-12</x:v>
      </x:c>
    </x:row>
    <x:row r="61">
      <x:c r="A61" s="32" t="str">
        <x:v>Google Cloud</x:v>
      </x:c>
      <x:c r="B61" s="32" t="str">
        <x:v>Cloud CDN</x:v>
      </x:c>
      <x:c r="C61" s="32" t="str">
        <x:v>Named service / product family</x:v>
      </x:c>
      <x:c r="D61" s="32" t="str">
        <x:v>Compute &amp; Application Hosting
Networking</x:v>
      </x:c>
      <x:c r="E61" s="32" t="str">
        <x:v>CDN
Static web</x:v>
      </x:c>
      <x:c r="F61" s="32" t="str">
        <x:v>Content delivery network
Static web application hosting</x:v>
      </x:c>
      <x:c r="G61" s="32" t="str">
        <x:v>Host globally delivered static sites with integrated deployment workflows.</x:v>
      </x:c>
      <x:c r="H61" s="32" t="str">
        <x:v>Close</x:v>
      </x:c>
      <x:c r="I61" s="32"/>
      <x:c r="J61" s="32" t="str">
        <x:v>https://docs.cloud.google.com/docs/product-list</x:v>
      </x:c>
      <x:c r="K61" s="32" t="str">
        <x:v>2026-07-12</x:v>
      </x:c>
    </x:row>
    <x:row r="62">
      <x:c r="A62" s="32" t="str">
        <x:v>Google Cloud</x:v>
      </x:c>
      <x:c r="B62" s="32" t="str">
        <x:v>Cloud Data Fusion</x:v>
      </x:c>
      <x:c r="C62" s="32" t="str">
        <x:v>Named service / product family</x:v>
      </x:c>
      <x:c r="D62" s="32" t="str">
        <x:v>Data, Analytics &amp; BI</x:v>
      </x:c>
      <x:c r="E62" s="32" t="str">
        <x:v>ETL and integration</x:v>
      </x:c>
      <x:c r="F62" s="32" t="str">
        <x:v>Managed ETL and data integration</x:v>
      </x:c>
      <x:c r="G62" s="32" t="str">
        <x:v>Discover, prepare, transform and move data between systems.</x:v>
      </x:c>
      <x:c r="H62" s="32" t="str">
        <x:v>Close</x:v>
      </x:c>
      <x:c r="I62" s="32"/>
      <x:c r="J62" s="32" t="str">
        <x:v>https://docs.cloud.google.com/docs/product-list</x:v>
      </x:c>
      <x:c r="K62" s="32" t="str">
        <x:v>2026-07-12</x:v>
      </x:c>
    </x:row>
    <x:row r="63">
      <x:c r="A63" s="32" t="str">
        <x:v>Google Cloud</x:v>
      </x:c>
      <x:c r="B63" s="32" t="str">
        <x:v>Cloud Deploy</x:v>
      </x:c>
      <x:c r="C63" s="32" t="str">
        <x:v>Named service / product family</x:v>
      </x:c>
      <x:c r="D63" s="32" t="str">
        <x:v>Developer Tools &amp; DevOps</x:v>
      </x:c>
      <x:c r="E63" s="32" t="str">
        <x:v>Continuous delivery</x:v>
      </x:c>
      <x:c r="F63" s="32" t="str">
        <x:v>Managed continuous delivery</x:v>
      </x:c>
      <x:c r="G63" s="32" t="str">
        <x:v>Deploy application and infrastructure changes through controlled release pipelines.</x:v>
      </x:c>
      <x:c r="H63" s="32" t="str">
        <x:v>Close</x:v>
      </x:c>
      <x:c r="I63" s="32"/>
      <x:c r="J63" s="32" t="str">
        <x:v>https://docs.cloud.google.com/docs/product-list</x:v>
      </x:c>
      <x:c r="K63" s="32" t="str">
        <x:v>2026-07-12</x:v>
      </x:c>
    </x:row>
    <x:row r="64">
      <x:c r="A64" s="32" t="str">
        <x:v>Google Cloud</x:v>
      </x:c>
      <x:c r="B64" s="32" t="str">
        <x:v>Cloud DNS</x:v>
      </x:c>
      <x:c r="C64" s="32" t="str">
        <x:v>Named service / product family</x:v>
      </x:c>
      <x:c r="D64" s="32" t="str">
        <x:v>Networking</x:v>
      </x:c>
      <x:c r="E64" s="32" t="str">
        <x:v>DNS</x:v>
      </x:c>
      <x:c r="F64" s="32" t="str">
        <x:v>Managed DNS</x:v>
      </x:c>
      <x:c r="G64" s="32" t="str">
        <x:v>Host public and private DNS zones with resilient authoritative name resolution.</x:v>
      </x:c>
      <x:c r="H64" s="32" t="str">
        <x:v>Exact</x:v>
      </x:c>
      <x:c r="I64" s="32"/>
      <x:c r="J64" s="32" t="str">
        <x:v>https://docs.cloud.google.com/docs/product-list</x:v>
      </x:c>
      <x:c r="K64" s="32" t="str">
        <x:v>2026-07-12</x:v>
      </x:c>
    </x:row>
    <x:row r="65">
      <x:c r="A65" s="32" t="str">
        <x:v>Google Cloud</x:v>
      </x:c>
      <x:c r="B65" s="32" t="str">
        <x:v>Cloud DNS routing policies</x:v>
      </x:c>
      <x:c r="C65" s="32" t="str">
        <x:v>Named service / product family</x:v>
      </x:c>
      <x:c r="D65" s="32" t="str">
        <x:v>Networking</x:v>
      </x:c>
      <x:c r="E65" s="32" t="str">
        <x:v>Traffic management</x:v>
      </x:c>
      <x:c r="F65" s="32" t="str">
        <x:v>DNS-based traffic management</x:v>
      </x:c>
      <x:c r="G65" s="32" t="str">
        <x:v>Route traffic across endpoints using health, latency, geography or weighted policies.</x:v>
      </x:c>
      <x:c r="H65" s="32" t="str">
        <x:v>Close</x:v>
      </x:c>
      <x:c r="I65" s="32"/>
      <x:c r="J65" s="32" t="str">
        <x:v>https://docs.cloud.google.com/docs/product-list</x:v>
      </x:c>
      <x:c r="K65" s="32" t="str">
        <x:v>2026-07-12</x:v>
      </x:c>
    </x:row>
    <x:row r="66">
      <x:c r="A66" s="32" t="str">
        <x:v>Google Cloud</x:v>
      </x:c>
      <x:c r="B66" s="32" t="str">
        <x:v>Cloud Domains</x:v>
      </x:c>
      <x:c r="C66" s="32" t="str">
        <x:v>Named service / product family</x:v>
      </x:c>
      <x:c r="D66" s="32" t="str">
        <x:v>Networking</x:v>
      </x:c>
      <x:c r="E66" s="32" t="str">
        <x:v>Domains</x:v>
      </x:c>
      <x:c r="F66" s="32" t="str">
        <x:v>Domain registration</x:v>
      </x:c>
      <x:c r="G66" s="32" t="str">
        <x:v>Register and manage internet domain names.</x:v>
      </x:c>
      <x:c r="H66" s="32" t="str">
        <x:v>Close</x:v>
      </x:c>
      <x:c r="I66" s="32"/>
      <x:c r="J66" s="32" t="str">
        <x:v>https://docs.cloud.google.com/docs/product-list</x:v>
      </x:c>
      <x:c r="K66" s="32" t="str">
        <x:v>2026-07-12</x:v>
      </x:c>
    </x:row>
    <x:row r="67">
      <x:c r="A67" s="32" t="str">
        <x:v>Google Cloud</x:v>
      </x:c>
      <x:c r="B67" s="32" t="str">
        <x:v>Cloud GPUs</x:v>
      </x:c>
      <x:c r="C67" s="32" t="str">
        <x:v>Named service / product family</x:v>
      </x:c>
      <x:c r="D67" s="32" t="str">
        <x:v>AI &amp; Machine Learning</x:v>
      </x:c>
      <x:c r="E67" s="32" t="str">
        <x:v>AI infrastructure</x:v>
      </x:c>
      <x:c r="F67" s="32" t="str">
        <x:v>AI accelerators</x:v>
      </x:c>
      <x:c r="G67" s="32" t="str">
        <x:v>Provide specialised GPU or accelerator infrastructure for training and inference.</x:v>
      </x:c>
      <x:c r="H67" s="32" t="str">
        <x:v>Close</x:v>
      </x:c>
      <x:c r="I67" s="32"/>
      <x:c r="J67" s="32" t="str">
        <x:v>https://docs.cloud.google.com/docs/product-list</x:v>
      </x:c>
      <x:c r="K67" s="32" t="str">
        <x:v>2026-07-12</x:v>
      </x:c>
    </x:row>
    <x:row r="68">
      <x:c r="A68" s="32" t="str">
        <x:v>Google Cloud</x:v>
      </x:c>
      <x:c r="B68" s="32" t="str">
        <x:v>Cloud Healthcare API</x:v>
      </x:c>
      <x:c r="C68" s="32" t="str">
        <x:v>Named service / product family</x:v>
      </x:c>
      <x:c r="D68" s="32" t="str">
        <x:v>AI &amp; Machine Learning</x:v>
      </x:c>
      <x:c r="E68" s="32" t="str">
        <x:v>Healthcare AI</x:v>
      </x:c>
      <x:c r="F68" s="32" t="str">
        <x:v>Healthcare data and AI</x:v>
      </x:c>
      <x:c r="G68" s="32" t="str">
        <x:v>Ingest, normalise, search and apply AI to healthcare information.</x:v>
      </x:c>
      <x:c r="H68" s="32" t="str">
        <x:v>Close</x:v>
      </x:c>
      <x:c r="I68" s="32"/>
      <x:c r="J68" s="32" t="str">
        <x:v>https://docs.cloud.google.com/docs/product-list</x:v>
      </x:c>
      <x:c r="K68" s="32" t="str">
        <x:v>2026-07-12</x:v>
      </x:c>
    </x:row>
    <x:row r="69">
      <x:c r="A69" s="32" t="str">
        <x:v>Google Cloud</x:v>
      </x:c>
      <x:c r="B69" s="32" t="str">
        <x:v>Cloud HPC Toolkit</x:v>
      </x:c>
      <x:c r="C69" s="32" t="str">
        <x:v>Named service / product family</x:v>
      </x:c>
      <x:c r="D69" s="32" t="str">
        <x:v>Compute &amp; Application Hosting</x:v>
      </x:c>
      <x:c r="E69" s="32" t="str">
        <x:v>HPC</x:v>
      </x:c>
      <x:c r="F69" s="32" t="str">
        <x:v>High-performance computing platform</x:v>
      </x:c>
      <x:c r="G69" s="32" t="str">
        <x:v>Provision tightly coupled compute, high-speed networking and schedulers for HPC workloads.</x:v>
      </x:c>
      <x:c r="H69" s="32" t="str">
        <x:v>Close</x:v>
      </x:c>
      <x:c r="I69" s="32"/>
      <x:c r="J69" s="32" t="str">
        <x:v>https://docs.cloud.google.com/docs/product-list</x:v>
      </x:c>
      <x:c r="K69" s="32" t="str">
        <x:v>2026-07-12</x:v>
      </x:c>
    </x:row>
    <x:row r="70">
      <x:c r="A70" s="32" t="str">
        <x:v>Google Cloud</x:v>
      </x:c>
      <x:c r="B70" s="32" t="str">
        <x:v>Cloud HSM</x:v>
      </x:c>
      <x:c r="C70" s="32" t="str">
        <x:v>Named service / product family</x:v>
      </x:c>
      <x:c r="D70" s="32" t="str">
        <x:v>Security, Identity &amp; Compliance</x:v>
      </x:c>
      <x:c r="E70" s="32" t="str">
        <x:v>HSM</x:v>
      </x:c>
      <x:c r="F70" s="32" t="str">
        <x:v>Dedicated cloud HSM</x:v>
      </x:c>
      <x:c r="G70" s="32" t="str">
        <x:v>Use dedicated hardware security modules under customer control.</x:v>
      </x:c>
      <x:c r="H70" s="32" t="str">
        <x:v>Exact</x:v>
      </x:c>
      <x:c r="I70" s="32"/>
      <x:c r="J70" s="32" t="str">
        <x:v>https://docs.cloud.google.com/docs/product-list</x:v>
      </x:c>
      <x:c r="K70" s="32" t="str">
        <x:v>2026-07-12</x:v>
      </x:c>
    </x:row>
    <x:row r="71">
      <x:c r="A71" s="32" t="str">
        <x:v>Google Cloud</x:v>
      </x:c>
      <x:c r="B71" s="32" t="str">
        <x:v>Cloud Identity</x:v>
      </x:c>
      <x:c r="C71" s="32" t="str">
        <x:v>Named service / product family</x:v>
      </x:c>
      <x:c r="D71" s="32" t="str">
        <x:v>Security, Identity &amp; Compliance</x:v>
      </x:c>
      <x:c r="E71" s="32" t="str">
        <x:v>Workforce identity</x:v>
      </x:c>
      <x:c r="F71" s="32" t="str">
        <x:v>Identity and access management</x:v>
      </x:c>
      <x:c r="G71" s="32" t="str">
        <x:v>Authenticate identities and authorise access to cloud resources.</x:v>
      </x:c>
      <x:c r="H71" s="32" t="str">
        <x:v>Close</x:v>
      </x:c>
      <x:c r="I71" s="32"/>
      <x:c r="J71" s="32" t="str">
        <x:v>https://docs.cloud.google.com/docs/product-list</x:v>
      </x:c>
      <x:c r="K71" s="32" t="str">
        <x:v>2026-07-12</x:v>
      </x:c>
    </x:row>
    <x:row r="72">
      <x:c r="A72" s="32" t="str">
        <x:v>Google Cloud</x:v>
      </x:c>
      <x:c r="B72" s="32" t="str">
        <x:v>Cloud Interconnect</x:v>
      </x:c>
      <x:c r="C72" s="32" t="str">
        <x:v>Named service / product family</x:v>
      </x:c>
      <x:c r="D72" s="32" t="str">
        <x:v>Networking</x:v>
      </x:c>
      <x:c r="E72" s="32" t="str">
        <x:v>Hybrid connectivity</x:v>
      </x:c>
      <x:c r="F72" s="32" t="str">
        <x:v>Dedicated private connectivity</x:v>
      </x:c>
      <x:c r="G72" s="32" t="str">
        <x:v>Connect data centres to cloud through dedicated private circuits.</x:v>
      </x:c>
      <x:c r="H72" s="32" t="str">
        <x:v>Exact</x:v>
      </x:c>
      <x:c r="I72" s="32"/>
      <x:c r="J72" s="32" t="str">
        <x:v>https://docs.cloud.google.com/docs/product-list</x:v>
      </x:c>
      <x:c r="K72" s="32" t="str">
        <x:v>2026-07-12</x:v>
      </x:c>
    </x:row>
    <x:row r="73">
      <x:c r="A73" s="32" t="str">
        <x:v>Google Cloud</x:v>
      </x:c>
      <x:c r="B73" s="32" t="str">
        <x:v>Cloud Interconnect / partner media transport</x:v>
      </x:c>
      <x:c r="C73" s="32" t="str">
        <x:v>Architecture / partner alternative</x:v>
      </x:c>
      <x:c r="D73" s="32" t="str">
        <x:v>Media &amp; Communications</x:v>
      </x:c>
      <x:c r="E73" s="32" t="str">
        <x:v>Video transport</x:v>
      </x:c>
      <x:c r="F73" s="32" t="str">
        <x:v>Live video transport</x:v>
      </x:c>
      <x:c r="G73" s="32" t="str">
        <x:v>Reliably transport high-quality live video between sites, partners and cloud workflows.</x:v>
      </x:c>
      <x:c r="H73" s="32" t="str">
        <x:v>Partial</x:v>
      </x:c>
      <x:c r="I73" s="32"/>
      <x:c r="J73" s="32" t="str">
        <x:v>https://docs.cloud.google.com/docs/product-list</x:v>
      </x:c>
      <x:c r="K73" s="32" t="str">
        <x:v>2026-07-12</x:v>
      </x:c>
    </x:row>
    <x:row r="74">
      <x:c r="A74" s="32" t="str">
        <x:v>Google Cloud</x:v>
      </x:c>
      <x:c r="B74" s="32" t="str">
        <x:v>Cloud Key Management Service</x:v>
      </x:c>
      <x:c r="C74" s="32" t="str">
        <x:v>Named service / product family</x:v>
      </x:c>
      <x:c r="D74" s="32" t="str">
        <x:v>Security, Identity &amp; Compliance</x:v>
      </x:c>
      <x:c r="E74" s="32" t="str">
        <x:v>Keys</x:v>
      </x:c>
      <x:c r="F74" s="32" t="str">
        <x:v>Key management service</x:v>
      </x:c>
      <x:c r="G74" s="32" t="str">
        <x:v>Create and control encryption keys for cloud data and applications.</x:v>
      </x:c>
      <x:c r="H74" s="32" t="str">
        <x:v>Exact</x:v>
      </x:c>
      <x:c r="I74" s="32"/>
      <x:c r="J74" s="32" t="str">
        <x:v>https://docs.cloud.google.com/docs/product-list</x:v>
      </x:c>
      <x:c r="K74" s="32" t="str">
        <x:v>2026-07-12</x:v>
      </x:c>
    </x:row>
    <x:row r="75">
      <x:c r="A75" s="32" t="str">
        <x:v>Google Cloud</x:v>
      </x:c>
      <x:c r="B75" s="32" t="str">
        <x:v>Cloud KMS signing</x:v>
      </x:c>
      <x:c r="C75" s="32" t="str">
        <x:v>Named service / product family</x:v>
      </x:c>
      <x:c r="D75" s="32" t="str">
        <x:v>Developer Tools &amp; DevOps</x:v>
      </x:c>
      <x:c r="E75" s="32" t="str">
        <x:v>Code signing</x:v>
      </x:c>
      <x:c r="F75" s="32" t="str">
        <x:v>Artifact and code signing</x:v>
      </x:c>
      <x:c r="G75" s="32" t="str">
        <x:v>Sign software artifacts to verify publisher identity and integrity.</x:v>
      </x:c>
      <x:c r="H75" s="32" t="str">
        <x:v>Close</x:v>
      </x:c>
      <x:c r="I75" s="32"/>
      <x:c r="J75" s="32" t="str">
        <x:v>https://docs.cloud.google.com/docs/product-list</x:v>
      </x:c>
      <x:c r="K75" s="32" t="str">
        <x:v>2026-07-12</x:v>
      </x:c>
    </x:row>
    <x:row r="76">
      <x:c r="A76" s="32" t="str">
        <x:v>Google Cloud</x:v>
      </x:c>
      <x:c r="B76" s="32" t="str">
        <x:v>Cloud Load Balancing</x:v>
      </x:c>
      <x:c r="C76" s="32" t="str">
        <x:v>Named service / product family</x:v>
      </x:c>
      <x:c r="D76" s="32" t="str">
        <x:v>Networking</x:v>
      </x:c>
      <x:c r="E76" s="32" t="str">
        <x:v>Global traffic
Load balancing</x:v>
      </x:c>
      <x:c r="F76" s="32" t="str">
        <x:v>Global application acceleration
Layer 4 load balancing
Layer 7 application load balancing</x:v>
      </x:c>
      <x:c r="G76" s="32" t="str">
        <x:v>Distribute TCP or UDP traffic across healthy backend services.</x:v>
      </x:c>
      <x:c r="H76" s="32" t="str">
        <x:v>Close, Exact</x:v>
      </x:c>
      <x:c r="I76" s="32"/>
      <x:c r="J76" s="32" t="str">
        <x:v>https://docs.cloud.google.com/docs/product-list</x:v>
      </x:c>
      <x:c r="K76" s="32" t="str">
        <x:v>2026-07-12</x:v>
      </x:c>
    </x:row>
    <x:row r="77">
      <x:c r="A77" s="32" t="str">
        <x:v>Google Cloud</x:v>
      </x:c>
      <x:c r="B77" s="32" t="str">
        <x:v>Cloud Logging</x:v>
      </x:c>
      <x:c r="C77" s="32" t="str">
        <x:v>Named service / product family</x:v>
      </x:c>
      <x:c r="D77" s="32" t="str">
        <x:v>Observability &amp; Reliability</x:v>
      </x:c>
      <x:c r="E77" s="32" t="str">
        <x:v>Logging</x:v>
      </x:c>
      <x:c r="F77" s="32" t="str">
        <x:v>Central log management</x:v>
      </x:c>
      <x:c r="G77" s="32" t="str">
        <x:v>Collect, search, retain and route cloud and application logs.</x:v>
      </x:c>
      <x:c r="H77" s="32" t="str">
        <x:v>Exact</x:v>
      </x:c>
      <x:c r="I77" s="32"/>
      <x:c r="J77" s="32" t="str">
        <x:v>https://docs.cloud.google.com/docs/product-list</x:v>
      </x:c>
      <x:c r="K77" s="32" t="str">
        <x:v>2026-07-12</x:v>
      </x:c>
    </x:row>
    <x:row r="78">
      <x:c r="A78" s="32" t="str">
        <x:v>Google Cloud</x:v>
      </x:c>
      <x:c r="B78" s="32" t="str">
        <x:v>Cloud Monitoring</x:v>
      </x:c>
      <x:c r="C78" s="32" t="str">
        <x:v>Named service / product family</x:v>
      </x:c>
      <x:c r="D78" s="32" t="str">
        <x:v>AI &amp; Machine Learning
Observability &amp; Reliability</x:v>
      </x:c>
      <x:c r="E78" s="32" t="str">
        <x:v>AI observability
Anomaly detection
Unified monitoring</x:v>
      </x:c>
      <x:c r="F78" s="32" t="str">
        <x:v>AI application observability
Anomaly and metric detection
Cloud monitoring</x:v>
      </x:c>
      <x:c r="G78" s="32" t="str">
        <x:v>Trace prompts, agents, tools, latency, quality and token usage in AI applications.</x:v>
      </x:c>
      <x:c r="H78" s="32" t="str">
        <x:v>Close, Exact, Partial</x:v>
      </x:c>
      <x:c r="I78" s="32"/>
      <x:c r="J78" s="32" t="str">
        <x:v>https://docs.cloud.google.com/docs/product-list</x:v>
      </x:c>
      <x:c r="K78" s="32" t="str">
        <x:v>2026-07-12</x:v>
      </x:c>
    </x:row>
    <x:row r="79">
      <x:c r="A79" s="32" t="str">
        <x:v>Google Cloud</x:v>
      </x:c>
      <x:c r="B79" s="32" t="str">
        <x:v>Cloud NAT</x:v>
      </x:c>
      <x:c r="C79" s="32" t="str">
        <x:v>Named service / product family</x:v>
      </x:c>
      <x:c r="D79" s="32" t="str">
        <x:v>Networking</x:v>
      </x:c>
      <x:c r="E79" s="32" t="str">
        <x:v>NAT</x:v>
      </x:c>
      <x:c r="F79" s="32" t="str">
        <x:v>Managed network address translation</x:v>
      </x:c>
      <x:c r="G79" s="32" t="str">
        <x:v>Provide controlled outbound internet access for private workloads.</x:v>
      </x:c>
      <x:c r="H79" s="32" t="str">
        <x:v>Exact</x:v>
      </x:c>
      <x:c r="I79" s="32"/>
      <x:c r="J79" s="32" t="str">
        <x:v>https://docs.cloud.google.com/docs/product-list</x:v>
      </x:c>
      <x:c r="K79" s="32" t="str">
        <x:v>2026-07-12</x:v>
      </x:c>
    </x:row>
    <x:row r="80">
      <x:c r="A80" s="32" t="str">
        <x:v>Google Cloud</x:v>
      </x:c>
      <x:c r="B80" s="32" t="str">
        <x:v>Cloud Natural Language</x:v>
      </x:c>
      <x:c r="C80" s="32" t="str">
        <x:v>Named service / product family</x:v>
      </x:c>
      <x:c r="D80" s="32" t="str">
        <x:v>AI &amp; Machine Learning</x:v>
      </x:c>
      <x:c r="E80" s="32" t="str">
        <x:v>NLP</x:v>
      </x:c>
      <x:c r="F80" s="32" t="str">
        <x:v>Natural-language analysis</x:v>
      </x:c>
      <x:c r="G80" s="32" t="str">
        <x:v>Extract entities, sentiment, classifications and insights from text.</x:v>
      </x:c>
      <x:c r="H80" s="32" t="str">
        <x:v>Exact</x:v>
      </x:c>
      <x:c r="I80" s="32"/>
      <x:c r="J80" s="32" t="str">
        <x:v>https://docs.cloud.google.com/docs/product-list</x:v>
      </x:c>
      <x:c r="K80" s="32" t="str">
        <x:v>2026-07-12</x:v>
      </x:c>
    </x:row>
    <x:row r="81">
      <x:c r="A81" s="32" t="str">
        <x:v>Google Cloud</x:v>
      </x:c>
      <x:c r="B81" s="32" t="str">
        <x:v>Cloud Next Generation Firewall</x:v>
      </x:c>
      <x:c r="C81" s="32" t="str">
        <x:v>Named service / product family</x:v>
      </x:c>
      <x:c r="D81" s="32" t="str">
        <x:v>Security, Identity &amp; Compliance</x:v>
      </x:c>
      <x:c r="E81" s="32" t="str">
        <x:v>Network security</x:v>
      </x:c>
      <x:c r="F81" s="32" t="str">
        <x:v>Managed network firewall</x:v>
      </x:c>
      <x:c r="G81" s="32" t="str">
        <x:v>Inspect and filter network traffic using managed firewall policies.</x:v>
      </x:c>
      <x:c r="H81" s="32" t="str">
        <x:v>Exact</x:v>
      </x:c>
      <x:c r="I81" s="32"/>
      <x:c r="J81" s="32" t="str">
        <x:v>https://docs.cloud.google.com/docs/product-list</x:v>
      </x:c>
      <x:c r="K81" s="32" t="str">
        <x:v>2026-07-12</x:v>
      </x:c>
    </x:row>
    <x:row r="82">
      <x:c r="A82" s="32" t="str">
        <x:v>Google Cloud</x:v>
      </x:c>
      <x:c r="B82" s="32" t="str">
        <x:v>Cloud Profiler</x:v>
      </x:c>
      <x:c r="C82" s="32" t="str">
        <x:v>Named service / product family</x:v>
      </x:c>
      <x:c r="D82" s="32" t="str">
        <x:v>Observability &amp; Reliability</x:v>
      </x:c>
      <x:c r="E82" s="32" t="str">
        <x:v>Profiling</x:v>
      </x:c>
      <x:c r="F82" s="32" t="str">
        <x:v>Production code profiling</x:v>
      </x:c>
      <x:c r="G82" s="32" t="str">
        <x:v>Identify CPU and memory hot spots in running applications.</x:v>
      </x:c>
      <x:c r="H82" s="32" t="str">
        <x:v>Exact</x:v>
      </x:c>
      <x:c r="I82" s="32"/>
      <x:c r="J82" s="32" t="str">
        <x:v>https://docs.cloud.google.com/docs/product-list</x:v>
      </x:c>
      <x:c r="K82" s="32" t="str">
        <x:v>2026-07-12</x:v>
      </x:c>
    </x:row>
    <x:row r="83">
      <x:c r="A83" s="32" t="str">
        <x:v>Google Cloud</x:v>
      </x:c>
      <x:c r="B83" s="32" t="str">
        <x:v>Cloud provider access management</x:v>
      </x:c>
      <x:c r="C83" s="32" t="str">
        <x:v>Named service / product family</x:v>
      </x:c>
      <x:c r="D83" s="32" t="str">
        <x:v>Security, Identity &amp; Compliance</x:v>
      </x:c>
      <x:c r="E83" s="32" t="str">
        <x:v>Access transparency</x:v>
      </x:c>
      <x:c r="F83" s="32" t="str">
        <x:v>Provider access transparency</x:v>
      </x:c>
      <x:c r="G83" s="32" t="str">
        <x:v>Show when and why provider personnel accessed customer content.</x:v>
      </x:c>
      <x:c r="H83" s="32" t="str">
        <x:v>Partial</x:v>
      </x:c>
      <x:c r="I83" s="32"/>
      <x:c r="J83" s="32" t="str">
        <x:v>https://docs.cloud.google.com/docs/product-list</x:v>
      </x:c>
      <x:c r="K83" s="32" t="str">
        <x:v>2026-07-12</x:v>
      </x:c>
    </x:row>
    <x:row r="84">
      <x:c r="A84" s="32" t="str">
        <x:v>Google Cloud</x:v>
      </x:c>
      <x:c r="B84" s="32" t="str">
        <x:v>Cloud Quotas</x:v>
      </x:c>
      <x:c r="C84" s="32" t="str">
        <x:v>Named service / product family</x:v>
      </x:c>
      <x:c r="D84" s="32" t="str">
        <x:v>Governance &amp; Management</x:v>
      </x:c>
      <x:c r="E84" s="32" t="str">
        <x:v>Quotas</x:v>
      </x:c>
      <x:c r="F84" s="32" t="str">
        <x:v>Service quota management</x:v>
      </x:c>
      <x:c r="G84" s="32" t="str">
        <x:v>View, monitor and request changes to cloud service quotas.</x:v>
      </x:c>
      <x:c r="H84" s="32" t="str">
        <x:v>Exact</x:v>
      </x:c>
      <x:c r="I84" s="32"/>
      <x:c r="J84" s="32" t="str">
        <x:v>https://docs.cloud.google.com/docs/product-list</x:v>
      </x:c>
      <x:c r="K84" s="32" t="str">
        <x:v>2026-07-12</x:v>
      </x:c>
    </x:row>
    <x:row r="85">
      <x:c r="A85" s="32" t="str">
        <x:v>Google Cloud</x:v>
      </x:c>
      <x:c r="B85" s="32" t="str">
        <x:v>Cloud Resource Manager</x:v>
      </x:c>
      <x:c r="C85" s="32" t="str">
        <x:v>Named service / product family</x:v>
      </x:c>
      <x:c r="D85" s="32" t="str">
        <x:v>Governance &amp; Management</x:v>
      </x:c>
      <x:c r="E85" s="32" t="str">
        <x:v>Organisation governance</x:v>
      </x:c>
      <x:c r="F85" s="32" t="str">
        <x:v>Cloud organisation and account hierarchy</x:v>
      </x:c>
      <x:c r="G85" s="32" t="str">
        <x:v>Centrally organise subscriptions/accounts/projects, apply hierarchy and consolidate governance.</x:v>
      </x:c>
      <x:c r="H85" s="32" t="str">
        <x:v>Exact</x:v>
      </x:c>
      <x:c r="I85" s="32"/>
      <x:c r="J85" s="32" t="str">
        <x:v>https://docs.cloud.google.com/docs/product-list</x:v>
      </x:c>
      <x:c r="K85" s="32" t="str">
        <x:v>2026-07-12</x:v>
      </x:c>
    </x:row>
    <x:row r="86">
      <x:c r="A86" s="32" t="str">
        <x:v>Google Cloud</x:v>
      </x:c>
      <x:c r="B86" s="32" t="str">
        <x:v>Cloud Run</x:v>
      </x:c>
      <x:c r="C86" s="32" t="str">
        <x:v>Named service / product family</x:v>
      </x:c>
      <x:c r="D86" s="32" t="str">
        <x:v>Compute &amp; Application Hosting</x:v>
      </x:c>
      <x:c r="E86" s="32" t="str">
        <x:v>Application PaaS
Container PaaS
Container instances</x:v>
      </x:c>
      <x:c r="F86" s="32" t="str">
        <x:v>Managed web application platform
Serverless container application platform
Serverless container instances</x:v>
      </x:c>
      <x:c r="G86" s="32" t="str">
        <x:v>Deploy web applications and APIs on a managed runtime platform.</x:v>
      </x:c>
      <x:c r="H86" s="32" t="str">
        <x:v>Close</x:v>
      </x:c>
      <x:c r="I86" s="32"/>
      <x:c r="J86" s="32" t="str">
        <x:v>https://docs.cloud.google.com/docs/product-list</x:v>
      </x:c>
      <x:c r="K86" s="32" t="str">
        <x:v>2026-07-12</x:v>
      </x:c>
    </x:row>
    <x:row r="87">
      <x:c r="A87" s="32" t="str">
        <x:v>Google Cloud</x:v>
      </x:c>
      <x:c r="B87" s="32" t="str">
        <x:v>Cloud Run functions</x:v>
      </x:c>
      <x:c r="C87" s="32" t="str">
        <x:v>Named service / product family</x:v>
      </x:c>
      <x:c r="D87" s="32" t="str">
        <x:v>Compute &amp; Application Hosting</x:v>
      </x:c>
      <x:c r="E87" s="32" t="str">
        <x:v>Serverless functions</x:v>
      </x:c>
      <x:c r="F87" s="32" t="str">
        <x:v>Functions as a service</x:v>
      </x:c>
      <x:c r="G87" s="32" t="str">
        <x:v>Run event-driven code without managing servers.</x:v>
      </x:c>
      <x:c r="H87" s="32" t="str">
        <x:v>Exact</x:v>
      </x:c>
      <x:c r="I87" s="32"/>
      <x:c r="J87" s="32" t="str">
        <x:v>https://docs.cloud.google.com/docs/product-list</x:v>
      </x:c>
      <x:c r="K87" s="32" t="str">
        <x:v>2026-07-12</x:v>
      </x:c>
    </x:row>
    <x:row r="88">
      <x:c r="A88" s="32" t="str">
        <x:v>Google Cloud</x:v>
      </x:c>
      <x:c r="B88" s="32" t="str">
        <x:v>Cloud Run WebSockets</x:v>
      </x:c>
      <x:c r="C88" s="32" t="str">
        <x:v>Named service / product family</x:v>
      </x:c>
      <x:c r="D88" s="32" t="str">
        <x:v>Application Integration</x:v>
      </x:c>
      <x:c r="E88" s="32" t="str">
        <x:v>Real-time messaging</x:v>
      </x:c>
      <x:c r="F88" s="32" t="str">
        <x:v>Managed real-time web messaging</x:v>
      </x:c>
      <x:c r="G88" s="32" t="str">
        <x:v>Deliver low-latency bidirectional messages to connected web and mobile clients.</x:v>
      </x:c>
      <x:c r="H88" s="32" t="str">
        <x:v>Partial</x:v>
      </x:c>
      <x:c r="I88" s="32"/>
      <x:c r="J88" s="32" t="str">
        <x:v>https://docs.cloud.google.com/docs/product-list</x:v>
      </x:c>
      <x:c r="K88" s="32" t="str">
        <x:v>2026-07-12</x:v>
      </x:c>
    </x:row>
    <x:row r="89">
      <x:c r="A89" s="32" t="str">
        <x:v>Google Cloud</x:v>
      </x:c>
      <x:c r="B89" s="32" t="str">
        <x:v>Cloud Scheduler</x:v>
      </x:c>
      <x:c r="C89" s="32" t="str">
        <x:v>Named service / product family</x:v>
      </x:c>
      <x:c r="D89" s="32" t="str">
        <x:v>Application Integration</x:v>
      </x:c>
      <x:c r="E89" s="32" t="str">
        <x:v>Workflow scheduling</x:v>
      </x:c>
      <x:c r="F89" s="32" t="str">
        <x:v>Cloud task scheduler</x:v>
      </x:c>
      <x:c r="G89" s="32" t="str">
        <x:v>Trigger jobs and HTTP targets according to cron-like schedules.</x:v>
      </x:c>
      <x:c r="H89" s="32" t="str">
        <x:v>Close</x:v>
      </x:c>
      <x:c r="I89" s="32"/>
      <x:c r="J89" s="32" t="str">
        <x:v>https://docs.cloud.google.com/docs/product-list</x:v>
      </x:c>
      <x:c r="K89" s="32" t="str">
        <x:v>2026-07-12</x:v>
      </x:c>
    </x:row>
    <x:row r="90">
      <x:c r="A90" s="32" t="str">
        <x:v>Google Cloud</x:v>
      </x:c>
      <x:c r="B90" s="32" t="str">
        <x:v>Cloud Service Mesh</x:v>
      </x:c>
      <x:c r="C90" s="32" t="str">
        <x:v>Named service / product family</x:v>
      </x:c>
      <x:c r="D90" s="32" t="str">
        <x:v>Networking</x:v>
      </x:c>
      <x:c r="E90" s="32" t="str">
        <x:v>Service networking</x:v>
      </x:c>
      <x:c r="F90" s="32" t="str">
        <x:v>Service mesh</x:v>
      </x:c>
      <x:c r="G90" s="32" t="str">
        <x:v>Manage service-to-service traffic, identity, observability and policy for microservices.</x:v>
      </x:c>
      <x:c r="H90" s="32" t="str">
        <x:v>Close</x:v>
      </x:c>
      <x:c r="I90" s="32"/>
      <x:c r="J90" s="32" t="str">
        <x:v>https://docs.cloud.google.com/docs/product-list</x:v>
      </x:c>
      <x:c r="K90" s="32" t="str">
        <x:v>2026-07-12</x:v>
      </x:c>
    </x:row>
    <x:row r="91">
      <x:c r="A91" s="32" t="str">
        <x:v>Google Cloud</x:v>
      </x:c>
      <x:c r="B91" s="32" t="str">
        <x:v>Cloud Shell</x:v>
      </x:c>
      <x:c r="C91" s="32" t="str">
        <x:v>Named service / product family</x:v>
      </x:c>
      <x:c r="D91" s="32" t="str">
        <x:v>Developer Tools &amp; DevOps</x:v>
      </x:c>
      <x:c r="E91" s="32" t="str">
        <x:v>Cloud IDE</x:v>
      </x:c>
      <x:c r="F91" s="32" t="str">
        <x:v>Browser-based cloud development environment</x:v>
      </x:c>
      <x:c r="G91" s="32" t="str">
        <x:v>Provide managed browser-accessible development environments connected to cloud resources.</x:v>
      </x:c>
      <x:c r="H91" s="32" t="str">
        <x:v>Close</x:v>
      </x:c>
      <x:c r="I91" s="32"/>
      <x:c r="J91" s="32" t="str">
        <x:v>https://docs.cloud.google.com/docs/product-list</x:v>
      </x:c>
      <x:c r="K91" s="32" t="str">
        <x:v>2026-07-12</x:v>
      </x:c>
    </x:row>
    <x:row r="92">
      <x:c r="A92" s="32" t="str">
        <x:v>Google Cloud</x:v>
      </x:c>
      <x:c r="B92" s="32" t="str">
        <x:v>Cloud SQL</x:v>
      </x:c>
      <x:c r="C92" s="32" t="str">
        <x:v>Named service / product family</x:v>
      </x:c>
      <x:c r="D92" s="32" t="str">
        <x:v>Databases</x:v>
      </x:c>
      <x:c r="E92" s="32" t="str">
        <x:v>Relational databases</x:v>
      </x:c>
      <x:c r="F92" s="32" t="str">
        <x:v>Managed relational database service</x:v>
      </x:c>
      <x:c r="G92" s="32" t="str">
        <x:v>Operate common relational database engines with managed backups, patching and availability.</x:v>
      </x:c>
      <x:c r="H92" s="32" t="str">
        <x:v>Close</x:v>
      </x:c>
      <x:c r="I92" s="32"/>
      <x:c r="J92" s="32" t="str">
        <x:v>https://docs.cloud.google.com/docs/product-list</x:v>
      </x:c>
      <x:c r="K92" s="32" t="str">
        <x:v>2026-07-12</x:v>
      </x:c>
    </x:row>
    <x:row r="93">
      <x:c r="A93" s="32" t="str">
        <x:v>Google Cloud</x:v>
      </x:c>
      <x:c r="B93" s="32" t="str">
        <x:v>Cloud SQL for MySQL</x:v>
      </x:c>
      <x:c r="C93" s="32" t="str">
        <x:v>Named service / product family</x:v>
      </x:c>
      <x:c r="D93" s="32" t="str">
        <x:v>Databases</x:v>
      </x:c>
      <x:c r="E93" s="32" t="str">
        <x:v>MySQL</x:v>
      </x:c>
      <x:c r="F93" s="32" t="str">
        <x:v>Managed MySQL</x:v>
      </x:c>
      <x:c r="G93" s="32" t="str">
        <x:v>Operate MySQL databases with managed backups, patching and high availability.</x:v>
      </x:c>
      <x:c r="H93" s="32" t="str">
        <x:v>Exact</x:v>
      </x:c>
      <x:c r="I93" s="32"/>
      <x:c r="J93" s="32" t="str">
        <x:v>https://docs.cloud.google.com/docs/product-list</x:v>
      </x:c>
      <x:c r="K93" s="32" t="str">
        <x:v>2026-07-12</x:v>
      </x:c>
    </x:row>
    <x:row r="94">
      <x:c r="A94" s="32" t="str">
        <x:v>Google Cloud</x:v>
      </x:c>
      <x:c r="B94" s="32" t="str">
        <x:v>Cloud SQL for SQL Server</x:v>
      </x:c>
      <x:c r="C94" s="32" t="str">
        <x:v>Named service / product family</x:v>
      </x:c>
      <x:c r="D94" s="32" t="str">
        <x:v>Databases</x:v>
      </x:c>
      <x:c r="E94" s="32" t="str">
        <x:v>SQL Server</x:v>
      </x:c>
      <x:c r="F94" s="32" t="str">
        <x:v>Managed SQL Server</x:v>
      </x:c>
      <x:c r="G94" s="32" t="str">
        <x:v>Run Microsoft SQL Server as a managed database or on cloud virtual machines.</x:v>
      </x:c>
      <x:c r="H94" s="32" t="str">
        <x:v>Close</x:v>
      </x:c>
      <x:c r="I94" s="32"/>
      <x:c r="J94" s="32" t="str">
        <x:v>https://docs.cloud.google.com/docs/product-list</x:v>
      </x:c>
      <x:c r="K94" s="32" t="str">
        <x:v>2026-07-12</x:v>
      </x:c>
    </x:row>
    <x:row r="95">
      <x:c r="A95" s="32" t="str">
        <x:v>Google Cloud</x:v>
      </x:c>
      <x:c r="B95" s="32" t="str">
        <x:v>Cloud SQL pgvector</x:v>
      </x:c>
      <x:c r="C95" s="32" t="str">
        <x:v>Named service / product family</x:v>
      </x:c>
      <x:c r="D95" s="32" t="str">
        <x:v>AI &amp; Machine Learning</x:v>
      </x:c>
      <x:c r="E95" s="32" t="str">
        <x:v>Vector search</x:v>
      </x:c>
      <x:c r="F95" s="32" t="str">
        <x:v>Managed vector search</x:v>
      </x:c>
      <x:c r="G95" s="32" t="str">
        <x:v>Store embeddings and run similarity search for RAG and recommendation workloads.</x:v>
      </x:c>
      <x:c r="H95" s="32" t="str">
        <x:v>Close</x:v>
      </x:c>
      <x:c r="I95" s="32"/>
      <x:c r="J95" s="32" t="str">
        <x:v>https://docs.cloud.google.com/docs/product-list</x:v>
      </x:c>
      <x:c r="K95" s="32" t="str">
        <x:v>2026-07-12</x:v>
      </x:c>
    </x:row>
    <x:row r="96">
      <x:c r="A96" s="32" t="str">
        <x:v>Google Cloud</x:v>
      </x:c>
      <x:c r="B96" s="32" t="str">
        <x:v>Cloud Storage</x:v>
      </x:c>
      <x:c r="C96" s="32" t="str">
        <x:v>Named service / product family</x:v>
      </x:c>
      <x:c r="D96" s="32" t="str">
        <x:v>Compute &amp; Application Hosting
Data, Analytics &amp; BI
Media &amp; Communications
Storage</x:v>
      </x:c>
      <x:c r="E96" s="32" t="str">
        <x:v>Data lake
Object storage
Static web
Video packaging</x:v>
      </x:c>
      <x:c r="F96" s="32" t="str">
        <x:v>Cloud data lake storage
Object storage
Static web application hosting
Video packaging and origin</x:v>
      </x:c>
      <x:c r="G96" s="32" t="str">
        <x:v>Host globally delivered static sites with integrated deployment workflows.</x:v>
      </x:c>
      <x:c r="H96" s="32" t="str">
        <x:v>Close, Exact, Partial</x:v>
      </x:c>
      <x:c r="I96" s="32"/>
      <x:c r="J96" s="32" t="str">
        <x:v>https://docs.cloud.google.com/docs/product-list</x:v>
      </x:c>
      <x:c r="K96" s="32" t="str">
        <x:v>2026-07-12</x:v>
      </x:c>
    </x:row>
    <x:row r="97">
      <x:c r="A97" s="32" t="str">
        <x:v>Google Cloud</x:v>
      </x:c>
      <x:c r="B97" s="32" t="str">
        <x:v>Cloud Storage Archive</x:v>
      </x:c>
      <x:c r="C97" s="32" t="str">
        <x:v>Named service / product family</x:v>
      </x:c>
      <x:c r="D97" s="32" t="str">
        <x:v>Storage</x:v>
      </x:c>
      <x:c r="E97" s="32" t="str">
        <x:v>Archive storage</x:v>
      </x:c>
      <x:c r="F97" s="32" t="str">
        <x:v>Long-term archive storage</x:v>
      </x:c>
      <x:c r="G97" s="32" t="str">
        <x:v>Store infrequently accessed data at low cost with delayed or tiered retrieval.</x:v>
      </x:c>
      <x:c r="H97" s="32" t="str">
        <x:v>Exact</x:v>
      </x:c>
      <x:c r="I97" s="32"/>
      <x:c r="J97" s="32" t="str">
        <x:v>https://docs.cloud.google.com/docs/product-list</x:v>
      </x:c>
      <x:c r="K97" s="32" t="str">
        <x:v>2026-07-12</x:v>
      </x:c>
    </x:row>
    <x:row r="98">
      <x:c r="A98" s="32" t="str">
        <x:v>Google Cloud</x:v>
      </x:c>
      <x:c r="B98" s="32" t="str">
        <x:v>Cloud Talent Solution</x:v>
      </x:c>
      <x:c r="C98" s="32" t="str">
        <x:v>Named service / product family</x:v>
      </x:c>
      <x:c r="D98" s="32" t="str">
        <x:v>Industry &amp; Specialist</x:v>
      </x:c>
      <x:c r="E98" s="32" t="str">
        <x:v>Talent matching</x:v>
      </x:c>
      <x:c r="F98" s="32" t="str">
        <x:v>Talent and job matching</x:v>
      </x:c>
      <x:c r="G98" s="32" t="str">
        <x:v>Match candidates and jobs using specialised search and machine learning.</x:v>
      </x:c>
      <x:c r="H98" s="32" t="str">
        <x:v>Partial</x:v>
      </x:c>
      <x:c r="I98" s="32"/>
      <x:c r="J98" s="32" t="str">
        <x:v>https://docs.cloud.google.com/docs/product-list</x:v>
      </x:c>
      <x:c r="K98" s="32" t="str">
        <x:v>2026-07-12</x:v>
      </x:c>
    </x:row>
    <x:row r="99">
      <x:c r="A99" s="32" t="str">
        <x:v>Google Cloud</x:v>
      </x:c>
      <x:c r="B99" s="32" t="str">
        <x:v>Cloud Tasks</x:v>
      </x:c>
      <x:c r="C99" s="32" t="str">
        <x:v>Named service / product family</x:v>
      </x:c>
      <x:c r="D99" s="32" t="str">
        <x:v>Application Integration</x:v>
      </x:c>
      <x:c r="E99" s="32" t="str">
        <x:v>Task queue</x:v>
      </x:c>
      <x:c r="F99" s="32" t="str">
        <x:v>Application task queue</x:v>
      </x:c>
      <x:c r="G99" s="32" t="str">
        <x:v>Dispatch and control asynchronous application tasks with retries and rate limits.</x:v>
      </x:c>
      <x:c r="H99" s="32" t="str">
        <x:v>Close</x:v>
      </x:c>
      <x:c r="I99" s="32"/>
      <x:c r="J99" s="32" t="str">
        <x:v>https://docs.cloud.google.com/docs/product-list</x:v>
      </x:c>
      <x:c r="K99" s="32" t="str">
        <x:v>2026-07-12</x:v>
      </x:c>
    </x:row>
    <x:row r="100">
      <x:c r="A100" s="32" t="str">
        <x:v>Google Cloud</x:v>
      </x:c>
      <x:c r="B100" s="32" t="str">
        <x:v>Cloud TPU</x:v>
      </x:c>
      <x:c r="C100" s="32" t="str">
        <x:v>Named service / product family</x:v>
      </x:c>
      <x:c r="D100" s="32" t="str">
        <x:v>AI &amp; Machine Learning</x:v>
      </x:c>
      <x:c r="E100" s="32" t="str">
        <x:v>AI infrastructure</x:v>
      </x:c>
      <x:c r="F100" s="32" t="str">
        <x:v>AI accelerators</x:v>
      </x:c>
      <x:c r="G100" s="32" t="str">
        <x:v>Provide specialised GPU or accelerator infrastructure for training and inference.</x:v>
      </x:c>
      <x:c r="H100" s="32" t="str">
        <x:v>Close</x:v>
      </x:c>
      <x:c r="I100" s="32"/>
      <x:c r="J100" s="32" t="str">
        <x:v>https://docs.cloud.google.com/docs/product-list</x:v>
      </x:c>
      <x:c r="K100" s="32" t="str">
        <x:v>2026-07-12</x:v>
      </x:c>
    </x:row>
    <x:row r="101">
      <x:c r="A101" s="32" t="str">
        <x:v>Google Cloud</x:v>
      </x:c>
      <x:c r="B101" s="32" t="str">
        <x:v>Cloud Trace</x:v>
      </x:c>
      <x:c r="C101" s="32" t="str">
        <x:v>Named service / product family</x:v>
      </x:c>
      <x:c r="D101" s="32" t="str">
        <x:v>AI &amp; Machine Learning
Observability &amp; Reliability</x:v>
      </x:c>
      <x:c r="E101" s="32" t="str">
        <x:v>AI observability
Tracing</x:v>
      </x:c>
      <x:c r="F101" s="32" t="str">
        <x:v>AI application observability
Distributed tracing</x:v>
      </x:c>
      <x:c r="G101" s="32" t="str">
        <x:v>Trace prompts, agents, tools, latency, quality and token usage in AI applications.</x:v>
      </x:c>
      <x:c r="H101" s="32" t="str">
        <x:v>Close, Exact</x:v>
      </x:c>
      <x:c r="I101" s="32"/>
      <x:c r="J101" s="32" t="str">
        <x:v>https://docs.cloud.google.com/docs/product-list</x:v>
      </x:c>
      <x:c r="K101" s="32" t="str">
        <x:v>2026-07-12</x:v>
      </x:c>
    </x:row>
    <x:row r="102">
      <x:c r="A102" s="32" t="str">
        <x:v>Google Cloud</x:v>
      </x:c>
      <x:c r="B102" s="32" t="str">
        <x:v>Cloud Translation</x:v>
      </x:c>
      <x:c r="C102" s="32" t="str">
        <x:v>Named service / product family</x:v>
      </x:c>
      <x:c r="D102" s="32" t="str">
        <x:v>AI &amp; Machine Learning</x:v>
      </x:c>
      <x:c r="E102" s="32" t="str">
        <x:v>Translation</x:v>
      </x:c>
      <x:c r="F102" s="32" t="str">
        <x:v>Machine translation</x:v>
      </x:c>
      <x:c r="G102" s="32" t="str">
        <x:v>Translate text and documents between languages using managed AI.</x:v>
      </x:c>
      <x:c r="H102" s="32" t="str">
        <x:v>Exact</x:v>
      </x:c>
      <x:c r="I102" s="32"/>
      <x:c r="J102" s="32" t="str">
        <x:v>https://docs.cloud.google.com/docs/product-list</x:v>
      </x:c>
      <x:c r="K102" s="32" t="str">
        <x:v>2026-07-12</x:v>
      </x:c>
    </x:row>
    <x:row r="103">
      <x:c r="A103" s="32" t="str">
        <x:v>Google Cloud</x:v>
      </x:c>
      <x:c r="B103" s="32" t="str">
        <x:v>Cloud Vision API</x:v>
      </x:c>
      <x:c r="C103" s="32" t="str">
        <x:v>Named service / product family</x:v>
      </x:c>
      <x:c r="D103" s="32" t="str">
        <x:v>AI &amp; Machine Learning</x:v>
      </x:c>
      <x:c r="E103" s="32" t="str">
        <x:v>Vision</x:v>
      </x:c>
      <x:c r="F103" s="32" t="str">
        <x:v>Image analysis</x:v>
      </x:c>
      <x:c r="G103" s="32" t="str">
        <x:v>Detect, classify and extract information from images.</x:v>
      </x:c>
      <x:c r="H103" s="32" t="str">
        <x:v>Exact</x:v>
      </x:c>
      <x:c r="I103" s="32"/>
      <x:c r="J103" s="32" t="str">
        <x:v>https://docs.cloud.google.com/docs/product-list</x:v>
      </x:c>
      <x:c r="K103" s="32" t="str">
        <x:v>2026-07-12</x:v>
      </x:c>
    </x:row>
    <x:row r="104">
      <x:c r="A104" s="32" t="str">
        <x:v>Google Cloud</x:v>
      </x:c>
      <x:c r="B104" s="32" t="str">
        <x:v>Cloud VPN</x:v>
      </x:c>
      <x:c r="C104" s="32" t="str">
        <x:v>Named service / product family</x:v>
      </x:c>
      <x:c r="D104" s="32" t="str">
        <x:v>Networking</x:v>
      </x:c>
      <x:c r="E104" s="32" t="str">
        <x:v>Hybrid connectivity</x:v>
      </x:c>
      <x:c r="F104" s="32" t="str">
        <x:v>Site-to-site VPN</x:v>
      </x:c>
      <x:c r="G104" s="32" t="str">
        <x:v>Connect on-premises networks to cloud virtual networks through encrypted tunnels.</x:v>
      </x:c>
      <x:c r="H104" s="32" t="str">
        <x:v>Exact</x:v>
      </x:c>
      <x:c r="I104" s="32"/>
      <x:c r="J104" s="32" t="str">
        <x:v>https://docs.cloud.google.com/docs/product-list</x:v>
      </x:c>
      <x:c r="K104" s="32" t="str">
        <x:v>2026-07-12</x:v>
      </x:c>
    </x:row>
    <x:row r="105">
      <x:c r="A105" s="32" t="str">
        <x:v>Google Cloud</x:v>
      </x:c>
      <x:c r="B105" s="32" t="str">
        <x:v>Cloud Workstations</x:v>
      </x:c>
      <x:c r="C105" s="32" t="str">
        <x:v>Named service / product family</x:v>
      </x:c>
      <x:c r="D105" s="32" t="str">
        <x:v>Developer Tools &amp; DevOps</x:v>
      </x:c>
      <x:c r="E105" s="32" t="str">
        <x:v>Cloud IDE</x:v>
      </x:c>
      <x:c r="F105" s="32" t="str">
        <x:v>Browser-based cloud development environment</x:v>
      </x:c>
      <x:c r="G105" s="32" t="str">
        <x:v>Provide managed browser-accessible development environments connected to cloud resources.</x:v>
      </x:c>
      <x:c r="H105" s="32" t="str">
        <x:v>Close</x:v>
      </x:c>
      <x:c r="I105" s="32"/>
      <x:c r="J105" s="32" t="str">
        <x:v>https://docs.cloud.google.com/docs/product-list</x:v>
      </x:c>
      <x:c r="K105" s="32" t="str">
        <x:v>2026-07-12</x:v>
      </x:c>
    </x:row>
    <x:row r="106">
      <x:c r="A106" s="32" t="str">
        <x:v>Google Cloud</x:v>
      </x:c>
      <x:c r="B106" s="32" t="str">
        <x:v>Cluster Director</x:v>
      </x:c>
      <x:c r="C106" s="32" t="str">
        <x:v>Named service / product family</x:v>
      </x:c>
      <x:c r="D106" s="32" t="str">
        <x:v>AI &amp; Machine Learning</x:v>
      </x:c>
      <x:c r="E106" s="32" t="str">
        <x:v>Distributed ML</x:v>
      </x:c>
      <x:c r="F106" s="32" t="str">
        <x:v>Distributed ML execution</x:v>
      </x:c>
      <x:c r="G106" s="32" t="str">
        <x:v>Scale Python, ML and AI workloads across distributed compute clusters.</x:v>
      </x:c>
      <x:c r="H106" s="32" t="str">
        <x:v>Close</x:v>
      </x:c>
      <x:c r="I106" s="32"/>
      <x:c r="J106" s="32" t="str">
        <x:v>https://docs.cloud.google.com/docs/product-list</x:v>
      </x:c>
      <x:c r="K106" s="32" t="str">
        <x:v>2026-07-12</x:v>
      </x:c>
    </x:row>
    <x:row r="107">
      <x:c r="A107" s="32" t="str">
        <x:v>Google Cloud</x:v>
      </x:c>
      <x:c r="B107" s="32" t="str">
        <x:v>Cluster Toolkit</x:v>
      </x:c>
      <x:c r="C107" s="32" t="str">
        <x:v>Named service / product family</x:v>
      </x:c>
      <x:c r="D107" s="32" t="str">
        <x:v>Compute &amp; Application Hosting</x:v>
      </x:c>
      <x:c r="E107" s="32" t="str">
        <x:v>HPC</x:v>
      </x:c>
      <x:c r="F107" s="32" t="str">
        <x:v>High-performance computing platform</x:v>
      </x:c>
      <x:c r="G107" s="32" t="str">
        <x:v>Provision tightly coupled compute, high-speed networking and schedulers for HPC workloads.</x:v>
      </x:c>
      <x:c r="H107" s="32" t="str">
        <x:v>Close</x:v>
      </x:c>
      <x:c r="I107" s="32"/>
      <x:c r="J107" s="32" t="str">
        <x:v>https://docs.cloud.google.com/docs/product-list</x:v>
      </x:c>
      <x:c r="K107" s="32" t="str">
        <x:v>2026-07-12</x:v>
      </x:c>
    </x:row>
    <x:row r="108">
      <x:c r="A108" s="32" t="str">
        <x:v>Google Cloud</x:v>
      </x:c>
      <x:c r="B108" s="32" t="str">
        <x:v>Colab Enterprise</x:v>
      </x:c>
      <x:c r="C108" s="32" t="str">
        <x:v>Named service / product family</x:v>
      </x:c>
      <x:c r="D108" s="32" t="str">
        <x:v>AI &amp; Machine Learning</x:v>
      </x:c>
      <x:c r="E108" s="32" t="str">
        <x:v>ML workbench</x:v>
      </x:c>
      <x:c r="F108" s="32" t="str">
        <x:v>Managed data-science notebooks</x:v>
      </x:c>
      <x:c r="G108" s="32" t="str">
        <x:v>Provide managed notebook environments for data exploration and model development.</x:v>
      </x:c>
      <x:c r="H108" s="32" t="str">
        <x:v>Close</x:v>
      </x:c>
      <x:c r="I108" s="32"/>
      <x:c r="J108" s="32" t="str">
        <x:v>https://docs.cloud.google.com/docs/product-list</x:v>
      </x:c>
      <x:c r="K108" s="32" t="str">
        <x:v>2026-07-12</x:v>
      </x:c>
    </x:row>
    <x:row r="109">
      <x:c r="A109" s="32" t="str">
        <x:v>Google Cloud</x:v>
      </x:c>
      <x:c r="B109" s="32" t="str">
        <x:v>Committed Use Discounts</x:v>
      </x:c>
      <x:c r="C109" s="32" t="str">
        <x:v>Named service / product family</x:v>
      </x:c>
      <x:c r="D109" s="32" t="str">
        <x:v>FinOps &amp; Commercial</x:v>
      </x:c>
      <x:c r="E109" s="32" t="str">
        <x:v>Commitment discounts</x:v>
      </x:c>
      <x:c r="F109" s="32" t="str">
        <x:v>Committed-use savings</x:v>
      </x:c>
      <x:c r="G109" s="32" t="str">
        <x:v>Reduce eligible compute costs through term-based usage commitments.</x:v>
      </x:c>
      <x:c r="H109" s="32" t="str">
        <x:v>Exact</x:v>
      </x:c>
      <x:c r="I109" s="32"/>
      <x:c r="J109" s="32" t="str">
        <x:v>https://docs.cloud.google.com/docs/product-list</x:v>
      </x:c>
      <x:c r="K109" s="32" t="str">
        <x:v>2026-07-12</x:v>
      </x:c>
    </x:row>
    <x:row r="110">
      <x:c r="A110" s="32" t="str">
        <x:v>Google Cloud</x:v>
      </x:c>
      <x:c r="B110" s="32" t="str">
        <x:v>Compliance Reports Manager</x:v>
      </x:c>
      <x:c r="C110" s="32" t="str">
        <x:v>Named service / product family</x:v>
      </x:c>
      <x:c r="D110" s="32" t="str">
        <x:v>Security, Identity &amp; Compliance</x:v>
      </x:c>
      <x:c r="E110" s="32" t="str">
        <x:v>Compliance evidence</x:v>
      </x:c>
      <x:c r="F110" s="32" t="str">
        <x:v>Compliance reports and evidence</x:v>
      </x:c>
      <x:c r="G110" s="32" t="str">
        <x:v>Access provider compliance reports and collect audit evidence.</x:v>
      </x:c>
      <x:c r="H110" s="32" t="str">
        <x:v>Close</x:v>
      </x:c>
      <x:c r="I110" s="32"/>
      <x:c r="J110" s="32" t="str">
        <x:v>https://docs.cloud.google.com/docs/product-list</x:v>
      </x:c>
      <x:c r="K110" s="32" t="str">
        <x:v>2026-07-12</x:v>
      </x:c>
    </x:row>
    <x:row r="111">
      <x:c r="A111" s="32" t="str">
        <x:v>Google Cloud</x:v>
      </x:c>
      <x:c r="B111" s="32" t="str">
        <x:v>Compute Engine</x:v>
      </x:c>
      <x:c r="C111" s="32" t="str">
        <x:v>Named service / product family</x:v>
      </x:c>
      <x:c r="D111" s="32" t="str">
        <x:v>Compute &amp; Application Hosting</x:v>
      </x:c>
      <x:c r="E111" s="32" t="str">
        <x:v>Virtual machines</x:v>
      </x:c>
      <x:c r="F111" s="32" t="str">
        <x:v>General-purpose virtual machines</x:v>
      </x:c>
      <x:c r="G111" s="32" t="str">
        <x:v>Provision resizable virtual machines with selectable operating systems and hardware.</x:v>
      </x:c>
      <x:c r="H111" s="32" t="str">
        <x:v>Exact</x:v>
      </x:c>
      <x:c r="I111" s="32"/>
      <x:c r="J111" s="32" t="str">
        <x:v>https://docs.cloud.google.com/docs/product-list</x:v>
      </x:c>
      <x:c r="K111" s="32" t="str">
        <x:v>2026-07-12</x:v>
      </x:c>
    </x:row>
    <x:row r="112">
      <x:c r="A112" s="32" t="str">
        <x:v>Google Cloud</x:v>
      </x:c>
      <x:c r="B112" s="32" t="str">
        <x:v>Compute Engine / Cloud Run</x:v>
      </x:c>
      <x:c r="C112" s="32" t="str">
        <x:v>Product family / combined pattern</x:v>
      </x:c>
      <x:c r="D112" s="32" t="str">
        <x:v>Compute &amp; Application Hosting</x:v>
      </x:c>
      <x:c r="E112" s="32" t="str">
        <x:v>Simple cloud hosting</x:v>
      </x:c>
      <x:c r="F112" s="32" t="str">
        <x:v>Simplified virtual server hosting</x:v>
      </x:c>
      <x:c r="G112" s="32" t="str">
        <x:v>Provide bundled, simplified compute, storage and networking for smaller workloads.</x:v>
      </x:c>
      <x:c r="H112" s="32" t="str">
        <x:v>Partial</x:v>
      </x:c>
      <x:c r="I112" s="32"/>
      <x:c r="J112" s="32" t="str">
        <x:v>https://docs.cloud.google.com/docs/product-list</x:v>
      </x:c>
      <x:c r="K112" s="32" t="str">
        <x:v>2026-07-12</x:v>
      </x:c>
    </x:row>
    <x:row r="113">
      <x:c r="A113" s="32" t="str">
        <x:v>Google Cloud</x:v>
      </x:c>
      <x:c r="B113" s="32" t="str">
        <x:v>Confidential Computing</x:v>
      </x:c>
      <x:c r="C113" s="32" t="str">
        <x:v>Named service / product family</x:v>
      </x:c>
      <x:c r="D113" s="32" t="str">
        <x:v>Security, Identity &amp; Compliance</x:v>
      </x:c>
      <x:c r="E113" s="32" t="str">
        <x:v>Confidential computing</x:v>
      </x:c>
      <x:c r="F113" s="32" t="str">
        <x:v>Confidential virtual machines</x:v>
      </x:c>
      <x:c r="G113" s="32" t="str">
        <x:v>Protect data in use with hardware-backed trusted execution environments.</x:v>
      </x:c>
      <x:c r="H113" s="32" t="str">
        <x:v>Close</x:v>
      </x:c>
      <x:c r="I113" s="32"/>
      <x:c r="J113" s="32" t="str">
        <x:v>https://docs.cloud.google.com/docs/product-list</x:v>
      </x:c>
      <x:c r="K113" s="32" t="str">
        <x:v>2026-07-12</x:v>
      </x:c>
    </x:row>
    <x:row r="114">
      <x:c r="A114" s="32" t="str">
        <x:v>Google Cloud</x:v>
      </x:c>
      <x:c r="B114" s="32" t="str">
        <x:v>Confidential Space attestation</x:v>
      </x:c>
      <x:c r="C114" s="32" t="str">
        <x:v>Named service / product family</x:v>
      </x:c>
      <x:c r="D114" s="32" t="str">
        <x:v>Security, Identity &amp; Compliance</x:v>
      </x:c>
      <x:c r="E114" s="32" t="str">
        <x:v>Attestation</x:v>
      </x:c>
      <x:c r="F114" s="32" t="str">
        <x:v>Trusted environment attestation</x:v>
      </x:c>
      <x:c r="G114" s="32" t="str">
        <x:v>Verify the integrity and trust state of confidential-computing environments.</x:v>
      </x:c>
      <x:c r="H114" s="32" t="str">
        <x:v>Close</x:v>
      </x:c>
      <x:c r="I114" s="32"/>
      <x:c r="J114" s="32" t="str">
        <x:v>https://docs.cloud.google.com/docs/product-list</x:v>
      </x:c>
      <x:c r="K114" s="32" t="str">
        <x:v>2026-07-12</x:v>
      </x:c>
    </x:row>
    <x:row r="115">
      <x:c r="A115" s="32" t="str">
        <x:v>Google Cloud</x:v>
      </x:c>
      <x:c r="B115" s="32" t="str">
        <x:v>Confidential VM</x:v>
      </x:c>
      <x:c r="C115" s="32" t="str">
        <x:v>Named service / product family</x:v>
      </x:c>
      <x:c r="D115" s="32" t="str">
        <x:v>Security, Identity &amp; Compliance</x:v>
      </x:c>
      <x:c r="E115" s="32" t="str">
        <x:v>Confidential computing</x:v>
      </x:c>
      <x:c r="F115" s="32" t="str">
        <x:v>Confidential virtual machines</x:v>
      </x:c>
      <x:c r="G115" s="32" t="str">
        <x:v>Protect data in use with hardware-backed trusted execution environments.</x:v>
      </x:c>
      <x:c r="H115" s="32" t="str">
        <x:v>Close</x:v>
      </x:c>
      <x:c r="I115" s="32"/>
      <x:c r="J115" s="32" t="str">
        <x:v>https://docs.cloud.google.com/docs/product-list</x:v>
      </x:c>
      <x:c r="K115" s="32" t="str">
        <x:v>2026-07-12</x:v>
      </x:c>
    </x:row>
    <x:row r="116">
      <x:c r="A116" s="32" t="str">
        <x:v>Google Cloud</x:v>
      </x:c>
      <x:c r="B116" s="32" t="str">
        <x:v>Config Connector</x:v>
      </x:c>
      <x:c r="C116" s="32" t="str">
        <x:v>Named service / product family</x:v>
      </x:c>
      <x:c r="D116" s="32" t="str">
        <x:v>Governance &amp; Management</x:v>
      </x:c>
      <x:c r="E116" s="32" t="str">
        <x:v>Infrastructure as code</x:v>
      </x:c>
      <x:c r="F116" s="32" t="str">
        <x:v>Native infrastructure as code</x:v>
      </x:c>
      <x:c r="G116" s="32" t="str">
        <x:v>Provision and manage cloud resources from declarative templates.</x:v>
      </x:c>
      <x:c r="H116" s="32" t="str">
        <x:v>Close</x:v>
      </x:c>
      <x:c r="I116" s="32"/>
      <x:c r="J116" s="32" t="str">
        <x:v>https://docs.cloud.google.com/docs/product-list</x:v>
      </x:c>
      <x:c r="K116" s="32" t="str">
        <x:v>2026-07-12</x:v>
      </x:c>
    </x:row>
    <x:row r="117">
      <x:c r="A117" s="32" t="str">
        <x:v>Google Cloud</x:v>
      </x:c>
      <x:c r="B117" s="32" t="str">
        <x:v>Config Controller</x:v>
      </x:c>
      <x:c r="C117" s="32" t="str">
        <x:v>Named service / product family</x:v>
      </x:c>
      <x:c r="D117" s="32" t="str">
        <x:v>Governance &amp; Management</x:v>
      </x:c>
      <x:c r="E117" s="32" t="str">
        <x:v>Configuration management</x:v>
      </x:c>
      <x:c r="F117" s="32" t="str">
        <x:v>Configuration compliance</x:v>
      </x:c>
      <x:c r="G117" s="32" t="str">
        <x:v>Track configuration changes and assess resources against required baselines.</x:v>
      </x:c>
      <x:c r="H117" s="32" t="str">
        <x:v>Close</x:v>
      </x:c>
      <x:c r="I117" s="32"/>
      <x:c r="J117" s="32" t="str">
        <x:v>https://docs.cloud.google.com/docs/product-list</x:v>
      </x:c>
      <x:c r="K117" s="32" t="str">
        <x:v>2026-07-12</x:v>
      </x:c>
    </x:row>
    <x:row r="118">
      <x:c r="A118" s="32" t="str">
        <x:v>Google Cloud</x:v>
      </x:c>
      <x:c r="B118" s="32" t="str">
        <x:v>Config Sync</x:v>
      </x:c>
      <x:c r="C118" s="32" t="str">
        <x:v>Named service / product family</x:v>
      </x:c>
      <x:c r="D118" s="32" t="str">
        <x:v>Hybrid &amp; Multicloud</x:v>
      </x:c>
      <x:c r="E118" s="32" t="str">
        <x:v>Hybrid management</x:v>
      </x:c>
      <x:c r="F118" s="32" t="str">
        <x:v>Hybrid and multicloud control plane</x:v>
      </x:c>
      <x:c r="G118" s="32" t="str">
        <x:v>Inventory, govern and operate servers, Kubernetes and data services across environments.</x:v>
      </x:c>
      <x:c r="H118" s="32" t="str">
        <x:v>Close</x:v>
      </x:c>
      <x:c r="I118" s="32"/>
      <x:c r="J118" s="32" t="str">
        <x:v>https://docs.cloud.google.com/docs/product-list</x:v>
      </x:c>
      <x:c r="K118" s="32" t="str">
        <x:v>2026-07-12</x:v>
      </x:c>
    </x:row>
    <x:row r="119">
      <x:c r="A119" s="32" t="str">
        <x:v>Google Cloud</x:v>
      </x:c>
      <x:c r="B119" s="32" t="str">
        <x:v>Container-Optimized OS</x:v>
      </x:c>
      <x:c r="C119" s="32" t="str">
        <x:v>Named service / product family</x:v>
      </x:c>
      <x:c r="D119" s="32" t="str">
        <x:v>Compute &amp; Application Hosting</x:v>
      </x:c>
      <x:c r="E119" s="32" t="str">
        <x:v>Enterprise Linux</x:v>
      </x:c>
      <x:c r="F119" s="32" t="str">
        <x:v>Cloud-optimised Linux distribution</x:v>
      </x:c>
      <x:c r="G119" s="32" t="str">
        <x:v>Provide a provider-maintained Linux operating system optimised for cloud workloads.</x:v>
      </x:c>
      <x:c r="H119" s="32" t="str">
        <x:v>Close</x:v>
      </x:c>
      <x:c r="I119" s="32"/>
      <x:c r="J119" s="32" t="str">
        <x:v>https://docs.cloud.google.com/docs/product-list</x:v>
      </x:c>
      <x:c r="K119" s="32" t="str">
        <x:v>2026-07-12</x:v>
      </x:c>
    </x:row>
    <x:row r="120">
      <x:c r="A120" s="32" t="str">
        <x:v>Google Cloud</x:v>
      </x:c>
      <x:c r="B120" s="32" t="str">
        <x:v>Conversational Agents (Dialogflow CX)</x:v>
      </x:c>
      <x:c r="C120" s="32" t="str">
        <x:v>Named service / product family</x:v>
      </x:c>
      <x:c r="D120" s="32" t="str">
        <x:v>AI &amp; Machine Learning</x:v>
      </x:c>
      <x:c r="E120" s="32" t="str">
        <x:v>Conversational AI</x:v>
      </x:c>
      <x:c r="F120" s="32" t="str">
        <x:v>Conversational bot platform</x:v>
      </x:c>
      <x:c r="G120" s="32" t="str">
        <x:v>Build intent-based conversational assistants for voice and text channels.</x:v>
      </x:c>
      <x:c r="H120" s="32" t="str">
        <x:v>Close</x:v>
      </x:c>
      <x:c r="I120" s="32"/>
      <x:c r="J120" s="32" t="str">
        <x:v>https://docs.cloud.google.com/docs/product-list</x:v>
      </x:c>
      <x:c r="K120" s="32" t="str">
        <x:v>2026-07-12</x:v>
      </x:c>
    </x:row>
    <x:row r="121">
      <x:c r="A121" s="32" t="str">
        <x:v>Google Cloud</x:v>
      </x:c>
      <x:c r="B121" s="32" t="str">
        <x:v>Customer Experience Insights</x:v>
      </x:c>
      <x:c r="C121" s="32" t="str">
        <x:v>Named service / product family</x:v>
      </x:c>
      <x:c r="D121" s="32" t="str">
        <x:v>AI &amp; Machine Learning</x:v>
      </x:c>
      <x:c r="E121" s="32" t="str">
        <x:v>Contact-centre AI</x:v>
      </x:c>
      <x:c r="F121" s="32" t="str">
        <x:v>Agent assistance and conversation analytics</x:v>
      </x:c>
      <x:c r="G121" s="32" t="str">
        <x:v>Assist human contact-centre agents and analyse customer interactions.</x:v>
      </x:c>
      <x:c r="H121" s="32" t="str">
        <x:v>Partial</x:v>
      </x:c>
      <x:c r="I121" s="32"/>
      <x:c r="J121" s="32" t="str">
        <x:v>https://docs.cloud.google.com/docs/product-list</x:v>
      </x:c>
      <x:c r="K121" s="32" t="str">
        <x:v>2026-07-12</x:v>
      </x:c>
    </x:row>
    <x:row r="122">
      <x:c r="A122" s="32" t="str">
        <x:v>Google Cloud</x:v>
      </x:c>
      <x:c r="B122" s="32" t="str">
        <x:v>Data Catalog</x:v>
      </x:c>
      <x:c r="C122" s="32" t="str">
        <x:v>Named service / product family</x:v>
      </x:c>
      <x:c r="D122" s="32" t="str">
        <x:v>Data, Analytics &amp; BI</x:v>
      </x:c>
      <x:c r="E122" s="32" t="str">
        <x:v>Data catalogue</x:v>
      </x:c>
      <x:c r="F122" s="32" t="str">
        <x:v>Data catalogue and metadata</x:v>
      </x:c>
      <x:c r="G122" s="32" t="str">
        <x:v>Discover, classify and understand data assets through searchable metadata.</x:v>
      </x:c>
      <x:c r="H122" s="32" t="str">
        <x:v>Close</x:v>
      </x:c>
      <x:c r="I122" s="32"/>
      <x:c r="J122" s="32" t="str">
        <x:v>https://docs.cloud.google.com/docs/product-list</x:v>
      </x:c>
      <x:c r="K122" s="32" t="str">
        <x:v>2026-07-12</x:v>
      </x:c>
    </x:row>
    <x:row r="123">
      <x:c r="A123" s="32" t="str">
        <x:v>Google Cloud</x:v>
      </x:c>
      <x:c r="B123" s="32" t="str">
        <x:v>Data Transfer Essentials</x:v>
      </x:c>
      <x:c r="C123" s="32" t="str">
        <x:v>Named service / product family</x:v>
      </x:c>
      <x:c r="D123" s="32" t="str">
        <x:v>Migration &amp; Modernisation
Storage</x:v>
      </x:c>
      <x:c r="E123" s="32" t="str">
        <x:v>Cross-cloud data transfer
Data transfer</x:v>
      </x:c>
      <x:c r="F123" s="32" t="str">
        <x:v>Cross-cloud data movement
Online data transfer</x:v>
      </x:c>
      <x:c r="G123" s="32" t="str">
        <x:v>Transfer large datasets between on-premises systems, clouds and cloud storage.</x:v>
      </x:c>
      <x:c r="H123" s="32" t="str">
        <x:v>Close</x:v>
      </x:c>
      <x:c r="I123" s="32"/>
      <x:c r="J123" s="32" t="str">
        <x:v>https://docs.cloud.google.com/docs/product-list</x:v>
      </x:c>
      <x:c r="K123" s="32" t="str">
        <x:v>2026-07-12</x:v>
      </x:c>
    </x:row>
    <x:row r="124">
      <x:c r="A124" s="32" t="str">
        <x:v>Google Cloud</x:v>
      </x:c>
      <x:c r="B124" s="32" t="str">
        <x:v>Database Center</x:v>
      </x:c>
      <x:c r="C124" s="32" t="str">
        <x:v>Named service / product family</x:v>
      </x:c>
      <x:c r="D124" s="32" t="str">
        <x:v>Databases</x:v>
      </x:c>
      <x:c r="E124" s="32" t="str">
        <x:v>Database fleet</x:v>
      </x:c>
      <x:c r="F124" s="32" t="str">
        <x:v>Database fleet management</x:v>
      </x:c>
      <x:c r="G124" s="32" t="str">
        <x:v>Discover, assess and manage database estates from a central view.</x:v>
      </x:c>
      <x:c r="H124" s="32" t="str">
        <x:v>Partial</x:v>
      </x:c>
      <x:c r="I124" s="32"/>
      <x:c r="J124" s="32" t="str">
        <x:v>https://docs.cloud.google.com/docs/product-list</x:v>
      </x:c>
      <x:c r="K124" s="32" t="str">
        <x:v>2026-07-12</x:v>
      </x:c>
    </x:row>
    <x:row r="125">
      <x:c r="A125" s="32" t="str">
        <x:v>Google Cloud</x:v>
      </x:c>
      <x:c r="B125" s="32" t="str">
        <x:v>Database Migration Service</x:v>
      </x:c>
      <x:c r="C125" s="32" t="str">
        <x:v>Named service / product family</x:v>
      </x:c>
      <x:c r="D125" s="32" t="str">
        <x:v>Databases</x:v>
      </x:c>
      <x:c r="E125" s="32" t="str">
        <x:v>Database migration</x:v>
      </x:c>
      <x:c r="F125" s="32" t="str">
        <x:v>Database migration service</x:v>
      </x:c>
      <x:c r="G125" s="32" t="str">
        <x:v>Assess, replicate and migrate databases with minimal downtime.</x:v>
      </x:c>
      <x:c r="H125" s="32" t="str">
        <x:v>Exact</x:v>
      </x:c>
      <x:c r="I125" s="32"/>
      <x:c r="J125" s="32" t="str">
        <x:v>https://docs.cloud.google.com/docs/product-list</x:v>
      </x:c>
      <x:c r="K125" s="32" t="str">
        <x:v>2026-07-12</x:v>
      </x:c>
    </x:row>
    <x:row r="126">
      <x:c r="A126" s="32" t="str">
        <x:v>Google Cloud</x:v>
      </x:c>
      <x:c r="B126" s="32" t="str">
        <x:v>Dataflow</x:v>
      </x:c>
      <x:c r="C126" s="32" t="str">
        <x:v>Named service / product family</x:v>
      </x:c>
      <x:c r="D126" s="32" t="str">
        <x:v>Data, Analytics &amp; BI
IoT &amp; Edge</x:v>
      </x:c>
      <x:c r="E126" s="32" t="str">
        <x:v>ETL and integration
Event detection
Stream processing</x:v>
      </x:c>
      <x:c r="F126" s="32" t="str">
        <x:v>IoT event detection
Managed ETL and data integration
Managed stream processing</x:v>
      </x:c>
      <x:c r="G126" s="32" t="str">
        <x:v>Process and transform continuously arriving data with low latency.</x:v>
      </x:c>
      <x:c r="H126" s="32" t="str">
        <x:v>Close, Partial</x:v>
      </x:c>
      <x:c r="I126" s="32"/>
      <x:c r="J126" s="32" t="str">
        <x:v>https://docs.cloud.google.com/docs/product-list</x:v>
      </x:c>
      <x:c r="K126" s="32" t="str">
        <x:v>2026-07-12</x:v>
      </x:c>
    </x:row>
    <x:row r="127">
      <x:c r="A127" s="32" t="str">
        <x:v>Google Cloud</x:v>
      </x:c>
      <x:c r="B127" s="32" t="str">
        <x:v>Dataform</x:v>
      </x:c>
      <x:c r="C127" s="32" t="str">
        <x:v>Named service / product family</x:v>
      </x:c>
      <x:c r="D127" s="32" t="str">
        <x:v>Data, Analytics &amp; BI</x:v>
      </x:c>
      <x:c r="E127" s="32" t="str">
        <x:v>ELT</x:v>
      </x:c>
      <x:c r="F127" s="32" t="str">
        <x:v>SQL transformation and modelling</x:v>
      </x:c>
      <x:c r="G127" s="32" t="str">
        <x:v>Transform warehouse data through managed SQL development and dependency workflows.</x:v>
      </x:c>
      <x:c r="H127" s="32" t="str">
        <x:v>Close</x:v>
      </x:c>
      <x:c r="I127" s="32"/>
      <x:c r="J127" s="32" t="str">
        <x:v>https://docs.cloud.google.com/docs/product-list</x:v>
      </x:c>
      <x:c r="K127" s="32" t="str">
        <x:v>2026-07-12</x:v>
      </x:c>
    </x:row>
    <x:row r="128">
      <x:c r="A128" s="32" t="str">
        <x:v>Google Cloud</x:v>
      </x:c>
      <x:c r="B128" s="32" t="str">
        <x:v>Dataplex Universal Catalog</x:v>
      </x:c>
      <x:c r="C128" s="32" t="str">
        <x:v>Named service / product family</x:v>
      </x:c>
      <x:c r="D128" s="32" t="str">
        <x:v>AI &amp; Machine Learning
Data, Analytics &amp; BI</x:v>
      </x:c>
      <x:c r="E128" s="32" t="str">
        <x:v>AI governance
Data catalogue
Data governance</x:v>
      </x:c>
      <x:c r="F128" s="32" t="str">
        <x:v>AI governance and control plane
Data catalogue and metadata
Enterprise data governance</x:v>
      </x:c>
      <x:c r="G128" s="32" t="str">
        <x:v>Inventory AI assets, apply policies, assess risk and oversee AI across its lifecycle.</x:v>
      </x:c>
      <x:c r="H128" s="32" t="str">
        <x:v>Close, Partial</x:v>
      </x:c>
      <x:c r="I128" s="32" t="str">
        <x:v>AI governance is a control set rather than one perfectly equivalent product.</x:v>
      </x:c>
      <x:c r="J128" s="32" t="str">
        <x:v>https://docs.cloud.google.com/docs/product-list</x:v>
      </x:c>
      <x:c r="K128" s="32" t="str">
        <x:v>2026-07-12</x:v>
      </x:c>
    </x:row>
    <x:row r="129">
      <x:c r="A129" s="32" t="str">
        <x:v>Google Cloud</x:v>
      </x:c>
      <x:c r="B129" s="32" t="str">
        <x:v>Dataproc</x:v>
      </x:c>
      <x:c r="C129" s="32" t="str">
        <x:v>Named service / product family</x:v>
      </x:c>
      <x:c r="D129" s="32" t="str">
        <x:v>Data, Analytics &amp; BI</x:v>
      </x:c>
      <x:c r="E129" s="32" t="str">
        <x:v>Big data</x:v>
      </x:c>
      <x:c r="F129" s="32" t="str">
        <x:v>Managed Spark and Hadoop</x:v>
      </x:c>
      <x:c r="G129" s="32" t="str">
        <x:v>Run managed open-source big-data processing frameworks.</x:v>
      </x:c>
      <x:c r="H129" s="32" t="str">
        <x:v>Close</x:v>
      </x:c>
      <x:c r="I129" s="32"/>
      <x:c r="J129" s="32" t="str">
        <x:v>https://docs.cloud.google.com/docs/product-list</x:v>
      </x:c>
      <x:c r="K129" s="32" t="str">
        <x:v>2026-07-12</x:v>
      </x:c>
    </x:row>
    <x:row r="130">
      <x:c r="A130" s="32" t="str">
        <x:v>Google Cloud</x:v>
      </x:c>
      <x:c r="B130" s="32" t="str">
        <x:v>Datastream</x:v>
      </x:c>
      <x:c r="C130" s="32" t="str">
        <x:v>Named service / product family</x:v>
      </x:c>
      <x:c r="D130" s="32" t="str">
        <x:v>Data, Analytics &amp; BI</x:v>
      </x:c>
      <x:c r="E130" s="32" t="str">
        <x:v>Data replication</x:v>
      </x:c>
      <x:c r="F130" s="32" t="str">
        <x:v>Change data capture and replication</x:v>
      </x:c>
      <x:c r="G130" s="32" t="str">
        <x:v>Continuously replicate database changes into analytical or operational targets.</x:v>
      </x:c>
      <x:c r="H130" s="32" t="str">
        <x:v>Close</x:v>
      </x:c>
      <x:c r="I130" s="32"/>
      <x:c r="J130" s="32" t="str">
        <x:v>https://docs.cloud.google.com/docs/product-list</x:v>
      </x:c>
      <x:c r="K130" s="32" t="str">
        <x:v>2026-07-12</x:v>
      </x:c>
    </x:row>
    <x:row r="131">
      <x:c r="A131" s="32" t="str">
        <x:v>Google Cloud</x:v>
      </x:c>
      <x:c r="B131" s="32" t="str">
        <x:v>Dialogflow ES</x:v>
      </x:c>
      <x:c r="C131" s="32" t="str">
        <x:v>Named service / product family</x:v>
      </x:c>
      <x:c r="D131" s="32" t="str">
        <x:v>AI &amp; Machine Learning</x:v>
      </x:c>
      <x:c r="E131" s="32" t="str">
        <x:v>Conversational AI</x:v>
      </x:c>
      <x:c r="F131" s="32" t="str">
        <x:v>Conversational bot platform</x:v>
      </x:c>
      <x:c r="G131" s="32" t="str">
        <x:v>Build intent-based conversational assistants for voice and text channels.</x:v>
      </x:c>
      <x:c r="H131" s="32" t="str">
        <x:v>Close</x:v>
      </x:c>
      <x:c r="I131" s="32"/>
      <x:c r="J131" s="32" t="str">
        <x:v>https://docs.cloud.google.com/docs/product-list</x:v>
      </x:c>
      <x:c r="K131" s="32" t="str">
        <x:v>2026-07-12</x:v>
      </x:c>
    </x:row>
    <x:row r="132">
      <x:c r="A132" s="32" t="str">
        <x:v>Google Cloud</x:v>
      </x:c>
      <x:c r="B132" s="32" t="str">
        <x:v>Document AI</x:v>
      </x:c>
      <x:c r="C132" s="32" t="str">
        <x:v>Named service / product family</x:v>
      </x:c>
      <x:c r="D132" s="32" t="str">
        <x:v>AI &amp; Machine Learning</x:v>
      </x:c>
      <x:c r="E132" s="32" t="str">
        <x:v>Document AI</x:v>
      </x:c>
      <x:c r="F132" s="32" t="str">
        <x:v>Document extraction and OCR</x:v>
      </x:c>
      <x:c r="G132" s="32" t="str">
        <x:v>Extract text, tables, forms and structured fields from documents.</x:v>
      </x:c>
      <x:c r="H132" s="32" t="str">
        <x:v>Exact</x:v>
      </x:c>
      <x:c r="I132" s="32"/>
      <x:c r="J132" s="32" t="str">
        <x:v>https://docs.cloud.google.com/docs/product-list</x:v>
      </x:c>
      <x:c r="K132" s="32" t="str">
        <x:v>2026-07-12</x:v>
      </x:c>
    </x:row>
    <x:row r="133">
      <x:c r="A133" s="32" t="str">
        <x:v>Google Cloud</x:v>
      </x:c>
      <x:c r="B133" s="32" t="str">
        <x:v>Dual Run</x:v>
      </x:c>
      <x:c r="C133" s="32" t="str">
        <x:v>Named service / product family</x:v>
      </x:c>
      <x:c r="D133" s="32" t="str">
        <x:v>Migration &amp; Modernisation</x:v>
      </x:c>
      <x:c r="E133" s="32" t="str">
        <x:v>Mainframe</x:v>
      </x:c>
      <x:c r="F133" s="32" t="str">
        <x:v>Mainframe modernisation</x:v>
      </x:c>
      <x:c r="G133" s="32" t="str">
        <x:v>Assess, replatform, refactor or incrementally modernise mainframe workloads.</x:v>
      </x:c>
      <x:c r="H133" s="32" t="str">
        <x:v>Partial</x:v>
      </x:c>
      <x:c r="I133" s="32"/>
      <x:c r="J133" s="32" t="str">
        <x:v>https://docs.cloud.google.com/docs/product-list</x:v>
      </x:c>
      <x:c r="K133" s="32" t="str">
        <x:v>2026-07-12</x:v>
      </x:c>
    </x:row>
    <x:row r="134">
      <x:c r="A134" s="32" t="str">
        <x:v>Google Cloud</x:v>
      </x:c>
      <x:c r="B134" s="32" t="str">
        <x:v>Error Reporting</x:v>
      </x:c>
      <x:c r="C134" s="32" t="str">
        <x:v>Named service / product family</x:v>
      </x:c>
      <x:c r="D134" s="32" t="str">
        <x:v>Observability &amp; Reliability</x:v>
      </x:c>
      <x:c r="E134" s="32" t="str">
        <x:v>Error tracking</x:v>
      </x:c>
      <x:c r="F134" s="32" t="str">
        <x:v>Application error reporting</x:v>
      </x:c>
      <x:c r="G134" s="32" t="str">
        <x:v>Aggregate and analyse application exceptions and crashes.</x:v>
      </x:c>
      <x:c r="H134" s="32" t="str">
        <x:v>Close</x:v>
      </x:c>
      <x:c r="I134" s="32"/>
      <x:c r="J134" s="32" t="str">
        <x:v>https://docs.cloud.google.com/docs/product-list</x:v>
      </x:c>
      <x:c r="K134" s="32" t="str">
        <x:v>2026-07-12</x:v>
      </x:c>
    </x:row>
    <x:row r="135">
      <x:c r="A135" s="32" t="str">
        <x:v>Google Cloud</x:v>
      </x:c>
      <x:c r="B135" s="32" t="str">
        <x:v>Essential Contacts</x:v>
      </x:c>
      <x:c r="C135" s="32" t="str">
        <x:v>Named service / product family</x:v>
      </x:c>
      <x:c r="D135" s="32" t="str">
        <x:v>Governance &amp; Management</x:v>
      </x:c>
      <x:c r="E135" s="32" t="str">
        <x:v>Notifications</x:v>
      </x:c>
      <x:c r="F135" s="32" t="str">
        <x:v>Central cloud notifications</x:v>
      </x:c>
      <x:c r="G135" s="32" t="str">
        <x:v>Route cloud operational and governance notifications to users and channels.</x:v>
      </x:c>
      <x:c r="H135" s="32" t="str">
        <x:v>Close</x:v>
      </x:c>
      <x:c r="I135" s="32"/>
      <x:c r="J135" s="32" t="str">
        <x:v>https://docs.cloud.google.com/docs/product-list</x:v>
      </x:c>
      <x:c r="K135" s="32" t="str">
        <x:v>2026-07-12</x:v>
      </x:c>
    </x:row>
    <x:row r="136">
      <x:c r="A136" s="32" t="str">
        <x:v>Google Cloud</x:v>
      </x:c>
      <x:c r="B136" s="32" t="str">
        <x:v>Eventarc</x:v>
      </x:c>
      <x:c r="C136" s="32" t="str">
        <x:v>Named service / product family</x:v>
      </x:c>
      <x:c r="D136" s="32" t="str">
        <x:v>Application Integration</x:v>
      </x:c>
      <x:c r="E136" s="32" t="str">
        <x:v>Event bus</x:v>
      </x:c>
      <x:c r="F136" s="32" t="str">
        <x:v>Application event bus</x:v>
      </x:c>
      <x:c r="G136" s="32" t="str">
        <x:v>Route events from applications and cloud services using rules and schemas.</x:v>
      </x:c>
      <x:c r="H136" s="32" t="str">
        <x:v>Close</x:v>
      </x:c>
      <x:c r="I136" s="32"/>
      <x:c r="J136" s="32" t="str">
        <x:v>https://docs.cloud.google.com/docs/product-list</x:v>
      </x:c>
      <x:c r="K136" s="32" t="str">
        <x:v>2026-07-12</x:v>
      </x:c>
    </x:row>
    <x:row r="137">
      <x:c r="A137" s="32" t="str">
        <x:v>Google Cloud</x:v>
      </x:c>
      <x:c r="B137" s="32" t="str">
        <x:v>Fault Injection / Chaos Mesh on GKE</x:v>
      </x:c>
      <x:c r="C137" s="32" t="str">
        <x:v>Architecture / partner alternative</x:v>
      </x:c>
      <x:c r="D137" s="32" t="str">
        <x:v>Developer Tools &amp; DevOps</x:v>
      </x:c>
      <x:c r="E137" s="32" t="str">
        <x:v>Chaos engineering</x:v>
      </x:c>
      <x:c r="F137" s="32" t="str">
        <x:v>Fault-injection testing</x:v>
      </x:c>
      <x:c r="G137" s="32" t="str">
        <x:v>Inject controlled failures to validate resilience and recovery behaviour.</x:v>
      </x:c>
      <x:c r="H137" s="32" t="str">
        <x:v>Partial</x:v>
      </x:c>
      <x:c r="I137" s="32"/>
      <x:c r="J137" s="32" t="str">
        <x:v>https://docs.cloud.google.com/docs/product-list</x:v>
      </x:c>
      <x:c r="K137" s="32" t="str">
        <x:v>2026-07-12</x:v>
      </x:c>
    </x:row>
    <x:row r="138">
      <x:c r="A138" s="32" t="str">
        <x:v>Google Cloud</x:v>
      </x:c>
      <x:c r="B138" s="32" t="str">
        <x:v>Filestore</x:v>
      </x:c>
      <x:c r="C138" s="32" t="str">
        <x:v>Named service / product family</x:v>
      </x:c>
      <x:c r="D138" s="32" t="str">
        <x:v>Storage</x:v>
      </x:c>
      <x:c r="E138" s="32" t="str">
        <x:v>File storage</x:v>
      </x:c>
      <x:c r="F138" s="32" t="str">
        <x:v>Managed network file storage</x:v>
      </x:c>
      <x:c r="G138" s="32" t="str">
        <x:v>Provide shared file systems for applications and user workloads.</x:v>
      </x:c>
      <x:c r="H138" s="32" t="str">
        <x:v>Exact</x:v>
      </x:c>
      <x:c r="I138" s="32"/>
      <x:c r="J138" s="32" t="str">
        <x:v>https://docs.cloud.google.com/docs/product-list</x:v>
      </x:c>
      <x:c r="K138" s="32" t="str">
        <x:v>2026-07-12</x:v>
      </x:c>
    </x:row>
    <x:row r="139">
      <x:c r="A139" s="32" t="str">
        <x:v>Google Cloud</x:v>
      </x:c>
      <x:c r="B139" s="32" t="str">
        <x:v>Filestore Enterprise / partner solutions</x:v>
      </x:c>
      <x:c r="C139" s="32" t="str">
        <x:v>Architecture / partner alternative</x:v>
      </x:c>
      <x:c r="D139" s="32" t="str">
        <x:v>Storage</x:v>
      </x:c>
      <x:c r="E139" s="32" t="str">
        <x:v>Windows file</x:v>
      </x:c>
      <x:c r="F139" s="32" t="str">
        <x:v>Managed Windows file server</x:v>
      </x:c>
      <x:c r="G139" s="32" t="str">
        <x:v>Provide managed SMB file shares integrated with Windows environments.</x:v>
      </x:c>
      <x:c r="H139" s="32" t="str">
        <x:v>Close</x:v>
      </x:c>
      <x:c r="I139" s="32"/>
      <x:c r="J139" s="32" t="str">
        <x:v>https://docs.cloud.google.com/docs/product-list</x:v>
      </x:c>
      <x:c r="K139" s="32" t="str">
        <x:v>2026-07-12</x:v>
      </x:c>
    </x:row>
    <x:row r="140">
      <x:c r="A140" s="32" t="str">
        <x:v>Google Cloud</x:v>
      </x:c>
      <x:c r="B140" s="32" t="str">
        <x:v>FinOps hub</x:v>
      </x:c>
      <x:c r="C140" s="32" t="str">
        <x:v>Named service / product family</x:v>
      </x:c>
      <x:c r="D140" s="32" t="str">
        <x:v>FinOps &amp; Commercial</x:v>
      </x:c>
      <x:c r="E140" s="32" t="str">
        <x:v>Cost management</x:v>
      </x:c>
      <x:c r="F140" s="32" t="str">
        <x:v>Cost analysis and optimisation</x:v>
      </x:c>
      <x:c r="G140" s="32" t="str">
        <x:v>Analyse cloud spend, allocation, trends and optimisation opportunities.</x:v>
      </x:c>
      <x:c r="H140" s="32" t="str">
        <x:v>Close</x:v>
      </x:c>
      <x:c r="I140" s="32"/>
      <x:c r="J140" s="32" t="str">
        <x:v>https://docs.cloud.google.com/docs/product-list</x:v>
      </x:c>
      <x:c r="K140" s="32" t="str">
        <x:v>2026-07-12</x:v>
      </x:c>
    </x:row>
    <x:row r="141">
      <x:c r="A141" s="32" t="str">
        <x:v>Google Cloud</x:v>
      </x:c>
      <x:c r="B141" s="32" t="str">
        <x:v>Firebase Cloud Messaging</x:v>
      </x:c>
      <x:c r="C141" s="32" t="str">
        <x:v>Named service / product family</x:v>
      </x:c>
      <x:c r="D141" s="32" t="str">
        <x:v>Application Integration</x:v>
      </x:c>
      <x:c r="E141" s="32" t="str">
        <x:v>Push notifications</x:v>
      </x:c>
      <x:c r="F141" s="32" t="str">
        <x:v>Mobile push notifications</x:v>
      </x:c>
      <x:c r="G141" s="32" t="str">
        <x:v>Send push messages and notifications to mobile devices and applications.</x:v>
      </x:c>
      <x:c r="H141" s="32" t="str">
        <x:v>Close</x:v>
      </x:c>
      <x:c r="I141" s="32"/>
      <x:c r="J141" s="32" t="str">
        <x:v>https://docs.cloud.google.com/docs/product-list</x:v>
      </x:c>
      <x:c r="K141" s="32" t="str">
        <x:v>2026-07-12</x:v>
      </x:c>
    </x:row>
    <x:row r="142">
      <x:c r="A142" s="32" t="str">
        <x:v>Google Cloud</x:v>
      </x:c>
      <x:c r="B142" s="32" t="str">
        <x:v>Firebase Hosting</x:v>
      </x:c>
      <x:c r="C142" s="32" t="str">
        <x:v>Named service / product family</x:v>
      </x:c>
      <x:c r="D142" s="32" t="str">
        <x:v>Compute &amp; Application Hosting</x:v>
      </x:c>
      <x:c r="E142" s="32" t="str">
        <x:v>Static web</x:v>
      </x:c>
      <x:c r="F142" s="32" t="str">
        <x:v>Static web application hosting</x:v>
      </x:c>
      <x:c r="G142" s="32" t="str">
        <x:v>Host globally delivered static sites with integrated deployment workflows.</x:v>
      </x:c>
      <x:c r="H142" s="32" t="str">
        <x:v>Close</x:v>
      </x:c>
      <x:c r="I142" s="32"/>
      <x:c r="J142" s="32" t="str">
        <x:v>https://docs.cloud.google.com/docs/product-list</x:v>
      </x:c>
      <x:c r="K142" s="32" t="str">
        <x:v>2026-07-12</x:v>
      </x:c>
    </x:row>
    <x:row r="143">
      <x:c r="A143" s="32" t="str">
        <x:v>Google Cloud</x:v>
      </x:c>
      <x:c r="B143" s="32" t="str">
        <x:v>Firebase Realtime Database</x:v>
      </x:c>
      <x:c r="C143" s="32" t="str">
        <x:v>Named service / product family</x:v>
      </x:c>
      <x:c r="D143" s="32" t="str">
        <x:v>Application Integration</x:v>
      </x:c>
      <x:c r="E143" s="32" t="str">
        <x:v>Real-time messaging</x:v>
      </x:c>
      <x:c r="F143" s="32" t="str">
        <x:v>Managed real-time web messaging</x:v>
      </x:c>
      <x:c r="G143" s="32" t="str">
        <x:v>Deliver low-latency bidirectional messages to connected web and mobile clients.</x:v>
      </x:c>
      <x:c r="H143" s="32" t="str">
        <x:v>Partial</x:v>
      </x:c>
      <x:c r="I143" s="32"/>
      <x:c r="J143" s="32" t="str">
        <x:v>https://docs.cloud.google.com/docs/product-list</x:v>
      </x:c>
      <x:c r="K143" s="32" t="str">
        <x:v>2026-07-12</x:v>
      </x:c>
    </x:row>
    <x:row r="144">
      <x:c r="A144" s="32" t="str">
        <x:v>Google Cloud</x:v>
      </x:c>
      <x:c r="B144" s="32" t="str">
        <x:v>Firebase Test Lab</x:v>
      </x:c>
      <x:c r="C144" s="32" t="str">
        <x:v>Named service / product family</x:v>
      </x:c>
      <x:c r="D144" s="32" t="str">
        <x:v>Developer Tools &amp; DevOps</x:v>
      </x:c>
      <x:c r="E144" s="32" t="str">
        <x:v>Testing</x:v>
      </x:c>
      <x:c r="F144" s="32" t="str">
        <x:v>Cloud application testing</x:v>
      </x:c>
      <x:c r="G144" s="32" t="str">
        <x:v>Run browser, mobile or load tests through managed infrastructure.</x:v>
      </x:c>
      <x:c r="H144" s="32" t="str">
        <x:v>Close</x:v>
      </x:c>
      <x:c r="I144" s="32"/>
      <x:c r="J144" s="32" t="str">
        <x:v>https://docs.cloud.google.com/docs/product-list</x:v>
      </x:c>
      <x:c r="K144" s="32" t="str">
        <x:v>2026-07-12</x:v>
      </x:c>
    </x:row>
    <x:row r="145">
      <x:c r="A145" s="32" t="str">
        <x:v>Google Cloud</x:v>
      </x:c>
      <x:c r="B145" s="32" t="str">
        <x:v>Firestore</x:v>
      </x:c>
      <x:c r="C145" s="32" t="str">
        <x:v>Named service / product family</x:v>
      </x:c>
      <x:c r="D145" s="32" t="str">
        <x:v>Databases</x:v>
      </x:c>
      <x:c r="E145" s="32" t="str">
        <x:v>Key-value NoSQL</x:v>
      </x:c>
      <x:c r="F145" s="32" t="str">
        <x:v>Managed key-value database</x:v>
      </x:c>
      <x:c r="G145" s="32" t="str">
        <x:v>Store and retrieve low-latency key-value data at large scale.</x:v>
      </x:c>
      <x:c r="H145" s="32" t="str">
        <x:v>Close</x:v>
      </x:c>
      <x:c r="I145" s="32"/>
      <x:c r="J145" s="32" t="str">
        <x:v>https://docs.cloud.google.com/docs/product-list</x:v>
      </x:c>
      <x:c r="K145" s="32" t="str">
        <x:v>2026-07-12</x:v>
      </x:c>
    </x:row>
    <x:row r="146">
      <x:c r="A146" s="32" t="str">
        <x:v>Google Cloud</x:v>
      </x:c>
      <x:c r="B146" s="32" t="str">
        <x:v>Firestore in Native mode</x:v>
      </x:c>
      <x:c r="C146" s="32" t="str">
        <x:v>Named service / product family</x:v>
      </x:c>
      <x:c r="D146" s="32" t="str">
        <x:v>Databases</x:v>
      </x:c>
      <x:c r="E146" s="32" t="str">
        <x:v>Document database</x:v>
      </x:c>
      <x:c r="F146" s="32" t="str">
        <x:v>Managed document database</x:v>
      </x:c>
      <x:c r="G146" s="32" t="str">
        <x:v>Store semi-structured JSON-like documents with flexible schemas.</x:v>
      </x:c>
      <x:c r="H146" s="32" t="str">
        <x:v>Close</x:v>
      </x:c>
      <x:c r="I146" s="32"/>
      <x:c r="J146" s="32" t="str">
        <x:v>https://docs.cloud.google.com/docs/product-list</x:v>
      </x:c>
      <x:c r="K146" s="32" t="str">
        <x:v>2026-07-12</x:v>
      </x:c>
    </x:row>
    <x:row r="147">
      <x:c r="A147" s="32" t="str">
        <x:v>Google Cloud</x:v>
      </x:c>
      <x:c r="B147" s="32" t="str">
        <x:v>Firestore with MongoDB compatibility</x:v>
      </x:c>
      <x:c r="C147" s="32" t="str">
        <x:v>Named service / product family</x:v>
      </x:c>
      <x:c r="D147" s="32" t="str">
        <x:v>Databases</x:v>
      </x:c>
      <x:c r="E147" s="32" t="str">
        <x:v>Document database
MongoDB compatibility</x:v>
      </x:c>
      <x:c r="F147" s="32" t="str">
        <x:v>Managed document database
MongoDB-compatible managed database</x:v>
      </x:c>
      <x:c r="G147" s="32" t="str">
        <x:v>Store semi-structured JSON-like documents with flexible schemas.</x:v>
      </x:c>
      <x:c r="H147" s="32" t="str">
        <x:v>Close</x:v>
      </x:c>
      <x:c r="I147" s="32"/>
      <x:c r="J147" s="32" t="str">
        <x:v>https://docs.cloud.google.com/docs/product-list</x:v>
      </x:c>
      <x:c r="K147" s="32" t="str">
        <x:v>2026-07-12</x:v>
      </x:c>
    </x:row>
    <x:row r="148">
      <x:c r="A148" s="32" t="str">
        <x:v>Google Cloud</x:v>
      </x:c>
      <x:c r="B148" s="32" t="str">
        <x:v>Fleet Routing / partner automotive solutions</x:v>
      </x:c>
      <x:c r="C148" s="32" t="str">
        <x:v>Architecture / partner alternative</x:v>
      </x:c>
      <x:c r="D148" s="32" t="str">
        <x:v>IoT &amp; Edge</x:v>
      </x:c>
      <x:c r="E148" s="32" t="str">
        <x:v>Vehicle telemetry</x:v>
      </x:c>
      <x:c r="F148" s="32" t="str">
        <x:v>Connected vehicle data</x:v>
      </x:c>
      <x:c r="G148" s="32" t="str">
        <x:v>Collect and process vehicle telemetry and fleet data.</x:v>
      </x:c>
      <x:c r="H148" s="32" t="str">
        <x:v>Partial</x:v>
      </x:c>
      <x:c r="I148" s="32"/>
      <x:c r="J148" s="32" t="str">
        <x:v>https://docs.cloud.google.com/docs/product-list</x:v>
      </x:c>
      <x:c r="K148" s="32" t="str">
        <x:v>2026-07-12</x:v>
      </x:c>
    </x:row>
    <x:row r="149">
      <x:c r="A149" s="32" t="str">
        <x:v>Google Cloud</x:v>
      </x:c>
      <x:c r="B149" s="32" t="str">
        <x:v>gcloud CLI</x:v>
      </x:c>
      <x:c r="C149" s="32" t="str">
        <x:v>Named service / product family</x:v>
      </x:c>
      <x:c r="D149" s="32" t="str">
        <x:v>Developer Tools &amp; DevOps</x:v>
      </x:c>
      <x:c r="E149" s="32" t="str">
        <x:v>SDK and CLI</x:v>
      </x:c>
      <x:c r="F149" s="32" t="str">
        <x:v>Cloud command-line and SDK tools</x:v>
      </x:c>
      <x:c r="G149" s="32" t="str">
        <x:v>Manage cloud resources and build applications through command-line tools and language SDKs.</x:v>
      </x:c>
      <x:c r="H149" s="32" t="str">
        <x:v>Exact</x:v>
      </x:c>
      <x:c r="I149" s="32"/>
      <x:c r="J149" s="32" t="str">
        <x:v>https://docs.cloud.google.com/docs/product-list</x:v>
      </x:c>
      <x:c r="K149" s="32" t="str">
        <x:v>2026-07-12</x:v>
      </x:c>
    </x:row>
    <x:row r="150">
      <x:c r="A150" s="32" t="str">
        <x:v>Google Cloud</x:v>
      </x:c>
      <x:c r="B150" s="32" t="str">
        <x:v>Gemini Cloud Assist</x:v>
      </x:c>
      <x:c r="C150" s="32" t="str">
        <x:v>Named service / product family</x:v>
      </x:c>
      <x:c r="D150" s="32" t="str">
        <x:v>AI &amp; Machine Learning
Observability &amp; Reliability</x:v>
      </x:c>
      <x:c r="E150" s="32" t="str">
        <x:v>Enterprise AI assistant
SRE automation</x:v>
      </x:c>
      <x:c r="F150" s="32" t="str">
        <x:v>AI-assisted reliability engineering
Enterprise AI assistant</x:v>
      </x:c>
      <x:c r="G150" s="32" t="str">
        <x:v>Provide grounded conversational assistance across enterprise systems and cloud operations.</x:v>
      </x:c>
      <x:c r="H150" s="32" t="str">
        <x:v>Close, Partial</x:v>
      </x:c>
      <x:c r="I150" s="32"/>
      <x:c r="J150" s="32" t="str">
        <x:v>https://docs.cloud.google.com/docs/product-list</x:v>
      </x:c>
      <x:c r="K150" s="32" t="str">
        <x:v>2026-07-12</x:v>
      </x:c>
    </x:row>
    <x:row r="151">
      <x:c r="A151" s="32" t="str">
        <x:v>Google Cloud</x:v>
      </x:c>
      <x:c r="B151" s="32" t="str">
        <x:v>Gemini Code Assist</x:v>
      </x:c>
      <x:c r="C151" s="32" t="str">
        <x:v>Named service / product family</x:v>
      </x:c>
      <x:c r="D151" s="32" t="str">
        <x:v>AI &amp; Machine Learning</x:v>
      </x:c>
      <x:c r="E151" s="32" t="str">
        <x:v>Developer AI</x:v>
      </x:c>
      <x:c r="F151" s="32" t="str">
        <x:v>AI coding assistant</x:v>
      </x:c>
      <x:c r="G151" s="32" t="str">
        <x:v>Generate, explain, review and transform code within developer workflows.</x:v>
      </x:c>
      <x:c r="H151" s="32" t="str">
        <x:v>Close</x:v>
      </x:c>
      <x:c r="I151" s="32"/>
      <x:c r="J151" s="32" t="str">
        <x:v>https://docs.cloud.google.com/docs/product-list</x:v>
      </x:c>
      <x:c r="K151" s="32" t="str">
        <x:v>2026-07-12</x:v>
      </x:c>
    </x:row>
    <x:row r="152">
      <x:c r="A152" s="32" t="str">
        <x:v>Google Cloud</x:v>
      </x:c>
      <x:c r="B152" s="32" t="str">
        <x:v>Gemini Enterprise</x:v>
      </x:c>
      <x:c r="C152" s="32" t="str">
        <x:v>Named service / product family</x:v>
      </x:c>
      <x:c r="D152" s="32" t="str">
        <x:v>AI &amp; Machine Learning</x:v>
      </x:c>
      <x:c r="E152" s="32" t="str">
        <x:v>Enterprise AI assistant</x:v>
      </x:c>
      <x:c r="F152" s="32" t="str">
        <x:v>Enterprise AI assistant</x:v>
      </x:c>
      <x:c r="G152" s="32" t="str">
        <x:v>Provide grounded conversational assistance across enterprise systems and cloud operations.</x:v>
      </x:c>
      <x:c r="H152" s="32" t="str">
        <x:v>Partial</x:v>
      </x:c>
      <x:c r="I152" s="32"/>
      <x:c r="J152" s="32" t="str">
        <x:v>https://docs.cloud.google.com/docs/product-list</x:v>
      </x:c>
      <x:c r="K152" s="32" t="str">
        <x:v>2026-07-12</x:v>
      </x:c>
    </x:row>
    <x:row r="153">
      <x:c r="A153" s="32" t="str">
        <x:v>Google Cloud</x:v>
      </x:c>
      <x:c r="B153" s="32" t="str">
        <x:v>Gemini Enterprise Agent Platform</x:v>
      </x:c>
      <x:c r="C153" s="32" t="str">
        <x:v>Named service / product family</x:v>
      </x:c>
      <x:c r="D153" s="32" t="str">
        <x:v>AI &amp; Machine Learning</x:v>
      </x:c>
      <x:c r="E153" s="32" t="str">
        <x:v>AI platform
Agents</x:v>
      </x:c>
      <x:c r="F153" s="32" t="str">
        <x:v>Managed AI agent platform
Unified AI/ML platform</x:v>
      </x:c>
      <x:c r="G153" s="32" t="str">
        <x:v>Develop, train, govern, deploy and operate machine-learning and generative-AI solutions.</x:v>
      </x:c>
      <x:c r="H153" s="32" t="str">
        <x:v>Close</x:v>
      </x:c>
      <x:c r="I153" s="32"/>
      <x:c r="J153" s="32" t="str">
        <x:v>https://docs.cloud.google.com/docs/product-list</x:v>
      </x:c>
      <x:c r="K153" s="32" t="str">
        <x:v>2026-07-12</x:v>
      </x:c>
    </x:row>
    <x:row r="154">
      <x:c r="A154" s="32" t="str">
        <x:v>Google Cloud</x:v>
      </x:c>
      <x:c r="B154" s="32" t="str">
        <x:v>Gemini in Security / Google Security Operations</x:v>
      </x:c>
      <x:c r="C154" s="32" t="str">
        <x:v>Product family / combined pattern</x:v>
      </x:c>
      <x:c r="D154" s="32" t="str">
        <x:v>Security, Identity &amp; Compliance</x:v>
      </x:c>
      <x:c r="E154" s="32" t="str">
        <x:v>Security assistant</x:v>
      </x:c>
      <x:c r="F154" s="32" t="str">
        <x:v>Generative-AI security assistant</x:v>
      </x:c>
      <x:c r="G154" s="32" t="str">
        <x:v>Use generative AI to investigate threats, summarise incidents and guide response.</x:v>
      </x:c>
      <x:c r="H154" s="32" t="str">
        <x:v>Close</x:v>
      </x:c>
      <x:c r="I154" s="32"/>
      <x:c r="J154" s="32" t="str">
        <x:v>https://docs.cloud.google.com/docs/product-list</x:v>
      </x:c>
      <x:c r="K154" s="32" t="str">
        <x:v>2026-07-12</x:v>
      </x:c>
    </x:row>
    <x:row r="155">
      <x:c r="A155" s="32" t="str">
        <x:v>Google Cloud</x:v>
      </x:c>
      <x:c r="B155" s="32" t="str">
        <x:v>Gemini models</x:v>
      </x:c>
      <x:c r="C155" s="32" t="str">
        <x:v>Named service / product family</x:v>
      </x:c>
      <x:c r="D155" s="32" t="str">
        <x:v>AI &amp; Machine Learning</x:v>
      </x:c>
      <x:c r="E155" s="32" t="str">
        <x:v>Foundation models</x:v>
      </x:c>
      <x:c r="F155" s="32" t="str">
        <x:v>Provider foundation models</x:v>
      </x:c>
      <x:c r="G155" s="32" t="str">
        <x:v>Cloud-provider-developed multimodal foundation-model family.</x:v>
      </x:c>
      <x:c r="H155" s="32" t="str">
        <x:v>Close</x:v>
      </x:c>
      <x:c r="I155" s="32"/>
      <x:c r="J155" s="32" t="str">
        <x:v>https://docs.cloud.google.com/docs/product-list</x:v>
      </x:c>
      <x:c r="K155" s="32" t="str">
        <x:v>2026-07-12</x:v>
      </x:c>
    </x:row>
    <x:row r="156">
      <x:c r="A156" s="32" t="str">
        <x:v>Google Cloud</x:v>
      </x:c>
      <x:c r="B156" s="32" t="str">
        <x:v>GKE Enterprise</x:v>
      </x:c>
      <x:c r="C156" s="32" t="str">
        <x:v>Named service / product family</x:v>
      </x:c>
      <x:c r="D156" s="32" t="str">
        <x:v>Hybrid &amp; Multicloud</x:v>
      </x:c>
      <x:c r="E156" s="32" t="str">
        <x:v>Hybrid management
Multicloud Kubernetes</x:v>
      </x:c>
      <x:c r="F156" s="32" t="str">
        <x:v>Hybrid and multicloud control plane
Multicloud Kubernetes management</x:v>
      </x:c>
      <x:c r="G156" s="32" t="str">
        <x:v>Inventory, govern and operate servers, Kubernetes and data services across environments.</x:v>
      </x:c>
      <x:c r="H156" s="32" t="str">
        <x:v>Close</x:v>
      </x:c>
      <x:c r="I156" s="32"/>
      <x:c r="J156" s="32" t="str">
        <x:v>https://docs.cloud.google.com/docs/product-list</x:v>
      </x:c>
      <x:c r="K156" s="32" t="str">
        <x:v>2026-07-12</x:v>
      </x:c>
    </x:row>
    <x:row r="157">
      <x:c r="A157" s="32" t="str">
        <x:v>Google Cloud</x:v>
      </x:c>
      <x:c r="B157" s="32" t="str">
        <x:v>GKE Multi-Cloud</x:v>
      </x:c>
      <x:c r="C157" s="32" t="str">
        <x:v>Named service / product family</x:v>
      </x:c>
      <x:c r="D157" s="32" t="str">
        <x:v>Hybrid &amp; Multicloud</x:v>
      </x:c>
      <x:c r="E157" s="32" t="str">
        <x:v>Multicloud Kubernetes</x:v>
      </x:c>
      <x:c r="F157" s="32" t="str">
        <x:v>Multicloud Kubernetes management</x:v>
      </x:c>
      <x:c r="G157" s="32" t="str">
        <x:v>Manage Kubernetes fleets spanning cloud and on-premises environments.</x:v>
      </x:c>
      <x:c r="H157" s="32" t="str">
        <x:v>Close</x:v>
      </x:c>
      <x:c r="I157" s="32"/>
      <x:c r="J157" s="32" t="str">
        <x:v>https://docs.cloud.google.com/docs/product-list</x:v>
      </x:c>
      <x:c r="K157" s="32" t="str">
        <x:v>2026-07-12</x:v>
      </x:c>
    </x:row>
    <x:row r="158">
      <x:c r="A158" s="32" t="str">
        <x:v>Google Cloud</x:v>
      </x:c>
      <x:c r="B158" s="32" t="str">
        <x:v>Google Cloud CCaaS</x:v>
      </x:c>
      <x:c r="C158" s="32" t="str">
        <x:v>Named service / product family</x:v>
      </x:c>
      <x:c r="D158" s="32" t="str">
        <x:v>AI &amp; Machine Learning
End-User Computing &amp; Business Apps</x:v>
      </x:c>
      <x:c r="E158" s="32" t="str">
        <x:v>Contact centre
Contact-centre AI</x:v>
      </x:c>
      <x:c r="F158" s="32" t="str">
        <x:v>Agent assistance and conversation analytics
Cloud contact centre</x:v>
      </x:c>
      <x:c r="G158" s="32" t="str">
        <x:v>Assist human contact-centre agents and analyse customer interactions.</x:v>
      </x:c>
      <x:c r="H158" s="32" t="str">
        <x:v>Close, Partial</x:v>
      </x:c>
      <x:c r="I158" s="32"/>
      <x:c r="J158" s="32" t="str">
        <x:v>https://docs.cloud.google.com/docs/product-list</x:v>
      </x:c>
      <x:c r="K158" s="32" t="str">
        <x:v>2026-07-12</x:v>
      </x:c>
    </x:row>
    <x:row r="159">
      <x:c r="A159" s="32" t="str">
        <x:v>Google Cloud</x:v>
      </x:c>
      <x:c r="B159" s="32" t="str">
        <x:v>Google Cloud CCaaS / partner communications APIs</x:v>
      </x:c>
      <x:c r="C159" s="32" t="str">
        <x:v>Architecture / partner alternative</x:v>
      </x:c>
      <x:c r="D159" s="32" t="str">
        <x:v>Media &amp; Communications</x:v>
      </x:c>
      <x:c r="E159" s="32" t="str">
        <x:v>Communications APIs</x:v>
      </x:c>
      <x:c r="F159" s="32" t="str">
        <x:v>Programmable communications</x:v>
      </x:c>
      <x:c r="G159" s="32" t="str">
        <x:v>Add voice, video, chat, SMS or email communications to applications.</x:v>
      </x:c>
      <x:c r="H159" s="32" t="str">
        <x:v>Partial</x:v>
      </x:c>
      <x:c r="I159" s="32"/>
      <x:c r="J159" s="32" t="str">
        <x:v>https://docs.cloud.google.com/docs/product-list</x:v>
      </x:c>
      <x:c r="K159" s="32" t="str">
        <x:v>2026-07-12</x:v>
      </x:c>
    </x:row>
    <x:row r="160">
      <x:c r="A160" s="32" t="str">
        <x:v>Google Cloud</x:v>
      </x:c>
      <x:c r="B160" s="32" t="str">
        <x:v>Google Cloud Consulting / managed services ecosystem</x:v>
      </x:c>
      <x:c r="C160" s="32" t="str">
        <x:v>Architecture / partner alternative</x:v>
      </x:c>
      <x:c r="D160" s="32" t="str">
        <x:v>Governance &amp; Management</x:v>
      </x:c>
      <x:c r="E160" s="32" t="str">
        <x:v>Managed operations</x:v>
      </x:c>
      <x:c r="F160" s="32" t="str">
        <x:v>Managed cloud operations</x:v>
      </x:c>
      <x:c r="G160" s="32" t="str">
        <x:v>Provider-operated governance and operations for enterprise cloud estates.</x:v>
      </x:c>
      <x:c r="H160" s="32" t="str">
        <x:v>Partial</x:v>
      </x:c>
      <x:c r="I160" s="32" t="str">
        <x:v>Azure and Google generally deliver this through service offerings and partners rather than a single equivalent product.</x:v>
      </x:c>
      <x:c r="J160" s="32" t="str">
        <x:v>https://docs.cloud.google.com/docs/product-list</x:v>
      </x:c>
      <x:c r="K160" s="32" t="str">
        <x:v>2026-07-12</x:v>
      </x:c>
    </x:row>
    <x:row r="161">
      <x:c r="A161" s="32" t="str">
        <x:v>Google Cloud</x:v>
      </x:c>
      <x:c r="B161" s="32" t="str">
        <x:v>Google Cloud Ground Station partner ecosystem</x:v>
      </x:c>
      <x:c r="C161" s="32" t="str">
        <x:v>Architecture / partner alternative</x:v>
      </x:c>
      <x:c r="D161" s="32" t="str">
        <x:v>Industry &amp; Specialist</x:v>
      </x:c>
      <x:c r="E161" s="32" t="str">
        <x:v>Satellite</x:v>
      </x:c>
      <x:c r="F161" s="32" t="str">
        <x:v>Ground-station as a service</x:v>
      </x:c>
      <x:c r="G161" s="32" t="str">
        <x:v>Schedule satellite contacts and downlink data through managed ground-station infrastructure.</x:v>
      </x:c>
      <x:c r="H161" s="32" t="str">
        <x:v>Close</x:v>
      </x:c>
      <x:c r="I161" s="32"/>
      <x:c r="J161" s="32" t="str">
        <x:v>https://docs.cloud.google.com/docs/product-list</x:v>
      </x:c>
      <x:c r="K161" s="32" t="str">
        <x:v>2026-07-12</x:v>
      </x:c>
    </x:row>
    <x:row r="162">
      <x:c r="A162" s="32" t="str">
        <x:v>Google Cloud</x:v>
      </x:c>
      <x:c r="B162" s="32" t="str">
        <x:v>Google Cloud Landing Zone</x:v>
      </x:c>
      <x:c r="C162" s="32" t="str">
        <x:v>Named service / product family</x:v>
      </x:c>
      <x:c r="D162" s="32" t="str">
        <x:v>Governance &amp; Management</x:v>
      </x:c>
      <x:c r="E162" s="32" t="str">
        <x:v>Landing zones</x:v>
      </x:c>
      <x:c r="F162" s="32" t="str">
        <x:v>Enterprise landing zone</x:v>
      </x:c>
      <x:c r="G162" s="32" t="str">
        <x:v>Establish a governed multi-account or multi-subscription cloud foundation.</x:v>
      </x:c>
      <x:c r="H162" s="32" t="str">
        <x:v>Close</x:v>
      </x:c>
      <x:c r="I162" s="32" t="str">
        <x:v>Landing-zone implementations combine products, policies and reference architecture.</x:v>
      </x:c>
      <x:c r="J162" s="32" t="str">
        <x:v>https://docs.cloud.google.com/docs/product-list</x:v>
      </x:c>
      <x:c r="K162" s="32" t="str">
        <x:v>2026-07-12</x:v>
      </x:c>
    </x:row>
    <x:row r="163">
      <x:c r="A163" s="32" t="str">
        <x:v>Google Cloud</x:v>
      </x:c>
      <x:c r="B163" s="32" t="str">
        <x:v>Google Cloud Observability</x:v>
      </x:c>
      <x:c r="C163" s="32" t="str">
        <x:v>Named service / product family</x:v>
      </x:c>
      <x:c r="D163" s="32" t="str">
        <x:v>Observability &amp; Reliability</x:v>
      </x:c>
      <x:c r="E163" s="32" t="str">
        <x:v>APM
SRE automation
Unified monitoring</x:v>
      </x:c>
      <x:c r="F163" s="32" t="str">
        <x:v>AI-assisted reliability engineering
Application performance monitoring
Cloud monitoring</x:v>
      </x:c>
      <x:c r="G163" s="32" t="str">
        <x:v>Collect metrics, create dashboards and alert on infrastructure and application health.</x:v>
      </x:c>
      <x:c r="H163" s="32" t="str">
        <x:v>Close, Exact</x:v>
      </x:c>
      <x:c r="I163" s="32"/>
      <x:c r="J163" s="32" t="str">
        <x:v>https://docs.cloud.google.com/docs/product-list</x:v>
      </x:c>
      <x:c r="K163" s="32" t="str">
        <x:v>2026-07-12</x:v>
      </x:c>
    </x:row>
    <x:row r="164">
      <x:c r="A164" s="32" t="str">
        <x:v>Google Cloud</x:v>
      </x:c>
      <x:c r="B164" s="32" t="str">
        <x:v>Google Cloud partner IoT platforms</x:v>
      </x:c>
      <x:c r="C164" s="32" t="str">
        <x:v>Architecture / partner alternative</x:v>
      </x:c>
      <x:c r="D164" s="32" t="str">
        <x:v>IoT &amp; Edge</x:v>
      </x:c>
      <x:c r="E164" s="32" t="str">
        <x:v>Device management
IoT connectivity</x:v>
      </x:c>
      <x:c r="F164" s="32" t="str">
        <x:v>IoT device management
Managed IoT messaging</x:v>
      </x:c>
      <x:c r="G164" s="32" t="str">
        <x:v>Securely connect devices and exchange telemetry and commands at scale.</x:v>
      </x:c>
      <x:c r="H164" s="32" t="str">
        <x:v>Partial</x:v>
      </x:c>
      <x:c r="I164" s="32" t="str">
        <x:v>Google Cloud retired its first-party IoT Core; current implementations use partners and core platform services.</x:v>
      </x:c>
      <x:c r="J164" s="32" t="str">
        <x:v>https://docs.cloud.google.com/docs/product-list</x:v>
      </x:c>
      <x:c r="K164" s="32" t="str">
        <x:v>2026-07-12</x:v>
      </x:c>
    </x:row>
    <x:row r="165">
      <x:c r="A165" s="32" t="str">
        <x:v>Google Cloud</x:v>
      </x:c>
      <x:c r="B165" s="32" t="str">
        <x:v>Google Cloud SDK</x:v>
      </x:c>
      <x:c r="C165" s="32" t="str">
        <x:v>Named service / product family</x:v>
      </x:c>
      <x:c r="D165" s="32" t="str">
        <x:v>Developer Tools &amp; DevOps</x:v>
      </x:c>
      <x:c r="E165" s="32" t="str">
        <x:v>SDK and CLI</x:v>
      </x:c>
      <x:c r="F165" s="32" t="str">
        <x:v>Cloud command-line and SDK tools</x:v>
      </x:c>
      <x:c r="G165" s="32" t="str">
        <x:v>Manage cloud resources and build applications through command-line tools and language SDKs.</x:v>
      </x:c>
      <x:c r="H165" s="32" t="str">
        <x:v>Exact</x:v>
      </x:c>
      <x:c r="I165" s="32"/>
      <x:c r="J165" s="32" t="str">
        <x:v>https://docs.cloud.google.com/docs/product-list</x:v>
      </x:c>
      <x:c r="K165" s="32" t="str">
        <x:v>2026-07-12</x:v>
      </x:c>
    </x:row>
    <x:row r="166">
      <x:c r="A166" s="32" t="str">
        <x:v>Google Cloud</x:v>
      </x:c>
      <x:c r="B166" s="32" t="str">
        <x:v>Google Cloud VMware Engine</x:v>
      </x:c>
      <x:c r="C166" s="32" t="str">
        <x:v>Named service / product family</x:v>
      </x:c>
      <x:c r="D166" s="32" t="str">
        <x:v>Compute &amp; Application Hosting</x:v>
      </x:c>
      <x:c r="E166" s="32" t="str">
        <x:v>VMware</x:v>
      </x:c>
      <x:c r="F166" s="32" t="str">
        <x:v>Managed VMware cloud</x:v>
      </x:c>
      <x:c r="G166" s="32" t="str">
        <x:v>Run VMware environments on cloud infrastructure with familiar VMware tooling.</x:v>
      </x:c>
      <x:c r="H166" s="32" t="str">
        <x:v>Exact</x:v>
      </x:c>
      <x:c r="I166" s="32"/>
      <x:c r="J166" s="32" t="str">
        <x:v>https://docs.cloud.google.com/docs/product-list</x:v>
      </x:c>
      <x:c r="K166" s="32" t="str">
        <x:v>2026-07-12</x:v>
      </x:c>
    </x:row>
    <x:row r="167">
      <x:c r="A167" s="32" t="str">
        <x:v>Google Cloud</x:v>
      </x:c>
      <x:c r="B167" s="32" t="str">
        <x:v>Google Distributed Cloud</x:v>
      </x:c>
      <x:c r="C167" s="32" t="str">
        <x:v>Named service / product family</x:v>
      </x:c>
      <x:c r="D167" s="32" t="str">
        <x:v>Compute &amp; Application Hosting
Storage</x:v>
      </x:c>
      <x:c r="E167" s="32" t="str">
        <x:v>Edge compute
Hybrid storage</x:v>
      </x:c>
      <x:c r="F167" s="32" t="str">
        <x:v>Hybrid storage gateway
Provider edge compute</x:v>
      </x:c>
      <x:c r="G167" s="32" t="str">
        <x:v>Run cloud compute and services near users, devices or telecom networks.</x:v>
      </x:c>
      <x:c r="H167" s="32" t="str">
        <x:v>Close, Partial</x:v>
      </x:c>
      <x:c r="I167" s="32"/>
      <x:c r="J167" s="32" t="str">
        <x:v>https://docs.cloud.google.com/docs/product-list</x:v>
      </x:c>
      <x:c r="K167" s="32" t="str">
        <x:v>2026-07-12</x:v>
      </x:c>
    </x:row>
    <x:row r="168">
      <x:c r="A168" s="32" t="str">
        <x:v>Google Cloud</x:v>
      </x:c>
      <x:c r="B168" s="32" t="str">
        <x:v>Google Distributed Cloud air-gapped</x:v>
      </x:c>
      <x:c r="C168" s="32" t="str">
        <x:v>Named service / product family</x:v>
      </x:c>
      <x:c r="D168" s="32" t="str">
        <x:v>Hybrid &amp; Multicloud</x:v>
      </x:c>
      <x:c r="E168" s="32" t="str">
        <x:v>Air-gapped cloud
Hybrid cloud platform</x:v>
      </x:c>
      <x:c r="F168" s="32" t="str">
        <x:v>Air-gapped cloud platform
On-premises cloud infrastructure</x:v>
      </x:c>
      <x:c r="G168" s="32" t="str">
        <x:v>Run provider-consistent cloud services in customer data centres or edge locations.</x:v>
      </x:c>
      <x:c r="H168" s="32" t="str">
        <x:v>Close, Partial</x:v>
      </x:c>
      <x:c r="I168" s="32"/>
      <x:c r="J168" s="32" t="str">
        <x:v>https://docs.cloud.google.com/docs/product-list</x:v>
      </x:c>
      <x:c r="K168" s="32" t="str">
        <x:v>2026-07-12</x:v>
      </x:c>
    </x:row>
    <x:row r="169">
      <x:c r="A169" s="32" t="str">
        <x:v>Google Cloud</x:v>
      </x:c>
      <x:c r="B169" s="32" t="str">
        <x:v>Google Distributed Cloud appliance</x:v>
      </x:c>
      <x:c r="C169" s="32" t="str">
        <x:v>Named service / product family</x:v>
      </x:c>
      <x:c r="D169" s="32" t="str">
        <x:v>Hybrid &amp; Multicloud</x:v>
      </x:c>
      <x:c r="E169" s="32" t="str">
        <x:v>Edge appliance</x:v>
      </x:c>
      <x:c r="F169" s="32" t="str">
        <x:v>Cloud edge appliance</x:v>
      </x:c>
      <x:c r="G169" s="32" t="str">
        <x:v>Deploy provider-managed compute and data-transfer hardware at remote sites.</x:v>
      </x:c>
      <x:c r="H169" s="32" t="str">
        <x:v>Close</x:v>
      </x:c>
      <x:c r="I169" s="32"/>
      <x:c r="J169" s="32" t="str">
        <x:v>https://docs.cloud.google.com/docs/product-list</x:v>
      </x:c>
      <x:c r="K169" s="32" t="str">
        <x:v>2026-07-12</x:v>
      </x:c>
    </x:row>
    <x:row r="170">
      <x:c r="A170" s="32" t="str">
        <x:v>Google Cloud</x:v>
      </x:c>
      <x:c r="B170" s="32" t="str">
        <x:v>Google Distributed Cloud connected</x:v>
      </x:c>
      <x:c r="C170" s="32" t="str">
        <x:v>Named service / product family</x:v>
      </x:c>
      <x:c r="D170" s="32" t="str">
        <x:v>Hybrid &amp; Multicloud</x:v>
      </x:c>
      <x:c r="E170" s="32" t="str">
        <x:v>Hybrid cloud platform</x:v>
      </x:c>
      <x:c r="F170" s="32" t="str">
        <x:v>On-premises cloud infrastructure</x:v>
      </x:c>
      <x:c r="G170" s="32" t="str">
        <x:v>Run provider-consistent cloud services in customer data centres or edge locations.</x:v>
      </x:c>
      <x:c r="H170" s="32" t="str">
        <x:v>Close</x:v>
      </x:c>
      <x:c r="I170" s="32"/>
      <x:c r="J170" s="32" t="str">
        <x:v>https://docs.cloud.google.com/docs/product-list</x:v>
      </x:c>
      <x:c r="K170" s="32" t="str">
        <x:v>2026-07-12</x:v>
      </x:c>
    </x:row>
    <x:row r="171">
      <x:c r="A171" s="32" t="str">
        <x:v>Google Cloud</x:v>
      </x:c>
      <x:c r="B171" s="32" t="str">
        <x:v>Google Distributed Cloud Edge / partner runtimes</x:v>
      </x:c>
      <x:c r="C171" s="32" t="str">
        <x:v>Architecture / partner alternative</x:v>
      </x:c>
      <x:c r="D171" s="32" t="str">
        <x:v>IoT &amp; Edge</x:v>
      </x:c>
      <x:c r="E171" s="32" t="str">
        <x:v>Edge runtime</x:v>
      </x:c>
      <x:c r="F171" s="32" t="str">
        <x:v>IoT edge runtime</x:v>
      </x:c>
      <x:c r="G171" s="32" t="str">
        <x:v>Run local messaging, compute and ML inference on edge devices.</x:v>
      </x:c>
      <x:c r="H171" s="32" t="str">
        <x:v>Partial</x:v>
      </x:c>
      <x:c r="I171" s="32"/>
      <x:c r="J171" s="32" t="str">
        <x:v>https://docs.cloud.google.com/docs/product-list</x:v>
      </x:c>
      <x:c r="K171" s="32" t="str">
        <x:v>2026-07-12</x:v>
      </x:c>
    </x:row>
    <x:row r="172">
      <x:c r="A172" s="32" t="str">
        <x:v>Google Cloud</x:v>
      </x:c>
      <x:c r="B172" s="32" t="str">
        <x:v>Google Distributed Cloud Edge telecom solutions</x:v>
      </x:c>
      <x:c r="C172" s="32" t="str">
        <x:v>Named service / product family</x:v>
      </x:c>
      <x:c r="D172" s="32" t="str">
        <x:v>Networking</x:v>
      </x:c>
      <x:c r="E172" s="32" t="str">
        <x:v>Private wireless</x:v>
      </x:c>
      <x:c r="F172" s="32" t="str">
        <x:v>Private 5G and edge networking</x:v>
      </x:c>
      <x:c r="G172" s="32" t="str">
        <x:v>Deploy private cellular connectivity integrated with cloud management.</x:v>
      </x:c>
      <x:c r="H172" s="32" t="str">
        <x:v>Partial</x:v>
      </x:c>
      <x:c r="I172" s="32"/>
      <x:c r="J172" s="32" t="str">
        <x:v>https://docs.cloud.google.com/docs/product-list</x:v>
      </x:c>
      <x:c r="K172" s="32" t="str">
        <x:v>2026-07-12</x:v>
      </x:c>
    </x:row>
    <x:row r="173">
      <x:c r="A173" s="32" t="str">
        <x:v>Google Cloud</x:v>
      </x:c>
      <x:c r="B173" s="32" t="str">
        <x:v>Google Kubernetes Engine</x:v>
      </x:c>
      <x:c r="C173" s="32" t="str">
        <x:v>Named service / product family</x:v>
      </x:c>
      <x:c r="D173" s="32" t="str">
        <x:v>Compute &amp; Application Hosting</x:v>
      </x:c>
      <x:c r="E173" s="32" t="str">
        <x:v>Kubernetes</x:v>
      </x:c>
      <x:c r="F173" s="32" t="str">
        <x:v>Managed Kubernetes</x:v>
      </x:c>
      <x:c r="G173" s="32" t="str">
        <x:v>Operate Kubernetes clusters with a managed control plane.</x:v>
      </x:c>
      <x:c r="H173" s="32" t="str">
        <x:v>Exact</x:v>
      </x:c>
      <x:c r="I173" s="32"/>
      <x:c r="J173" s="32" t="str">
        <x:v>https://docs.cloud.google.com/docs/product-list</x:v>
      </x:c>
      <x:c r="K173" s="32" t="str">
        <x:v>2026-07-12</x:v>
      </x:c>
    </x:row>
    <x:row r="174">
      <x:c r="A174" s="32" t="str">
        <x:v>Google Cloud</x:v>
      </x:c>
      <x:c r="B174" s="32" t="str">
        <x:v>Google Maps Platform</x:v>
      </x:c>
      <x:c r="C174" s="32" t="str">
        <x:v>Named service / product family</x:v>
      </x:c>
      <x:c r="D174" s="32" t="str">
        <x:v>Media &amp; Communications</x:v>
      </x:c>
      <x:c r="E174" s="32" t="str">
        <x:v>Maps</x:v>
      </x:c>
      <x:c r="F174" s="32" t="str">
        <x:v>Maps and geospatial APIs</x:v>
      </x:c>
      <x:c r="G174" s="32" t="str">
        <x:v>Add maps, geocoding, routing and location features to applications.</x:v>
      </x:c>
      <x:c r="H174" s="32" t="str">
        <x:v>Close</x:v>
      </x:c>
      <x:c r="I174" s="32"/>
      <x:c r="J174" s="32" t="str">
        <x:v>https://docs.cloud.google.com/docs/product-list</x:v>
      </x:c>
      <x:c r="K174" s="32" t="str">
        <x:v>2026-07-12</x:v>
      </x:c>
    </x:row>
    <x:row r="175">
      <x:c r="A175" s="32" t="str">
        <x:v>Google Cloud</x:v>
      </x:c>
      <x:c r="B175" s="32" t="str">
        <x:v>Google Security Operations</x:v>
      </x:c>
      <x:c r="C175" s="32" t="str">
        <x:v>Named service / product family</x:v>
      </x:c>
      <x:c r="D175" s="32" t="str">
        <x:v>Data, Analytics &amp; BI
Security, Identity &amp; Compliance</x:v>
      </x:c>
      <x:c r="E175" s="32" t="str">
        <x:v>Investigation
SIEM and SOAR
Search analytics
Security data lake
Threat detection</x:v>
      </x:c>
      <x:c r="F175" s="32" t="str">
        <x:v>Cloud threat detection
Cloud-native SIEM and SOAR
Managed search and log analytics
Security investigation
Security telemetry lake</x:v>
      </x:c>
      <x:c r="G175" s="32" t="str">
        <x:v>Detect suspicious activity, compromised identities and malicious workload behaviour.</x:v>
      </x:c>
      <x:c r="H175" s="32" t="str">
        <x:v>Close, Partial</x:v>
      </x:c>
      <x:c r="I175" s="32" t="str">
        <x:v>AWS provides the data lake and analytics building blocks but does not position one identical first-party SIEM product.</x:v>
      </x:c>
      <x:c r="J175" s="32" t="str">
        <x:v>https://docs.cloud.google.com/docs/product-list</x:v>
      </x:c>
      <x:c r="K175" s="32" t="str">
        <x:v>2026-07-12</x:v>
      </x:c>
    </x:row>
    <x:row r="176">
      <x:c r="A176" s="32" t="str">
        <x:v>Google Cloud</x:v>
      </x:c>
      <x:c r="B176" s="32" t="str">
        <x:v>Google Workspace</x:v>
      </x:c>
      <x:c r="C176" s="32" t="str">
        <x:v>Named service / product family</x:v>
      </x:c>
      <x:c r="D176" s="32" t="str">
        <x:v>End-User Computing &amp; Business Apps</x:v>
      </x:c>
      <x:c r="E176" s="32" t="str">
        <x:v>Collaboration</x:v>
      </x:c>
      <x:c r="F176" s="32" t="str">
        <x:v>Business collaboration</x:v>
      </x:c>
      <x:c r="G176" s="32" t="str">
        <x:v>Provide meetings, chat, content collaboration and productivity capabilities.</x:v>
      </x:c>
      <x:c r="H176" s="32" t="str">
        <x:v>Partial</x:v>
      </x:c>
      <x:c r="I176" s="32"/>
      <x:c r="J176" s="32" t="str">
        <x:v>https://docs.cloud.google.com/docs/product-list</x:v>
      </x:c>
      <x:c r="K176" s="32" t="str">
        <x:v>2026-07-12</x:v>
      </x:c>
    </x:row>
    <x:row r="177">
      <x:c r="A177" s="32" t="str">
        <x:v>Google Cloud</x:v>
      </x:c>
      <x:c r="B177" s="32" t="str">
        <x:v>Google Workspace Gmail</x:v>
      </x:c>
      <x:c r="C177" s="32" t="str">
        <x:v>Named service / product family</x:v>
      </x:c>
      <x:c r="D177" s="32" t="str">
        <x:v>End-User Computing &amp; Business Apps</x:v>
      </x:c>
      <x:c r="E177" s="32" t="str">
        <x:v>Business email</x:v>
      </x:c>
      <x:c r="F177" s="32" t="str">
        <x:v>Managed business email</x:v>
      </x:c>
      <x:c r="G177" s="32" t="str">
        <x:v>Host managed organisational email and calendaring.</x:v>
      </x:c>
      <x:c r="H177" s="32" t="str">
        <x:v>Exact</x:v>
      </x:c>
      <x:c r="I177" s="32" t="str">
        <x:v>Microsoft 365 and Google Workspace sit outside the core Azure/GCP infrastructure catalogues but are the closest provider alternatives.</x:v>
      </x:c>
      <x:c r="J177" s="32" t="str">
        <x:v>https://docs.cloud.google.com/docs/product-list</x:v>
      </x:c>
      <x:c r="K177" s="32" t="str">
        <x:v>2026-07-12</x:v>
      </x:c>
    </x:row>
    <x:row r="178">
      <x:c r="A178" s="32" t="str">
        <x:v>Google Cloud</x:v>
      </x:c>
      <x:c r="B178" s="32" t="str">
        <x:v>Healthcare Data Engine</x:v>
      </x:c>
      <x:c r="C178" s="32" t="str">
        <x:v>Named service / product family</x:v>
      </x:c>
      <x:c r="D178" s="32" t="str">
        <x:v>AI &amp; Machine Learning</x:v>
      </x:c>
      <x:c r="E178" s="32" t="str">
        <x:v>Healthcare AI</x:v>
      </x:c>
      <x:c r="F178" s="32" t="str">
        <x:v>Healthcare data and AI</x:v>
      </x:c>
      <x:c r="G178" s="32" t="str">
        <x:v>Ingest, normalise, search and apply AI to healthcare information.</x:v>
      </x:c>
      <x:c r="H178" s="32" t="str">
        <x:v>Close</x:v>
      </x:c>
      <x:c r="I178" s="32"/>
      <x:c r="J178" s="32" t="str">
        <x:v>https://docs.cloud.google.com/docs/product-list</x:v>
      </x:c>
      <x:c r="K178" s="32" t="str">
        <x:v>2026-07-12</x:v>
      </x:c>
    </x:row>
    <x:row r="179">
      <x:c r="A179" s="32" t="str">
        <x:v>Google Cloud</x:v>
      </x:c>
      <x:c r="B179" s="32" t="str">
        <x:v>Hierarchical firewall policies</x:v>
      </x:c>
      <x:c r="C179" s="32" t="str">
        <x:v>Named service / product family</x:v>
      </x:c>
      <x:c r="D179" s="32" t="str">
        <x:v>Networking</x:v>
      </x:c>
      <x:c r="E179" s="32" t="str">
        <x:v>Network segmentation</x:v>
      </x:c>
      <x:c r="F179" s="32" t="str">
        <x:v>Network security groups</x:v>
      </x:c>
      <x:c r="G179" s="32" t="str">
        <x:v>Apply stateful network access rules to interfaces, workloads or subnets.</x:v>
      </x:c>
      <x:c r="H179" s="32" t="str">
        <x:v>Close</x:v>
      </x:c>
      <x:c r="I179" s="32"/>
      <x:c r="J179" s="32" t="str">
        <x:v>https://docs.cloud.google.com/docs/product-list</x:v>
      </x:c>
      <x:c r="K179" s="32" t="str">
        <x:v>2026-07-12</x:v>
      </x:c>
    </x:row>
    <x:row r="180">
      <x:c r="A180" s="32" t="str">
        <x:v>Google Cloud</x:v>
      </x:c>
      <x:c r="B180" s="32" t="str">
        <x:v>Hyperdisk</x:v>
      </x:c>
      <x:c r="C180" s="32" t="str">
        <x:v>Named service / product family</x:v>
      </x:c>
      <x:c r="D180" s="32" t="str">
        <x:v>Storage</x:v>
      </x:c>
      <x:c r="E180" s="32" t="str">
        <x:v>Block storage</x:v>
      </x:c>
      <x:c r="F180" s="32" t="str">
        <x:v>Persistent block storage</x:v>
      </x:c>
      <x:c r="G180" s="32" t="str">
        <x:v>Attach durable block volumes to virtual machines and stateful workloads.</x:v>
      </x:c>
      <x:c r="H180" s="32" t="str">
        <x:v>Exact</x:v>
      </x:c>
      <x:c r="I180" s="32"/>
      <x:c r="J180" s="32" t="str">
        <x:v>https://docs.cloud.google.com/docs/product-list</x:v>
      </x:c>
      <x:c r="K180" s="32" t="str">
        <x:v>2026-07-12</x:v>
      </x:c>
    </x:row>
    <x:row r="181">
      <x:c r="A181" s="32" t="str">
        <x:v>Google Cloud</x:v>
      </x:c>
      <x:c r="B181" s="32" t="str">
        <x:v>Hyperdisk Storage Pools</x:v>
      </x:c>
      <x:c r="C181" s="32" t="str">
        <x:v>Named service / product family</x:v>
      </x:c>
      <x:c r="D181" s="32" t="str">
        <x:v>Storage</x:v>
      </x:c>
      <x:c r="E181" s="32" t="str">
        <x:v>Elastic SAN</x:v>
      </x:c>
      <x:c r="F181" s="32" t="str">
        <x:v>Managed cloud SAN</x:v>
      </x:c>
      <x:c r="G181" s="32" t="str">
        <x:v>Provide centrally provisioned block storage through SAN-style constructs.</x:v>
      </x:c>
      <x:c r="H181" s="32" t="str">
        <x:v>Partial</x:v>
      </x:c>
      <x:c r="I181" s="32"/>
      <x:c r="J181" s="32" t="str">
        <x:v>https://docs.cloud.google.com/docs/product-list</x:v>
      </x:c>
      <x:c r="K181" s="32" t="str">
        <x:v>2026-07-12</x:v>
      </x:c>
    </x:row>
    <x:row r="182">
      <x:c r="A182" s="32" t="str">
        <x:v>Google Cloud</x:v>
      </x:c>
      <x:c r="B182" s="32" t="str">
        <x:v>IAM Conditions</x:v>
      </x:c>
      <x:c r="C182" s="32" t="str">
        <x:v>Named service / product family</x:v>
      </x:c>
      <x:c r="D182" s="32" t="str">
        <x:v>Security, Identity &amp; Compliance</x:v>
      </x:c>
      <x:c r="E182" s="32" t="str">
        <x:v>Authorisation</x:v>
      </x:c>
      <x:c r="F182" s="32" t="str">
        <x:v>Fine-grained application authorisation</x:v>
      </x:c>
      <x:c r="G182" s="32" t="str">
        <x:v>Externalise and evaluate fine-grained application permissions and policies.</x:v>
      </x:c>
      <x:c r="H182" s="32" t="str">
        <x:v>Partial</x:v>
      </x:c>
      <x:c r="I182" s="32"/>
      <x:c r="J182" s="32" t="str">
        <x:v>https://docs.cloud.google.com/docs/product-list</x:v>
      </x:c>
      <x:c r="K182" s="32" t="str">
        <x:v>2026-07-12</x:v>
      </x:c>
    </x:row>
    <x:row r="183">
      <x:c r="A183" s="32" t="str">
        <x:v>Google Cloud</x:v>
      </x:c>
      <x:c r="B183" s="32" t="str">
        <x:v>IBM Db2 on Google Cloud</x:v>
      </x:c>
      <x:c r="C183" s="32" t="str">
        <x:v>Named service / product family</x:v>
      </x:c>
      <x:c r="D183" s="32" t="str">
        <x:v>Databases</x:v>
      </x:c>
      <x:c r="E183" s="32" t="str">
        <x:v>DB2</x:v>
      </x:c>
      <x:c r="F183" s="32" t="str">
        <x:v>Managed IBM Db2 database</x:v>
      </x:c>
      <x:c r="G183" s="32" t="str">
        <x:v>Operate IBM Db2 databases with managed infrastructure capabilities.</x:v>
      </x:c>
      <x:c r="H183" s="32" t="str">
        <x:v>Partial</x:v>
      </x:c>
      <x:c r="I183" s="32"/>
      <x:c r="J183" s="32" t="str">
        <x:v>https://docs.cloud.google.com/docs/product-list</x:v>
      </x:c>
      <x:c r="K183" s="32" t="str">
        <x:v>2026-07-12</x:v>
      </x:c>
    </x:row>
    <x:row r="184">
      <x:c r="A184" s="32" t="str">
        <x:v>Google Cloud</x:v>
      </x:c>
      <x:c r="B184" s="32" t="str">
        <x:v>Identity and Access Management</x:v>
      </x:c>
      <x:c r="C184" s="32" t="str">
        <x:v>Named service / product family</x:v>
      </x:c>
      <x:c r="D184" s="32" t="str">
        <x:v>Security, Identity &amp; Compliance</x:v>
      </x:c>
      <x:c r="E184" s="32" t="str">
        <x:v>Workforce identity</x:v>
      </x:c>
      <x:c r="F184" s="32" t="str">
        <x:v>Identity and access management</x:v>
      </x:c>
      <x:c r="G184" s="32" t="str">
        <x:v>Authenticate identities and authorise access to cloud resources.</x:v>
      </x:c>
      <x:c r="H184" s="32" t="str">
        <x:v>Close</x:v>
      </x:c>
      <x:c r="I184" s="32"/>
      <x:c r="J184" s="32" t="str">
        <x:v>https://docs.cloud.google.com/docs/product-list</x:v>
      </x:c>
      <x:c r="K184" s="32" t="str">
        <x:v>2026-07-12</x:v>
      </x:c>
    </x:row>
    <x:row r="185">
      <x:c r="A185" s="32" t="str">
        <x:v>Google Cloud</x:v>
      </x:c>
      <x:c r="B185" s="32" t="str">
        <x:v>Identity Platform</x:v>
      </x:c>
      <x:c r="C185" s="32" t="str">
        <x:v>Named service / product family</x:v>
      </x:c>
      <x:c r="D185" s="32" t="str">
        <x:v>Security, Identity &amp; Compliance</x:v>
      </x:c>
      <x:c r="E185" s="32" t="str">
        <x:v>Customer identity</x:v>
      </x:c>
      <x:c r="F185" s="32" t="str">
        <x:v>Customer identity platform</x:v>
      </x:c>
      <x:c r="G185" s="32" t="str">
        <x:v>Add sign-up, sign-in, federation and access controls to customer-facing applications.</x:v>
      </x:c>
      <x:c r="H185" s="32" t="str">
        <x:v>Exact</x:v>
      </x:c>
      <x:c r="I185" s="32"/>
      <x:c r="J185" s="32" t="str">
        <x:v>https://docs.cloud.google.com/docs/product-list</x:v>
      </x:c>
      <x:c r="K185" s="32" t="str">
        <x:v>2026-07-12</x:v>
      </x:c>
    </x:row>
    <x:row r="186">
      <x:c r="A186" s="32" t="str">
        <x:v>Google Cloud</x:v>
      </x:c>
      <x:c r="B186" s="32" t="str">
        <x:v>Identity-Aware Proxy</x:v>
      </x:c>
      <x:c r="C186" s="32" t="str">
        <x:v>Named service / product family</x:v>
      </x:c>
      <x:c r="D186" s="32" t="str">
        <x:v>Networking</x:v>
      </x:c>
      <x:c r="E186" s="32" t="str">
        <x:v>Zero trust access</x:v>
      </x:c>
      <x:c r="F186" s="32" t="str">
        <x:v>Identity-aware application access</x:v>
      </x:c>
      <x:c r="G186" s="32" t="str">
        <x:v>Provide identity-based access to private applications without broad network access.</x:v>
      </x:c>
      <x:c r="H186" s="32" t="str">
        <x:v>Close</x:v>
      </x:c>
      <x:c r="I186" s="32"/>
      <x:c r="J186" s="32" t="str">
        <x:v>https://docs.cloud.google.com/docs/product-list</x:v>
      </x:c>
      <x:c r="K186" s="32" t="str">
        <x:v>2026-07-12</x:v>
      </x:c>
    </x:row>
    <x:row r="187">
      <x:c r="A187" s="32" t="str">
        <x:v>Google Cloud</x:v>
      </x:c>
      <x:c r="B187" s="32" t="str">
        <x:v>Identity-Aware Proxy TCP forwarding</x:v>
      </x:c>
      <x:c r="C187" s="32" t="str">
        <x:v>Named service / product family</x:v>
      </x:c>
      <x:c r="D187" s="32" t="str">
        <x:v>Security, Identity &amp; Compliance</x:v>
      </x:c>
      <x:c r="E187" s="32" t="str">
        <x:v>Bastion access</x:v>
      </x:c>
      <x:c r="F187" s="32" t="str">
        <x:v>Managed bastion access</x:v>
      </x:c>
      <x:c r="G187" s="32" t="str">
        <x:v>Provide controlled administrative access to private virtual machines.</x:v>
      </x:c>
      <x:c r="H187" s="32" t="str">
        <x:v>Close</x:v>
      </x:c>
      <x:c r="I187" s="32"/>
      <x:c r="J187" s="32" t="str">
        <x:v>https://docs.cloud.google.com/docs/product-list</x:v>
      </x:c>
      <x:c r="K187" s="32" t="str">
        <x:v>2026-07-12</x:v>
      </x:c>
    </x:row>
    <x:row r="188">
      <x:c r="A188" s="32" t="str">
        <x:v>Google Cloud</x:v>
      </x:c>
      <x:c r="B188" s="32" t="str">
        <x:v>Image Builder</x:v>
      </x:c>
      <x:c r="C188" s="32" t="str">
        <x:v>Named service / product family</x:v>
      </x:c>
      <x:c r="D188" s="32" t="str">
        <x:v>Compute &amp; Application Hosting</x:v>
      </x:c>
      <x:c r="E188" s="32" t="str">
        <x:v>Image management</x:v>
      </x:c>
      <x:c r="F188" s="32" t="str">
        <x:v>Machine image builder</x:v>
      </x:c>
      <x:c r="G188" s="32" t="str">
        <x:v>Automate creation, validation and distribution of hardened machine images.</x:v>
      </x:c>
      <x:c r="H188" s="32" t="str">
        <x:v>Close</x:v>
      </x:c>
      <x:c r="I188" s="32"/>
      <x:c r="J188" s="32" t="str">
        <x:v>https://docs.cloud.google.com/docs/product-list</x:v>
      </x:c>
      <x:c r="K188" s="32" t="str">
        <x:v>2026-07-12</x:v>
      </x:c>
    </x:row>
    <x:row r="189">
      <x:c r="A189" s="32" t="str">
        <x:v>Google Cloud</x:v>
      </x:c>
      <x:c r="B189" s="32" t="str">
        <x:v>Imagen on Vertex AI</x:v>
      </x:c>
      <x:c r="C189" s="32" t="str">
        <x:v>Named service / product family</x:v>
      </x:c>
      <x:c r="D189" s="32" t="str">
        <x:v>AI &amp; Machine Learning</x:v>
      </x:c>
      <x:c r="E189" s="32" t="str">
        <x:v>Synthetic media</x:v>
      </x:c>
      <x:c r="F189" s="32" t="str">
        <x:v>Image generation</x:v>
      </x:c>
      <x:c r="G189" s="32" t="str">
        <x:v>Generate or edit images from natural-language instructions.</x:v>
      </x:c>
      <x:c r="H189" s="32" t="str">
        <x:v>Close</x:v>
      </x:c>
      <x:c r="I189" s="32"/>
      <x:c r="J189" s="32" t="str">
        <x:v>https://docs.cloud.google.com/docs/product-list</x:v>
      </x:c>
      <x:c r="K189" s="32" t="str">
        <x:v>2026-07-12</x:v>
      </x:c>
    </x:row>
    <x:row r="190">
      <x:c r="A190" s="32" t="str">
        <x:v>Google Cloud</x:v>
      </x:c>
      <x:c r="B190" s="32" t="str">
        <x:v>Infrastructure Manager</x:v>
      </x:c>
      <x:c r="C190" s="32" t="str">
        <x:v>Named service / product family</x:v>
      </x:c>
      <x:c r="D190" s="32" t="str">
        <x:v>Governance &amp; Management</x:v>
      </x:c>
      <x:c r="E190" s="32" t="str">
        <x:v>Infrastructure as code</x:v>
      </x:c>
      <x:c r="F190" s="32" t="str">
        <x:v>Native infrastructure as code</x:v>
      </x:c>
      <x:c r="G190" s="32" t="str">
        <x:v>Provision and manage cloud resources from declarative templates.</x:v>
      </x:c>
      <x:c r="H190" s="32" t="str">
        <x:v>Close</x:v>
      </x:c>
      <x:c r="I190" s="32"/>
      <x:c r="J190" s="32" t="str">
        <x:v>https://docs.cloud.google.com/docs/product-list</x:v>
      </x:c>
      <x:c r="K190" s="32" t="str">
        <x:v>2026-07-12</x:v>
      </x:c>
    </x:row>
    <x:row r="191">
      <x:c r="A191" s="32" t="str">
        <x:v>Google Cloud</x:v>
      </x:c>
      <x:c r="B191" s="32" t="str">
        <x:v>Integration Connectors</x:v>
      </x:c>
      <x:c r="C191" s="32" t="str">
        <x:v>Named service / product family</x:v>
      </x:c>
      <x:c r="D191" s="32" t="str">
        <x:v>Application Integration</x:v>
      </x:c>
      <x:c r="E191" s="32" t="str">
        <x:v>Integration platform</x:v>
      </x:c>
      <x:c r="F191" s="32" t="str">
        <x:v>Integration platform as a service</x:v>
      </x:c>
      <x:c r="G191" s="32" t="str">
        <x:v>Connect SaaS, cloud and on-premises systems through managed connectors and workflows.</x:v>
      </x:c>
      <x:c r="H191" s="32" t="str">
        <x:v>Close</x:v>
      </x:c>
      <x:c r="I191" s="32"/>
      <x:c r="J191" s="32" t="str">
        <x:v>https://docs.cloud.google.com/docs/product-list</x:v>
      </x:c>
      <x:c r="K191" s="32" t="str">
        <x:v>2026-07-12</x:v>
      </x:c>
    </x:row>
    <x:row r="192">
      <x:c r="A192" s="32" t="str">
        <x:v>Google Cloud</x:v>
      </x:c>
      <x:c r="B192" s="32" t="str">
        <x:v>Knowledge Catalog</x:v>
      </x:c>
      <x:c r="C192" s="32" t="str">
        <x:v>Named service / product family</x:v>
      </x:c>
      <x:c r="D192" s="32" t="str">
        <x:v>Data, Analytics &amp; BI</x:v>
      </x:c>
      <x:c r="E192" s="32" t="str">
        <x:v>Data catalogue</x:v>
      </x:c>
      <x:c r="F192" s="32" t="str">
        <x:v>Data catalogue and metadata</x:v>
      </x:c>
      <x:c r="G192" s="32" t="str">
        <x:v>Discover, classify and understand data assets through searchable metadata.</x:v>
      </x:c>
      <x:c r="H192" s="32" t="str">
        <x:v>Close</x:v>
      </x:c>
      <x:c r="I192" s="32"/>
      <x:c r="J192" s="32" t="str">
        <x:v>https://docs.cloud.google.com/docs/product-list</x:v>
      </x:c>
      <x:c r="K192" s="32" t="str">
        <x:v>2026-07-12</x:v>
      </x:c>
    </x:row>
    <x:row r="193">
      <x:c r="A193" s="32" t="str">
        <x:v>Google Cloud</x:v>
      </x:c>
      <x:c r="B193" s="32" t="str">
        <x:v>Lakehouse</x:v>
      </x:c>
      <x:c r="C193" s="32" t="str">
        <x:v>Named service / product family</x:v>
      </x:c>
      <x:c r="D193" s="32" t="str">
        <x:v>Data, Analytics &amp; BI</x:v>
      </x:c>
      <x:c r="E193" s="32" t="str">
        <x:v>Lakehouse</x:v>
      </x:c>
      <x:c r="F193" s="32" t="str">
        <x:v>Lakehouse platform</x:v>
      </x:c>
      <x:c r="G193" s="32" t="str">
        <x:v>Combine data-lake flexibility with warehouse governance and analytics.</x:v>
      </x:c>
      <x:c r="H193" s="32" t="str">
        <x:v>Close</x:v>
      </x:c>
      <x:c r="I193" s="32"/>
      <x:c r="J193" s="32" t="str">
        <x:v>https://docs.cloud.google.com/docs/product-list</x:v>
      </x:c>
      <x:c r="K193" s="32" t="str">
        <x:v>2026-07-12</x:v>
      </x:c>
    </x:row>
    <x:row r="194">
      <x:c r="A194" s="32" t="str">
        <x:v>Google Cloud</x:v>
      </x:c>
      <x:c r="B194" s="32" t="str">
        <x:v>License Manager</x:v>
      </x:c>
      <x:c r="C194" s="32" t="str">
        <x:v>Named service / product family</x:v>
      </x:c>
      <x:c r="D194" s="32" t="str">
        <x:v>Governance &amp; Management</x:v>
      </x:c>
      <x:c r="E194" s="32" t="str">
        <x:v>Licensing</x:v>
      </x:c>
      <x:c r="F194" s="32" t="str">
        <x:v>Software licence management</x:v>
      </x:c>
      <x:c r="G194" s="32" t="str">
        <x:v>Track and enforce licence usage across cloud and hybrid servers.</x:v>
      </x:c>
      <x:c r="H194" s="32" t="str">
        <x:v>Partial</x:v>
      </x:c>
      <x:c r="I194" s="32"/>
      <x:c r="J194" s="32" t="str">
        <x:v>https://docs.cloud.google.com/docs/product-list</x:v>
      </x:c>
      <x:c r="K194" s="32" t="str">
        <x:v>2026-07-12</x:v>
      </x:c>
    </x:row>
    <x:row r="195">
      <x:c r="A195" s="32" t="str">
        <x:v>Google Cloud</x:v>
      </x:c>
      <x:c r="B195" s="32" t="str">
        <x:v>Live Stream API</x:v>
      </x:c>
      <x:c r="C195" s="32" t="str">
        <x:v>Named service / product family</x:v>
      </x:c>
      <x:c r="D195" s="32" t="str">
        <x:v>Media &amp; Communications</x:v>
      </x:c>
      <x:c r="E195" s="32" t="str">
        <x:v>Live video processing</x:v>
      </x:c>
      <x:c r="F195" s="32" t="str">
        <x:v>Live video encoding</x:v>
      </x:c>
      <x:c r="G195" s="32" t="str">
        <x:v>Encode and transform live video streams for broadcast and online distribution.</x:v>
      </x:c>
      <x:c r="H195" s="32" t="str">
        <x:v>Partial</x:v>
      </x:c>
      <x:c r="I195" s="32"/>
      <x:c r="J195" s="32" t="str">
        <x:v>https://docs.cloud.google.com/docs/product-list</x:v>
      </x:c>
      <x:c r="K195" s="32" t="str">
        <x:v>2026-07-12</x:v>
      </x:c>
    </x:row>
    <x:row r="196">
      <x:c r="A196" s="32" t="str">
        <x:v>Google Cloud</x:v>
      </x:c>
      <x:c r="B196" s="32" t="str">
        <x:v>Local SSD</x:v>
      </x:c>
      <x:c r="C196" s="32" t="str">
        <x:v>Named service / product family</x:v>
      </x:c>
      <x:c r="D196" s="32" t="str">
        <x:v>Storage</x:v>
      </x:c>
      <x:c r="E196" s="32" t="str">
        <x:v>Local storage</x:v>
      </x:c>
      <x:c r="F196" s="32" t="str">
        <x:v>Local ephemeral SSD</x:v>
      </x:c>
      <x:c r="G196" s="32" t="str">
        <x:v>Provide high-performance storage physically attached to the compute host.</x:v>
      </x:c>
      <x:c r="H196" s="32" t="str">
        <x:v>Close</x:v>
      </x:c>
      <x:c r="I196" s="32"/>
      <x:c r="J196" s="32" t="str">
        <x:v>https://docs.cloud.google.com/docs/product-list</x:v>
      </x:c>
      <x:c r="K196" s="32" t="str">
        <x:v>2026-07-12</x:v>
      </x:c>
    </x:row>
    <x:row r="197">
      <x:c r="A197" s="32" t="str">
        <x:v>Google Cloud</x:v>
      </x:c>
      <x:c r="B197" s="32" t="str">
        <x:v>Looker</x:v>
      </x:c>
      <x:c r="C197" s="32" t="str">
        <x:v>Named service / product family</x:v>
      </x:c>
      <x:c r="D197" s="32" t="str">
        <x:v>Data, Analytics &amp; BI</x:v>
      </x:c>
      <x:c r="E197" s="32" t="str">
        <x:v>Business intelligence</x:v>
      </x:c>
      <x:c r="F197" s="32" t="str">
        <x:v>Business intelligence and dashboards</x:v>
      </x:c>
      <x:c r="G197" s="32" t="str">
        <x:v>Create interactive reports, dashboards and governed analytical experiences.</x:v>
      </x:c>
      <x:c r="H197" s="32" t="str">
        <x:v>Close</x:v>
      </x:c>
      <x:c r="I197" s="32"/>
      <x:c r="J197" s="32" t="str">
        <x:v>https://docs.cloud.google.com/docs/product-list</x:v>
      </x:c>
      <x:c r="K197" s="32" t="str">
        <x:v>2026-07-12</x:v>
      </x:c>
    </x:row>
    <x:row r="198">
      <x:c r="A198" s="32" t="str">
        <x:v>Google Cloud</x:v>
      </x:c>
      <x:c r="B198" s="32" t="str">
        <x:v>Looker Studio</x:v>
      </x:c>
      <x:c r="C198" s="32" t="str">
        <x:v>Named service / product family</x:v>
      </x:c>
      <x:c r="D198" s="32" t="str">
        <x:v>Data, Analytics &amp; BI</x:v>
      </x:c>
      <x:c r="E198" s="32" t="str">
        <x:v>Business intelligence</x:v>
      </x:c>
      <x:c r="F198" s="32" t="str">
        <x:v>Business intelligence and dashboards</x:v>
      </x:c>
      <x:c r="G198" s="32" t="str">
        <x:v>Create interactive reports, dashboards and governed analytical experiences.</x:v>
      </x:c>
      <x:c r="H198" s="32" t="str">
        <x:v>Close</x:v>
      </x:c>
      <x:c r="I198" s="32"/>
      <x:c r="J198" s="32" t="str">
        <x:v>https://docs.cloud.google.com/docs/product-list</x:v>
      </x:c>
      <x:c r="K198" s="32" t="str">
        <x:v>2026-07-12</x:v>
      </x:c>
    </x:row>
    <x:row r="199">
      <x:c r="A199" s="32" t="str">
        <x:v>Google Cloud</x:v>
      </x:c>
      <x:c r="B199" s="32" t="str">
        <x:v>Mainframe Assessment Tool</x:v>
      </x:c>
      <x:c r="C199" s="32" t="str">
        <x:v>Named service / product family</x:v>
      </x:c>
      <x:c r="D199" s="32" t="str">
        <x:v>Migration &amp; Modernisation</x:v>
      </x:c>
      <x:c r="E199" s="32" t="str">
        <x:v>Mainframe</x:v>
      </x:c>
      <x:c r="F199" s="32" t="str">
        <x:v>Mainframe modernisation</x:v>
      </x:c>
      <x:c r="G199" s="32" t="str">
        <x:v>Assess, replatform, refactor or incrementally modernise mainframe workloads.</x:v>
      </x:c>
      <x:c r="H199" s="32" t="str">
        <x:v>Partial</x:v>
      </x:c>
      <x:c r="I199" s="32"/>
      <x:c r="J199" s="32" t="str">
        <x:v>https://docs.cloud.google.com/docs/product-list</x:v>
      </x:c>
      <x:c r="K199" s="32" t="str">
        <x:v>2026-07-12</x:v>
      </x:c>
    </x:row>
    <x:row r="200">
      <x:c r="A200" s="32" t="str">
        <x:v>Google Cloud</x:v>
      </x:c>
      <x:c r="B200" s="32" t="str">
        <x:v>Mainframe Connector</x:v>
      </x:c>
      <x:c r="C200" s="32" t="str">
        <x:v>Named service / product family</x:v>
      </x:c>
      <x:c r="D200" s="32" t="str">
        <x:v>Migration &amp; Modernisation</x:v>
      </x:c>
      <x:c r="E200" s="32" t="str">
        <x:v>Mainframe</x:v>
      </x:c>
      <x:c r="F200" s="32" t="str">
        <x:v>Mainframe modernisation</x:v>
      </x:c>
      <x:c r="G200" s="32" t="str">
        <x:v>Assess, replatform, refactor or incrementally modernise mainframe workloads.</x:v>
      </x:c>
      <x:c r="H200" s="32" t="str">
        <x:v>Partial</x:v>
      </x:c>
      <x:c r="I200" s="32"/>
      <x:c r="J200" s="32" t="str">
        <x:v>https://docs.cloud.google.com/docs/product-list</x:v>
      </x:c>
      <x:c r="K200" s="32" t="str">
        <x:v>2026-07-12</x:v>
      </x:c>
    </x:row>
    <x:row r="201">
      <x:c r="A201" s="32" t="str">
        <x:v>Google Cloud</x:v>
      </x:c>
      <x:c r="B201" s="32" t="str">
        <x:v>Managed instance groups</x:v>
      </x:c>
      <x:c r="C201" s="32" t="str">
        <x:v>Named service / product family</x:v>
      </x:c>
      <x:c r="D201" s="32" t="str">
        <x:v>Compute &amp; Application Hosting</x:v>
      </x:c>
      <x:c r="E201" s="32" t="str">
        <x:v>Autoscaling</x:v>
      </x:c>
      <x:c r="F201" s="32" t="str">
        <x:v>Virtual-machine autoscaling</x:v>
      </x:c>
      <x:c r="G201" s="32" t="str">
        <x:v>Automatically add or remove virtual-machine capacity based on demand or schedules.</x:v>
      </x:c>
      <x:c r="H201" s="32" t="str">
        <x:v>Exact</x:v>
      </x:c>
      <x:c r="I201" s="32"/>
      <x:c r="J201" s="32" t="str">
        <x:v>https://docs.cloud.google.com/docs/product-list</x:v>
      </x:c>
      <x:c r="K201" s="32" t="str">
        <x:v>2026-07-12</x:v>
      </x:c>
    </x:row>
    <x:row r="202">
      <x:c r="A202" s="32" t="str">
        <x:v>Google Cloud</x:v>
      </x:c>
      <x:c r="B202" s="32" t="str">
        <x:v>Managed Lustre</x:v>
      </x:c>
      <x:c r="C202" s="32" t="str">
        <x:v>Named service / product family</x:v>
      </x:c>
      <x:c r="D202" s="32" t="str">
        <x:v>Storage</x:v>
      </x:c>
      <x:c r="E202" s="32" t="str">
        <x:v>High-performance file</x:v>
      </x:c>
      <x:c r="F202" s="32" t="str">
        <x:v>High-performance parallel file system</x:v>
      </x:c>
      <x:c r="G202" s="32" t="str">
        <x:v>Provide low-latency, high-throughput parallel file storage for HPC and AI.</x:v>
      </x:c>
      <x:c r="H202" s="32" t="str">
        <x:v>Exact</x:v>
      </x:c>
      <x:c r="I202" s="32"/>
      <x:c r="J202" s="32" t="str">
        <x:v>https://docs.cloud.google.com/docs/product-list</x:v>
      </x:c>
      <x:c r="K202" s="32" t="str">
        <x:v>2026-07-12</x:v>
      </x:c>
    </x:row>
    <x:row r="203">
      <x:c r="A203" s="32" t="str">
        <x:v>Google Cloud</x:v>
      </x:c>
      <x:c r="B203" s="32" t="str">
        <x:v>Managed Microsoft AD</x:v>
      </x:c>
      <x:c r="C203" s="32" t="str">
        <x:v>Named service / product family</x:v>
      </x:c>
      <x:c r="D203" s="32" t="str">
        <x:v>Security, Identity &amp; Compliance</x:v>
      </x:c>
      <x:c r="E203" s="32" t="str">
        <x:v>Directory</x:v>
      </x:c>
      <x:c r="F203" s="32" t="str">
        <x:v>Managed directory service</x:v>
      </x:c>
      <x:c r="G203" s="32" t="str">
        <x:v>Provide managed directory and domain services for enterprise workloads.</x:v>
      </x:c>
      <x:c r="H203" s="32" t="str">
        <x:v>Exact</x:v>
      </x:c>
      <x:c r="I203" s="32"/>
      <x:c r="J203" s="32" t="str">
        <x:v>https://docs.cloud.google.com/docs/product-list</x:v>
      </x:c>
      <x:c r="K203" s="32" t="str">
        <x:v>2026-07-12</x:v>
      </x:c>
    </x:row>
    <x:row r="204">
      <x:c r="A204" s="32" t="str">
        <x:v>Google Cloud</x:v>
      </x:c>
      <x:c r="B204" s="32" t="str">
        <x:v>Managed Service for Apache Airflow</x:v>
      </x:c>
      <x:c r="C204" s="32" t="str">
        <x:v>Named service / product family</x:v>
      </x:c>
      <x:c r="D204" s="32" t="str">
        <x:v>Data, Analytics &amp; BI</x:v>
      </x:c>
      <x:c r="E204" s="32" t="str">
        <x:v>Data orchestration</x:v>
      </x:c>
      <x:c r="F204" s="32" t="str">
        <x:v>Data workflow orchestration</x:v>
      </x:c>
      <x:c r="G204" s="32" t="str">
        <x:v>Schedule and orchestrate dependent data pipelines and processing tasks.</x:v>
      </x:c>
      <x:c r="H204" s="32" t="str">
        <x:v>Close</x:v>
      </x:c>
      <x:c r="I204" s="32"/>
      <x:c r="J204" s="32" t="str">
        <x:v>https://docs.cloud.google.com/docs/product-list</x:v>
      </x:c>
      <x:c r="K204" s="32" t="str">
        <x:v>2026-07-12</x:v>
      </x:c>
    </x:row>
    <x:row r="205">
      <x:c r="A205" s="32" t="str">
        <x:v>Google Cloud</x:v>
      </x:c>
      <x:c r="B205" s="32" t="str">
        <x:v>Managed Service for Apache Kafka</x:v>
      </x:c>
      <x:c r="C205" s="32" t="str">
        <x:v>Named service / product family</x:v>
      </x:c>
      <x:c r="D205" s="32" t="str">
        <x:v>Data, Analytics &amp; BI</x:v>
      </x:c>
      <x:c r="E205" s="32" t="str">
        <x:v>Kafka
Streaming ingestion</x:v>
      </x:c>
      <x:c r="F205" s="32" t="str">
        <x:v>Managed Apache Kafka
Streaming event ingestion</x:v>
      </x:c>
      <x:c r="G205" s="32" t="str">
        <x:v>Ingest high-volume event streams for near-real-time processing.</x:v>
      </x:c>
      <x:c r="H205" s="32" t="str">
        <x:v>Close</x:v>
      </x:c>
      <x:c r="I205" s="32"/>
      <x:c r="J205" s="32" t="str">
        <x:v>https://docs.cloud.google.com/docs/product-list</x:v>
      </x:c>
      <x:c r="K205" s="32" t="str">
        <x:v>2026-07-12</x:v>
      </x:c>
    </x:row>
    <x:row r="206">
      <x:c r="A206" s="32" t="str">
        <x:v>Google Cloud</x:v>
      </x:c>
      <x:c r="B206" s="32" t="str">
        <x:v>Managed Service for Apache Spark</x:v>
      </x:c>
      <x:c r="C206" s="32" t="str">
        <x:v>Named service / product family</x:v>
      </x:c>
      <x:c r="D206" s="32" t="str">
        <x:v>Data, Analytics &amp; BI</x:v>
      </x:c>
      <x:c r="E206" s="32" t="str">
        <x:v>Big data</x:v>
      </x:c>
      <x:c r="F206" s="32" t="str">
        <x:v>Managed Spark and Hadoop</x:v>
      </x:c>
      <x:c r="G206" s="32" t="str">
        <x:v>Run managed open-source big-data processing frameworks.</x:v>
      </x:c>
      <x:c r="H206" s="32" t="str">
        <x:v>Close</x:v>
      </x:c>
      <x:c r="I206" s="32"/>
      <x:c r="J206" s="32" t="str">
        <x:v>https://docs.cloud.google.com/docs/product-list</x:v>
      </x:c>
      <x:c r="K206" s="32" t="str">
        <x:v>2026-07-12</x:v>
      </x:c>
    </x:row>
    <x:row r="207">
      <x:c r="A207" s="32" t="str">
        <x:v>Google Cloud</x:v>
      </x:c>
      <x:c r="B207" s="32" t="str">
        <x:v>Managed Service for Grafana / partner Grafana Cloud</x:v>
      </x:c>
      <x:c r="C207" s="32" t="str">
        <x:v>Architecture / partner alternative</x:v>
      </x:c>
      <x:c r="D207" s="32" t="str">
        <x:v>Observability &amp; Reliability</x:v>
      </x:c>
      <x:c r="E207" s="32" t="str">
        <x:v>Grafana</x:v>
      </x:c>
      <x:c r="F207" s="32" t="str">
        <x:v>Managed Grafana</x:v>
      </x:c>
      <x:c r="G207" s="32" t="str">
        <x:v>Operate hosted Grafana workspaces for visualising metrics, logs and traces.</x:v>
      </x:c>
      <x:c r="H207" s="32" t="str">
        <x:v>Partial</x:v>
      </x:c>
      <x:c r="I207" s="32"/>
      <x:c r="J207" s="32" t="str">
        <x:v>https://docs.cloud.google.com/docs/product-list</x:v>
      </x:c>
      <x:c r="K207" s="32" t="str">
        <x:v>2026-07-12</x:v>
      </x:c>
    </x:row>
    <x:row r="208">
      <x:c r="A208" s="32" t="str">
        <x:v>Google Cloud</x:v>
      </x:c>
      <x:c r="B208" s="32" t="str">
        <x:v>Managed Service for Prometheus</x:v>
      </x:c>
      <x:c r="C208" s="32" t="str">
        <x:v>Named service / product family</x:v>
      </x:c>
      <x:c r="D208" s="32" t="str">
        <x:v>Observability &amp; Reliability</x:v>
      </x:c>
      <x:c r="E208" s="32" t="str">
        <x:v>Prometheus</x:v>
      </x:c>
      <x:c r="F208" s="32" t="str">
        <x:v>Managed Prometheus</x:v>
      </x:c>
      <x:c r="G208" s="32" t="str">
        <x:v>Collect and query Prometheus-compatible metrics without operating the backend.</x:v>
      </x:c>
      <x:c r="H208" s="32" t="str">
        <x:v>Exact</x:v>
      </x:c>
      <x:c r="I208" s="32"/>
      <x:c r="J208" s="32" t="str">
        <x:v>https://docs.cloud.google.com/docs/product-list</x:v>
      </x:c>
      <x:c r="K208" s="32" t="str">
        <x:v>2026-07-12</x:v>
      </x:c>
    </x:row>
    <x:row r="209">
      <x:c r="A209" s="32" t="str">
        <x:v>Google Cloud</x:v>
      </x:c>
      <x:c r="B209" s="32" t="str">
        <x:v>Manufacturing Data Engine</x:v>
      </x:c>
      <x:c r="C209" s="32" t="str">
        <x:v>Named service / product family</x:v>
      </x:c>
      <x:c r="D209" s="32" t="str">
        <x:v>IoT &amp; Edge</x:v>
      </x:c>
      <x:c r="E209" s="32" t="str">
        <x:v>Industrial IoT</x:v>
      </x:c>
      <x:c r="F209" s="32" t="str">
        <x:v>Industrial equipment data platform</x:v>
      </x:c>
      <x:c r="G209" s="32" t="str">
        <x:v>Collect, contextualise and monitor industrial equipment and process data.</x:v>
      </x:c>
      <x:c r="H209" s="32" t="str">
        <x:v>Close</x:v>
      </x:c>
      <x:c r="I209" s="32"/>
      <x:c r="J209" s="32" t="str">
        <x:v>https://docs.cloud.google.com/docs/product-list</x:v>
      </x:c>
      <x:c r="K209" s="32" t="str">
        <x:v>2026-07-12</x:v>
      </x:c>
    </x:row>
    <x:row r="210">
      <x:c r="A210" s="32" t="str">
        <x:v>Google Cloud</x:v>
      </x:c>
      <x:c r="B210" s="32" t="str">
        <x:v>Manufacturing Data Engine / partner digital twins</x:v>
      </x:c>
      <x:c r="C210" s="32" t="str">
        <x:v>Architecture / partner alternative</x:v>
      </x:c>
      <x:c r="D210" s="32" t="str">
        <x:v>IoT &amp; Edge</x:v>
      </x:c>
      <x:c r="E210" s="32" t="str">
        <x:v>Digital twins</x:v>
      </x:c>
      <x:c r="F210" s="32" t="str">
        <x:v>Digital twin platform</x:v>
      </x:c>
      <x:c r="G210" s="32" t="str">
        <x:v>Model physical environments, assets and relationships using digital representations.</x:v>
      </x:c>
      <x:c r="H210" s="32" t="str">
        <x:v>Partial</x:v>
      </x:c>
      <x:c r="I210" s="32"/>
      <x:c r="J210" s="32" t="str">
        <x:v>https://docs.cloud.google.com/docs/product-list</x:v>
      </x:c>
      <x:c r="K210" s="32" t="str">
        <x:v>2026-07-12</x:v>
      </x:c>
    </x:row>
    <x:row r="211">
      <x:c r="A211" s="32" t="str">
        <x:v>Google Cloud</x:v>
      </x:c>
      <x:c r="B211" s="32" t="str">
        <x:v>Media CDN</x:v>
      </x:c>
      <x:c r="C211" s="32" t="str">
        <x:v>Named service / product family</x:v>
      </x:c>
      <x:c r="D211" s="32" t="str">
        <x:v>Media &amp; Communications
Networking</x:v>
      </x:c>
      <x:c r="E211" s="32" t="str">
        <x:v>Media CDN
Video packaging</x:v>
      </x:c>
      <x:c r="F211" s="32" t="str">
        <x:v>High-capacity media CDN
Video packaging and origin</x:v>
      </x:c>
      <x:c r="G211" s="32" t="str">
        <x:v>Deliver large-scale streaming media and video using edge caching.</x:v>
      </x:c>
      <x:c r="H211" s="32" t="str">
        <x:v>Partial</x:v>
      </x:c>
      <x:c r="I211" s="32"/>
      <x:c r="J211" s="32" t="str">
        <x:v>https://docs.cloud.google.com/docs/product-list</x:v>
      </x:c>
      <x:c r="K211" s="32" t="str">
        <x:v>2026-07-12</x:v>
      </x:c>
    </x:row>
    <x:row r="212">
      <x:c r="A212" s="32" t="str">
        <x:v>Google Cloud</x:v>
      </x:c>
      <x:c r="B212" s="32" t="str">
        <x:v>Memorystore for Memcached</x:v>
      </x:c>
      <x:c r="C212" s="32" t="str">
        <x:v>Named service / product family</x:v>
      </x:c>
      <x:c r="D212" s="32" t="str">
        <x:v>Databases</x:v>
      </x:c>
      <x:c r="E212" s="32" t="str">
        <x:v>Memcached</x:v>
      </x:c>
      <x:c r="F212" s="32" t="str">
        <x:v>Managed Memcached</x:v>
      </x:c>
      <x:c r="G212" s="32" t="str">
        <x:v>Provide a managed distributed memory-caching service compatible with Memcached.</x:v>
      </x:c>
      <x:c r="H212" s="32" t="str">
        <x:v>Partial</x:v>
      </x:c>
      <x:c r="I212" s="32"/>
      <x:c r="J212" s="32" t="str">
        <x:v>https://docs.cloud.google.com/docs/product-list</x:v>
      </x:c>
      <x:c r="K212" s="32" t="str">
        <x:v>2026-07-12</x:v>
      </x:c>
    </x:row>
    <x:row r="213">
      <x:c r="A213" s="32" t="str">
        <x:v>Google Cloud</x:v>
      </x:c>
      <x:c r="B213" s="32" t="str">
        <x:v>Memorystore for Redis</x:v>
      </x:c>
      <x:c r="C213" s="32" t="str">
        <x:v>Named service / product family</x:v>
      </x:c>
      <x:c r="D213" s="32" t="str">
        <x:v>Databases</x:v>
      </x:c>
      <x:c r="E213" s="32" t="str">
        <x:v>In-memory cache</x:v>
      </x:c>
      <x:c r="F213" s="32" t="str">
        <x:v>Managed Redis or Valkey cache</x:v>
      </x:c>
      <x:c r="G213" s="32" t="str">
        <x:v>Provide low-latency in-memory caching and data structures.</x:v>
      </x:c>
      <x:c r="H213" s="32" t="str">
        <x:v>Close</x:v>
      </x:c>
      <x:c r="I213" s="32"/>
      <x:c r="J213" s="32" t="str">
        <x:v>https://docs.cloud.google.com/docs/product-list</x:v>
      </x:c>
      <x:c r="K213" s="32" t="str">
        <x:v>2026-07-12</x:v>
      </x:c>
    </x:row>
    <x:row r="214">
      <x:c r="A214" s="32" t="str">
        <x:v>Google Cloud</x:v>
      </x:c>
      <x:c r="B214" s="32" t="str">
        <x:v>Memorystore for Redis Cluster</x:v>
      </x:c>
      <x:c r="C214" s="32" t="str">
        <x:v>Named service / product family</x:v>
      </x:c>
      <x:c r="D214" s="32" t="str">
        <x:v>Databases</x:v>
      </x:c>
      <x:c r="E214" s="32" t="str">
        <x:v>In-memory cache</x:v>
      </x:c>
      <x:c r="F214" s="32" t="str">
        <x:v>Managed Redis or Valkey cache</x:v>
      </x:c>
      <x:c r="G214" s="32" t="str">
        <x:v>Provide low-latency in-memory caching and data structures.</x:v>
      </x:c>
      <x:c r="H214" s="32" t="str">
        <x:v>Close</x:v>
      </x:c>
      <x:c r="I214" s="32"/>
      <x:c r="J214" s="32" t="str">
        <x:v>https://docs.cloud.google.com/docs/product-list</x:v>
      </x:c>
      <x:c r="K214" s="32" t="str">
        <x:v>2026-07-12</x:v>
      </x:c>
    </x:row>
    <x:row r="215">
      <x:c r="A215" s="32" t="str">
        <x:v>Google Cloud</x:v>
      </x:c>
      <x:c r="B215" s="32" t="str">
        <x:v>Memorystore for Valkey</x:v>
      </x:c>
      <x:c r="C215" s="32" t="str">
        <x:v>Named service / product family</x:v>
      </x:c>
      <x:c r="D215" s="32" t="str">
        <x:v>Databases</x:v>
      </x:c>
      <x:c r="E215" s="32" t="str">
        <x:v>In-memory cache</x:v>
      </x:c>
      <x:c r="F215" s="32" t="str">
        <x:v>Managed Redis or Valkey cache</x:v>
      </x:c>
      <x:c r="G215" s="32" t="str">
        <x:v>Provide low-latency in-memory caching and data structures.</x:v>
      </x:c>
      <x:c r="H215" s="32" t="str">
        <x:v>Close</x:v>
      </x:c>
      <x:c r="I215" s="32"/>
      <x:c r="J215" s="32" t="str">
        <x:v>https://docs.cloud.google.com/docs/product-list</x:v>
      </x:c>
      <x:c r="K215" s="32" t="str">
        <x:v>2026-07-12</x:v>
      </x:c>
    </x:row>
    <x:row r="216">
      <x:c r="A216" s="32" t="str">
        <x:v>Google Cloud</x:v>
      </x:c>
      <x:c r="B216" s="32" t="str">
        <x:v>Migrate to Containers</x:v>
      </x:c>
      <x:c r="C216" s="32" t="str">
        <x:v>Named service / product family</x:v>
      </x:c>
      <x:c r="D216" s="32" t="str">
        <x:v>Compute &amp; Application Hosting
Migration &amp; Modernisation</x:v>
      </x:c>
      <x:c r="E216" s="32" t="str">
        <x:v>Application modernisation
Container migration</x:v>
      </x:c>
      <x:c r="F216" s="32" t="str">
        <x:v>Application containerisation
Application modernisation</x:v>
      </x:c>
      <x:c r="G216" s="32" t="str">
        <x:v>Assess and convert existing applications or virtual machines into containers.</x:v>
      </x:c>
      <x:c r="H216" s="32" t="str">
        <x:v>Close</x:v>
      </x:c>
      <x:c r="I216" s="32"/>
      <x:c r="J216" s="32" t="str">
        <x:v>https://docs.cloud.google.com/docs/product-list</x:v>
      </x:c>
      <x:c r="K216" s="32" t="str">
        <x:v>2026-07-12</x:v>
      </x:c>
    </x:row>
    <x:row r="217">
      <x:c r="A217" s="32" t="str">
        <x:v>Google Cloud</x:v>
      </x:c>
      <x:c r="B217" s="32" t="str">
        <x:v>Migrate to Virtual Machines</x:v>
      </x:c>
      <x:c r="C217" s="32" t="str">
        <x:v>Named service / product family</x:v>
      </x:c>
      <x:c r="D217" s="32" t="str">
        <x:v>Migration &amp; Modernisation</x:v>
      </x:c>
      <x:c r="E217" s="32" t="str">
        <x:v>VM migration</x:v>
      </x:c>
      <x:c r="F217" s="32" t="str">
        <x:v>Virtual-machine migration</x:v>
      </x:c>
      <x:c r="G217" s="32" t="str">
        <x:v>Replicate and migrate physical or virtual servers into cloud virtual machines.</x:v>
      </x:c>
      <x:c r="H217" s="32" t="str">
        <x:v>Exact</x:v>
      </x:c>
      <x:c r="I217" s="32"/>
      <x:c r="J217" s="32" t="str">
        <x:v>https://docs.cloud.google.com/docs/product-list</x:v>
      </x:c>
      <x:c r="K217" s="32" t="str">
        <x:v>2026-07-12</x:v>
      </x:c>
    </x:row>
    <x:row r="218">
      <x:c r="A218" s="32" t="str">
        <x:v>Google Cloud</x:v>
      </x:c>
      <x:c r="B218" s="32" t="str">
        <x:v>Migrate to Virtual Machines / service-specific replication</x:v>
      </x:c>
      <x:c r="C218" s="32" t="str">
        <x:v>Architecture / partner alternative</x:v>
      </x:c>
      <x:c r="D218" s="32" t="str">
        <x:v>Migration &amp; Modernisation</x:v>
      </x:c>
      <x:c r="E218" s="32" t="str">
        <x:v>Resource relocation</x:v>
      </x:c>
      <x:c r="F218" s="32" t="str">
        <x:v>Cloud resource relocation</x:v>
      </x:c>
      <x:c r="G218" s="32" t="str">
        <x:v>Move supported resources between regions, subscriptions or projects.</x:v>
      </x:c>
      <x:c r="H218" s="32" t="str">
        <x:v>Partial</x:v>
      </x:c>
      <x:c r="I218" s="32"/>
      <x:c r="J218" s="32" t="str">
        <x:v>https://docs.cloud.google.com/docs/product-list</x:v>
      </x:c>
      <x:c r="K218" s="32" t="str">
        <x:v>2026-07-12</x:v>
      </x:c>
    </x:row>
    <x:row r="219">
      <x:c r="A219" s="32" t="str">
        <x:v>Google Cloud</x:v>
      </x:c>
      <x:c r="B219" s="32" t="str">
        <x:v>Migration Center</x:v>
      </x:c>
      <x:c r="C219" s="32" t="str">
        <x:v>Named service / product family</x:v>
      </x:c>
      <x:c r="D219" s="32" t="str">
        <x:v>Migration &amp; Modernisation</x:v>
      </x:c>
      <x:c r="E219" s="32" t="str">
        <x:v>Discovery
Migration portfolio</x:v>
      </x:c>
      <x:c r="F219" s="32" t="str">
        <x:v>Migration discovery and assessment
Migration programme hub</x:v>
      </x:c>
      <x:c r="G219" s="32" t="str">
        <x:v>Discover servers, dependencies and utilisation to build migration plans and business cases.</x:v>
      </x:c>
      <x:c r="H219" s="32" t="str">
        <x:v>Close</x:v>
      </x:c>
      <x:c r="I219" s="32"/>
      <x:c r="J219" s="32" t="str">
        <x:v>https://docs.cloud.google.com/docs/product-list</x:v>
      </x:c>
      <x:c r="K219" s="32" t="str">
        <x:v>2026-07-12</x:v>
      </x:c>
    </x:row>
    <x:row r="220">
      <x:c r="A220" s="32" t="str">
        <x:v>Google Cloud</x:v>
      </x:c>
      <x:c r="B220" s="32" t="str">
        <x:v>Model Armor</x:v>
      </x:c>
      <x:c r="C220" s="32" t="str">
        <x:v>Named service / product family</x:v>
      </x:c>
      <x:c r="D220" s="32" t="str">
        <x:v>AI &amp; Machine Learning</x:v>
      </x:c>
      <x:c r="E220" s="32" t="str">
        <x:v>AI safety
AI security</x:v>
      </x:c>
      <x:c r="F220" s="32" t="str">
        <x:v>AI security posture management
Generative-AI guardrails
Prompt-injection protection</x:v>
      </x:c>
      <x:c r="G220" s="32" t="str">
        <x:v>Discover AI workloads, identify risks and monitor threats affecting AI systems.</x:v>
      </x:c>
      <x:c r="H220" s="32" t="str">
        <x:v>Close, Partial</x:v>
      </x:c>
      <x:c r="I220" s="32"/>
      <x:c r="J220" s="32" t="str">
        <x:v>https://docs.cloud.google.com/docs/product-list</x:v>
      </x:c>
      <x:c r="K220" s="32" t="str">
        <x:v>2026-07-12</x:v>
      </x:c>
    </x:row>
    <x:row r="221">
      <x:c r="A221" s="32" t="str">
        <x:v>Google Cloud</x:v>
      </x:c>
      <x:c r="B221" s="32" t="str">
        <x:v>Model Monitoring</x:v>
      </x:c>
      <x:c r="C221" s="32" t="str">
        <x:v>Named service / product family</x:v>
      </x:c>
      <x:c r="D221" s="32" t="str">
        <x:v>AI &amp; Machine Learning</x:v>
      </x:c>
      <x:c r="E221" s="32" t="str">
        <x:v>AI governance</x:v>
      </x:c>
      <x:c r="F221" s="32" t="str">
        <x:v>AI governance and control plane</x:v>
      </x:c>
      <x:c r="G221" s="32" t="str">
        <x:v>Inventory AI assets, apply policies, assess risk and oversee AI across its lifecycle.</x:v>
      </x:c>
      <x:c r="H221" s="32" t="str">
        <x:v>Partial</x:v>
      </x:c>
      <x:c r="I221" s="32" t="str">
        <x:v>AI governance is a control set rather than one perfectly equivalent product.</x:v>
      </x:c>
      <x:c r="J221" s="32" t="str">
        <x:v>https://docs.cloud.google.com/docs/product-list</x:v>
      </x:c>
      <x:c r="K221" s="32" t="str">
        <x:v>2026-07-12</x:v>
      </x:c>
    </x:row>
    <x:row r="222">
      <x:c r="A222" s="32" t="str">
        <x:v>Google Cloud</x:v>
      </x:c>
      <x:c r="B222" s="32" t="str">
        <x:v>NetApp Volumes</x:v>
      </x:c>
      <x:c r="C222" s="32" t="str">
        <x:v>Named service / product family</x:v>
      </x:c>
      <x:c r="D222" s="32" t="str">
        <x:v>Storage</x:v>
      </x:c>
      <x:c r="E222" s="32" t="str">
        <x:v>Enterprise file storage</x:v>
      </x:c>
      <x:c r="F222" s="32" t="str">
        <x:v>Managed enterprise NAS</x:v>
      </x:c>
      <x:c r="G222" s="32" t="str">
        <x:v>Provide enterprise file protocols, snapshots and data-management features.</x:v>
      </x:c>
      <x:c r="H222" s="32" t="str">
        <x:v>Exact</x:v>
      </x:c>
      <x:c r="I222" s="32"/>
      <x:c r="J222" s="32" t="str">
        <x:v>https://docs.cloud.google.com/docs/product-list</x:v>
      </x:c>
      <x:c r="K222" s="32" t="str">
        <x:v>2026-07-12</x:v>
      </x:c>
    </x:row>
    <x:row r="223">
      <x:c r="A223" s="32" t="str">
        <x:v>Google Cloud</x:v>
      </x:c>
      <x:c r="B223" s="32" t="str">
        <x:v>Network Connectivity Center</x:v>
      </x:c>
      <x:c r="C223" s="32" t="str">
        <x:v>Named service / product family</x:v>
      </x:c>
      <x:c r="D223" s="32" t="str">
        <x:v>Networking</x:v>
      </x:c>
      <x:c r="E223" s="32" t="str">
        <x:v>Network management
Transit networking</x:v>
      </x:c>
      <x:c r="F223" s="32" t="str">
        <x:v>Central network management
Cloud network transit hub</x:v>
      </x:c>
      <x:c r="G223" s="32" t="str">
        <x:v>Connect many virtual networks, branches and hybrid links through a central hub.</x:v>
      </x:c>
      <x:c r="H223" s="32" t="str">
        <x:v>Close</x:v>
      </x:c>
      <x:c r="I223" s="32"/>
      <x:c r="J223" s="32" t="str">
        <x:v>https://docs.cloud.google.com/docs/product-list</x:v>
      </x:c>
      <x:c r="K223" s="32" t="str">
        <x:v>2026-07-12</x:v>
      </x:c>
    </x:row>
    <x:row r="224">
      <x:c r="A224" s="32" t="str">
        <x:v>Google Cloud</x:v>
      </x:c>
      <x:c r="B224" s="32" t="str">
        <x:v>Network Intelligence Center</x:v>
      </x:c>
      <x:c r="C224" s="32" t="str">
        <x:v>Named service / product family</x:v>
      </x:c>
      <x:c r="D224" s="32" t="str">
        <x:v>Networking</x:v>
      </x:c>
      <x:c r="E224" s="32" t="str">
        <x:v>Network visibility</x:v>
      </x:c>
      <x:c r="F224" s="32" t="str">
        <x:v>Network monitoring and diagnostics</x:v>
      </x:c>
      <x:c r="G224" s="32" t="str">
        <x:v>Analyse topology, flows, connectivity, latency and network health.</x:v>
      </x:c>
      <x:c r="H224" s="32" t="str">
        <x:v>Close</x:v>
      </x:c>
      <x:c r="I224" s="32"/>
      <x:c r="J224" s="32" t="str">
        <x:v>https://docs.cloud.google.com/docs/product-list</x:v>
      </x:c>
      <x:c r="K224" s="32" t="str">
        <x:v>2026-07-12</x:v>
      </x:c>
    </x:row>
    <x:row r="225">
      <x:c r="A225" s="32" t="str">
        <x:v>Google Cloud</x:v>
      </x:c>
      <x:c r="B225" s="32" t="str">
        <x:v>Network Security integration in Cloud NGFW</x:v>
      </x:c>
      <x:c r="C225" s="32" t="str">
        <x:v>Named service / product family</x:v>
      </x:c>
      <x:c r="D225" s="32" t="str">
        <x:v>Security, Identity &amp; Compliance</x:v>
      </x:c>
      <x:c r="E225" s="32" t="str">
        <x:v>Firewall governance</x:v>
      </x:c>
      <x:c r="F225" s="32" t="str">
        <x:v>Central firewall policy management</x:v>
      </x:c>
      <x:c r="G225" s="32" t="str">
        <x:v>Centrally deploy and govern firewall and web-protection policies.</x:v>
      </x:c>
      <x:c r="H225" s="32" t="str">
        <x:v>Close</x:v>
      </x:c>
      <x:c r="I225" s="32"/>
      <x:c r="J225" s="32" t="str">
        <x:v>https://docs.cloud.google.com/docs/product-list</x:v>
      </x:c>
      <x:c r="K225" s="32" t="str">
        <x:v>2026-07-12</x:v>
      </x:c>
    </x:row>
    <x:row r="226">
      <x:c r="A226" s="32" t="str">
        <x:v>Google Cloud</x:v>
      </x:c>
      <x:c r="B226" s="32" t="str">
        <x:v>Oracle Database@Google Cloud</x:v>
      </x:c>
      <x:c r="C226" s="32" t="str">
        <x:v>Named service / product family</x:v>
      </x:c>
      <x:c r="D226" s="32" t="str">
        <x:v>Databases</x:v>
      </x:c>
      <x:c r="E226" s="32" t="str">
        <x:v>Oracle</x:v>
      </x:c>
      <x:c r="F226" s="32" t="str">
        <x:v>Managed Oracle database</x:v>
      </x:c>
      <x:c r="G226" s="32" t="str">
        <x:v>Operate Oracle database workloads through managed or cloud-hosted services.</x:v>
      </x:c>
      <x:c r="H226" s="32" t="str">
        <x:v>Close</x:v>
      </x:c>
      <x:c r="I226" s="32"/>
      <x:c r="J226" s="32" t="str">
        <x:v>https://docs.cloud.google.com/docs/product-list</x:v>
      </x:c>
      <x:c r="K226" s="32" t="str">
        <x:v>2026-07-12</x:v>
      </x:c>
    </x:row>
    <x:row r="227">
      <x:c r="A227" s="32" t="str">
        <x:v>Google Cloud</x:v>
      </x:c>
      <x:c r="B227" s="32" t="str">
        <x:v>Oracle on Google Cloud Compute</x:v>
      </x:c>
      <x:c r="C227" s="32" t="str">
        <x:v>Named service / product family</x:v>
      </x:c>
      <x:c r="D227" s="32" t="str">
        <x:v>Databases</x:v>
      </x:c>
      <x:c r="E227" s="32" t="str">
        <x:v>Oracle</x:v>
      </x:c>
      <x:c r="F227" s="32" t="str">
        <x:v>Managed Oracle database</x:v>
      </x:c>
      <x:c r="G227" s="32" t="str">
        <x:v>Operate Oracle database workloads through managed or cloud-hosted services.</x:v>
      </x:c>
      <x:c r="H227" s="32" t="str">
        <x:v>Close</x:v>
      </x:c>
      <x:c r="I227" s="32"/>
      <x:c r="J227" s="32" t="str">
        <x:v>https://docs.cloud.google.com/docs/product-list</x:v>
      </x:c>
      <x:c r="K227" s="32" t="str">
        <x:v>2026-07-12</x:v>
      </x:c>
    </x:row>
    <x:row r="228">
      <x:c r="A228" s="32" t="str">
        <x:v>Google Cloud</x:v>
      </x:c>
      <x:c r="B228" s="32" t="str">
        <x:v>Orchestration Pipelines</x:v>
      </x:c>
      <x:c r="C228" s="32" t="str">
        <x:v>Named service / product family</x:v>
      </x:c>
      <x:c r="D228" s="32" t="str">
        <x:v>Data, Analytics &amp; BI</x:v>
      </x:c>
      <x:c r="E228" s="32" t="str">
        <x:v>Data orchestration</x:v>
      </x:c>
      <x:c r="F228" s="32" t="str">
        <x:v>Data workflow orchestration</x:v>
      </x:c>
      <x:c r="G228" s="32" t="str">
        <x:v>Schedule and orchestrate dependent data pipelines and processing tasks.</x:v>
      </x:c>
      <x:c r="H228" s="32" t="str">
        <x:v>Close</x:v>
      </x:c>
      <x:c r="I228" s="32"/>
      <x:c r="J228" s="32" t="str">
        <x:v>https://docs.cloud.google.com/docs/product-list</x:v>
      </x:c>
      <x:c r="K228" s="32" t="str">
        <x:v>2026-07-12</x:v>
      </x:c>
    </x:row>
    <x:row r="229">
      <x:c r="A229" s="32" t="str">
        <x:v>Google Cloud</x:v>
      </x:c>
      <x:c r="B229" s="32" t="str">
        <x:v>Organization Policy Service</x:v>
      </x:c>
      <x:c r="C229" s="32" t="str">
        <x:v>Named service / product family</x:v>
      </x:c>
      <x:c r="D229" s="32" t="str">
        <x:v>Governance &amp; Management</x:v>
      </x:c>
      <x:c r="E229" s="32" t="str">
        <x:v>Policy</x:v>
      </x:c>
      <x:c r="F229" s="32" t="str">
        <x:v>Organisation policy enforcement</x:v>
      </x:c>
      <x:c r="G229" s="32" t="str">
        <x:v>Define and enforce preventive or detective policies across cloud resources.</x:v>
      </x:c>
      <x:c r="H229" s="32" t="str">
        <x:v>Close</x:v>
      </x:c>
      <x:c r="I229" s="32"/>
      <x:c r="J229" s="32" t="str">
        <x:v>https://docs.cloud.google.com/docs/product-list</x:v>
      </x:c>
      <x:c r="K229" s="32" t="str">
        <x:v>2026-07-12</x:v>
      </x:c>
    </x:row>
    <x:row r="230">
      <x:c r="A230" s="32" t="str">
        <x:v>Google Cloud</x:v>
      </x:c>
      <x:c r="B230" s="32" t="str">
        <x:v>partner application streaming on Google Cloud</x:v>
      </x:c>
      <x:c r="C230" s="32" t="str">
        <x:v>Architecture / partner alternative</x:v>
      </x:c>
      <x:c r="D230" s="32" t="str">
        <x:v>End-User Computing &amp; Business Apps</x:v>
      </x:c>
      <x:c r="E230" s="32" t="str">
        <x:v>Application streaming</x:v>
      </x:c>
      <x:c r="F230" s="32" t="str">
        <x:v>Application streaming</x:v>
      </x:c>
      <x:c r="G230" s="32" t="str">
        <x:v>Stream centrally managed desktop applications to users without full local installation.</x:v>
      </x:c>
      <x:c r="H230" s="32" t="str">
        <x:v>Close</x:v>
      </x:c>
      <x:c r="I230" s="32"/>
      <x:c r="J230" s="32" t="str">
        <x:v>https://docs.cloud.google.com/docs/product-list</x:v>
      </x:c>
      <x:c r="K230" s="32" t="str">
        <x:v>2026-07-12</x:v>
      </x:c>
    </x:row>
    <x:row r="231">
      <x:c r="A231" s="32" t="str">
        <x:v>Google Cloud</x:v>
      </x:c>
      <x:c r="B231" s="32" t="str">
        <x:v>partner email services</x:v>
      </x:c>
      <x:c r="C231" s="32" t="str">
        <x:v>Architecture / partner alternative</x:v>
      </x:c>
      <x:c r="D231" s="32" t="str">
        <x:v>Application Integration</x:v>
      </x:c>
      <x:c r="E231" s="32" t="str">
        <x:v>Email</x:v>
      </x:c>
      <x:c r="F231" s="32" t="str">
        <x:v>Transactional email</x:v>
      </x:c>
      <x:c r="G231" s="32" t="str">
        <x:v>Send application-generated transactional and bulk email.</x:v>
      </x:c>
      <x:c r="H231" s="32" t="str">
        <x:v>Partial</x:v>
      </x:c>
      <x:c r="I231" s="32"/>
      <x:c r="J231" s="32" t="str">
        <x:v>https://docs.cloud.google.com/docs/product-list</x:v>
      </x:c>
      <x:c r="K231" s="32" t="str">
        <x:v>2026-07-12</x:v>
      </x:c>
    </x:row>
    <x:row r="232">
      <x:c r="A232" s="32" t="str">
        <x:v>Google Cloud</x:v>
      </x:c>
      <x:c r="B232" s="32" t="str">
        <x:v>partner virtual desktop solutions on Google Cloud</x:v>
      </x:c>
      <x:c r="C232" s="32" t="str">
        <x:v>Architecture / partner alternative</x:v>
      </x:c>
      <x:c r="D232" s="32" t="str">
        <x:v>End-User Computing &amp; Business Apps</x:v>
      </x:c>
      <x:c r="E232" s="32" t="str">
        <x:v>Virtual desktops</x:v>
      </x:c>
      <x:c r="F232" s="32" t="str">
        <x:v>Managed virtual desktop</x:v>
      </x:c>
      <x:c r="G232" s="32" t="str">
        <x:v>Deliver cloud-hosted desktops and applications to end users.</x:v>
      </x:c>
      <x:c r="H232" s="32" t="str">
        <x:v>Partial</x:v>
      </x:c>
      <x:c r="I232" s="32"/>
      <x:c r="J232" s="32" t="str">
        <x:v>https://docs.cloud.google.com/docs/product-list</x:v>
      </x:c>
      <x:c r="K232" s="32" t="str">
        <x:v>2026-07-12</x:v>
      </x:c>
    </x:row>
    <x:row r="233">
      <x:c r="A233" s="32" t="str">
        <x:v>Google Cloud</x:v>
      </x:c>
      <x:c r="B233" s="32" t="str">
        <x:v>Persistent Disk</x:v>
      </x:c>
      <x:c r="C233" s="32" t="str">
        <x:v>Named service / product family</x:v>
      </x:c>
      <x:c r="D233" s="32" t="str">
        <x:v>Storage</x:v>
      </x:c>
      <x:c r="E233" s="32" t="str">
        <x:v>Block storage</x:v>
      </x:c>
      <x:c r="F233" s="32" t="str">
        <x:v>Persistent block storage</x:v>
      </x:c>
      <x:c r="G233" s="32" t="str">
        <x:v>Attach durable block volumes to virtual machines and stateful workloads.</x:v>
      </x:c>
      <x:c r="H233" s="32" t="str">
        <x:v>Exact</x:v>
      </x:c>
      <x:c r="I233" s="32"/>
      <x:c r="J233" s="32" t="str">
        <x:v>https://docs.cloud.google.com/docs/product-list</x:v>
      </x:c>
      <x:c r="K233" s="32" t="str">
        <x:v>2026-07-12</x:v>
      </x:c>
    </x:row>
    <x:row r="234">
      <x:c r="A234" s="32" t="str">
        <x:v>Google Cloud</x:v>
      </x:c>
      <x:c r="B234" s="32" t="str">
        <x:v>Personalized Service Health</x:v>
      </x:c>
      <x:c r="C234" s="32" t="str">
        <x:v>Named service / product family</x:v>
      </x:c>
      <x:c r="D234" s="32" t="str">
        <x:v>Governance &amp; Management
Observability &amp; Reliability</x:v>
      </x:c>
      <x:c r="E234" s="32" t="str">
        <x:v>Health
Status and maintenance</x:v>
      </x:c>
      <x:c r="F234" s="32" t="str">
        <x:v>Maintenance coordination
Personalised cloud service health</x:v>
      </x:c>
      <x:c r="G234" s="32" t="str">
        <x:v>Show provider incidents, planned maintenance and resource-specific impact.</x:v>
      </x:c>
      <x:c r="H234" s="32" t="str">
        <x:v>Close, Exact</x:v>
      </x:c>
      <x:c r="I234" s="32"/>
      <x:c r="J234" s="32" t="str">
        <x:v>https://docs.cloud.google.com/docs/product-list</x:v>
      </x:c>
      <x:c r="K234" s="32" t="str">
        <x:v>2026-07-12</x:v>
      </x:c>
    </x:row>
    <x:row r="235">
      <x:c r="A235" s="32" t="str">
        <x:v>Google Cloud</x:v>
      </x:c>
      <x:c r="B235" s="32" t="str">
        <x:v>Policy Controller</x:v>
      </x:c>
      <x:c r="C235" s="32" t="str">
        <x:v>Named service / product family</x:v>
      </x:c>
      <x:c r="D235" s="32" t="str">
        <x:v>Governance &amp; Management
Hybrid &amp; Multicloud</x:v>
      </x:c>
      <x:c r="E235" s="32" t="str">
        <x:v>Hybrid management
Policy</x:v>
      </x:c>
      <x:c r="F235" s="32" t="str">
        <x:v>Hybrid and multicloud control plane
Organisation policy enforcement</x:v>
      </x:c>
      <x:c r="G235" s="32" t="str">
        <x:v>Define and enforce preventive or detective policies across cloud resources.</x:v>
      </x:c>
      <x:c r="H235" s="32" t="str">
        <x:v>Close</x:v>
      </x:c>
      <x:c r="I235" s="32"/>
      <x:c r="J235" s="32" t="str">
        <x:v>https://docs.cloud.google.com/docs/product-list</x:v>
      </x:c>
      <x:c r="K235" s="32" t="str">
        <x:v>2026-07-12</x:v>
      </x:c>
    </x:row>
    <x:row r="236">
      <x:c r="A236" s="32" t="str">
        <x:v>Google Cloud</x:v>
      </x:c>
      <x:c r="B236" s="32" t="str">
        <x:v>Policy Intelligence</x:v>
      </x:c>
      <x:c r="C236" s="32" t="str">
        <x:v>Named service / product family</x:v>
      </x:c>
      <x:c r="D236" s="32" t="str">
        <x:v>Security, Identity &amp; Compliance</x:v>
      </x:c>
      <x:c r="E236" s="32" t="str">
        <x:v>Authorisation</x:v>
      </x:c>
      <x:c r="F236" s="32" t="str">
        <x:v>Fine-grained application authorisation</x:v>
      </x:c>
      <x:c r="G236" s="32" t="str">
        <x:v>Externalise and evaluate fine-grained application permissions and policies.</x:v>
      </x:c>
      <x:c r="H236" s="32" t="str">
        <x:v>Partial</x:v>
      </x:c>
      <x:c r="I236" s="32"/>
      <x:c r="J236" s="32" t="str">
        <x:v>https://docs.cloud.google.com/docs/product-list</x:v>
      </x:c>
      <x:c r="K236" s="32" t="str">
        <x:v>2026-07-12</x:v>
      </x:c>
    </x:row>
    <x:row r="237">
      <x:c r="A237" s="32" t="str">
        <x:v>Google Cloud</x:v>
      </x:c>
      <x:c r="B237" s="32" t="str">
        <x:v>Premium Network Service Tier</x:v>
      </x:c>
      <x:c r="C237" s="32" t="str">
        <x:v>Named service / product family</x:v>
      </x:c>
      <x:c r="D237" s="32" t="str">
        <x:v>Networking</x:v>
      </x:c>
      <x:c r="E237" s="32" t="str">
        <x:v>Global traffic</x:v>
      </x:c>
      <x:c r="F237" s="32" t="str">
        <x:v>Global application acceleration</x:v>
      </x:c>
      <x:c r="G237" s="32" t="str">
        <x:v>Route users to healthy regional endpoints over the provider's global network.</x:v>
      </x:c>
      <x:c r="H237" s="32" t="str">
        <x:v>Close</x:v>
      </x:c>
      <x:c r="I237" s="32"/>
      <x:c r="J237" s="32" t="str">
        <x:v>https://docs.cloud.google.com/docs/product-list</x:v>
      </x:c>
      <x:c r="K237" s="32" t="str">
        <x:v>2026-07-12</x:v>
      </x:c>
    </x:row>
    <x:row r="238">
      <x:c r="A238" s="32" t="str">
        <x:v>Google Cloud</x:v>
      </x:c>
      <x:c r="B238" s="32" t="str">
        <x:v>Private Service Connect</x:v>
      </x:c>
      <x:c r="C238" s="32" t="str">
        <x:v>Named service / product family</x:v>
      </x:c>
      <x:c r="D238" s="32" t="str">
        <x:v>Networking</x:v>
      </x:c>
      <x:c r="E238" s="32" t="str">
        <x:v>Private services</x:v>
      </x:c>
      <x:c r="F238" s="32" t="str">
        <x:v>Private service endpoint</x:v>
      </x:c>
      <x:c r="G238" s="32" t="str">
        <x:v>Access managed services privately without traversing the public internet.</x:v>
      </x:c>
      <x:c r="H238" s="32" t="str">
        <x:v>Exact</x:v>
      </x:c>
      <x:c r="I238" s="32"/>
      <x:c r="J238" s="32" t="str">
        <x:v>https://docs.cloud.google.com/docs/product-list</x:v>
      </x:c>
      <x:c r="K238" s="32" t="str">
        <x:v>2026-07-12</x:v>
      </x:c>
    </x:row>
    <x:row r="239">
      <x:c r="A239" s="32" t="str">
        <x:v>Google Cloud</x:v>
      </x:c>
      <x:c r="B239" s="32" t="str">
        <x:v>Pub/Sub</x:v>
      </x:c>
      <x:c r="C239" s="32" t="str">
        <x:v>Product family / combined pattern</x:v>
      </x:c>
      <x:c r="D239" s="32" t="str">
        <x:v>Application Integration
Data, Analytics &amp; BI
IoT &amp; Edge</x:v>
      </x:c>
      <x:c r="E239" s="32" t="str">
        <x:v>Event detection
IoT connectivity
Messaging
Pub/sub
Streaming ingestion</x:v>
      </x:c>
      <x:c r="F239" s="32" t="str">
        <x:v>IoT event detection
Managed IoT messaging
Managed message queue
Publish-subscribe messaging
Streaming event ingestion</x:v>
      </x:c>
      <x:c r="G239" s="32" t="str">
        <x:v>Ingest high-volume event streams for near-real-time processing.</x:v>
      </x:c>
      <x:c r="H239" s="32" t="str">
        <x:v>Close, Partial</x:v>
      </x:c>
      <x:c r="I239" s="32" t="str">
        <x:v>Google Cloud retired its first-party IoT Core; current implementations use partners and core platform services.</x:v>
      </x:c>
      <x:c r="J239" s="32" t="str">
        <x:v>https://docs.cloud.google.com/docs/product-list</x:v>
      </x:c>
      <x:c r="K239" s="32" t="str">
        <x:v>2026-07-12</x:v>
      </x:c>
    </x:row>
    <x:row r="240">
      <x:c r="A240" s="32" t="str">
        <x:v>Google Cloud</x:v>
      </x:c>
      <x:c r="B240" s="32" t="str">
        <x:v>Pub/Sub / partner managed brokers</x:v>
      </x:c>
      <x:c r="C240" s="32" t="str">
        <x:v>Architecture / partner alternative</x:v>
      </x:c>
      <x:c r="D240" s="32" t="str">
        <x:v>Application Integration</x:v>
      </x:c>
      <x:c r="E240" s="32" t="str">
        <x:v>Managed MQ</x:v>
      </x:c>
      <x:c r="F240" s="32" t="str">
        <x:v>Managed message broker</x:v>
      </x:c>
      <x:c r="G240" s="32" t="str">
        <x:v>Run managed enterprise message brokers using familiar protocols.</x:v>
      </x:c>
      <x:c r="H240" s="32" t="str">
        <x:v>Partial</x:v>
      </x:c>
      <x:c r="I240" s="32"/>
      <x:c r="J240" s="32" t="str">
        <x:v>https://docs.cloud.google.com/docs/product-list</x:v>
      </x:c>
      <x:c r="K240" s="32" t="str">
        <x:v>2026-07-12</x:v>
      </x:c>
    </x:row>
    <x:row r="241">
      <x:c r="A241" s="32" t="str">
        <x:v>Google Cloud</x:v>
      </x:c>
      <x:c r="B241" s="32" t="str">
        <x:v>Quantum AI services and partner access</x:v>
      </x:c>
      <x:c r="C241" s="32" t="str">
        <x:v>Architecture / partner alternative</x:v>
      </x:c>
      <x:c r="D241" s="32" t="str">
        <x:v>Compute &amp; Application Hosting</x:v>
      </x:c>
      <x:c r="E241" s="32" t="str">
        <x:v>Quantum</x:v>
      </x:c>
      <x:c r="F241" s="32" t="str">
        <x:v>Managed quantum computing</x:v>
      </x:c>
      <x:c r="G241" s="32" t="str">
        <x:v>Develop, simulate and execute quantum algorithms using cloud-accessible hardware.</x:v>
      </x:c>
      <x:c r="H241" s="32" t="str">
        <x:v>Partial</x:v>
      </x:c>
      <x:c r="I241" s="32"/>
      <x:c r="J241" s="32" t="str">
        <x:v>https://docs.cloud.google.com/docs/product-list</x:v>
      </x:c>
      <x:c r="K241" s="32" t="str">
        <x:v>2026-07-12</x:v>
      </x:c>
    </x:row>
    <x:row r="242">
      <x:c r="A242" s="32" t="str">
        <x:v>Google Cloud</x:v>
      </x:c>
      <x:c r="B242" s="32" t="str">
        <x:v>Ray on Gemini Enterprise Agent Platform</x:v>
      </x:c>
      <x:c r="C242" s="32" t="str">
        <x:v>Named service / product family</x:v>
      </x:c>
      <x:c r="D242" s="32" t="str">
        <x:v>AI &amp; Machine Learning</x:v>
      </x:c>
      <x:c r="E242" s="32" t="str">
        <x:v>Distributed ML</x:v>
      </x:c>
      <x:c r="F242" s="32" t="str">
        <x:v>Distributed ML execution</x:v>
      </x:c>
      <x:c r="G242" s="32" t="str">
        <x:v>Scale Python, ML and AI workloads across distributed compute clusters.</x:v>
      </x:c>
      <x:c r="H242" s="32" t="str">
        <x:v>Close</x:v>
      </x:c>
      <x:c r="I242" s="32"/>
      <x:c r="J242" s="32" t="str">
        <x:v>https://docs.cloud.google.com/docs/product-list</x:v>
      </x:c>
      <x:c r="K242" s="32" t="str">
        <x:v>2026-07-12</x:v>
      </x:c>
    </x:row>
    <x:row r="243">
      <x:c r="A243" s="32" t="str">
        <x:v>Google Cloud</x:v>
      </x:c>
      <x:c r="B243" s="32" t="str">
        <x:v>Recommendations AI / AI Commerce Search</x:v>
      </x:c>
      <x:c r="C243" s="32" t="str">
        <x:v>Product family / combined pattern</x:v>
      </x:c>
      <x:c r="D243" s="32" t="str">
        <x:v>AI &amp; Machine Learning</x:v>
      </x:c>
      <x:c r="E243" s="32" t="str">
        <x:v>Personalisation</x:v>
      </x:c>
      <x:c r="F243" s="32" t="str">
        <x:v>Managed recommendations</x:v>
      </x:c>
      <x:c r="G243" s="32" t="str">
        <x:v>Deliver personalised rankings and recommendations from behavioural data.</x:v>
      </x:c>
      <x:c r="H243" s="32" t="str">
        <x:v>Partial</x:v>
      </x:c>
      <x:c r="I243" s="32"/>
      <x:c r="J243" s="32" t="str">
        <x:v>https://docs.cloud.google.com/docs/product-list</x:v>
      </x:c>
      <x:c r="K243" s="32" t="str">
        <x:v>2026-07-12</x:v>
      </x:c>
    </x:row>
    <x:row r="244">
      <x:c r="A244" s="32" t="str">
        <x:v>Google Cloud</x:v>
      </x:c>
      <x:c r="B244" s="32" t="str">
        <x:v>Recommender</x:v>
      </x:c>
      <x:c r="C244" s="32" t="str">
        <x:v>Named service / product family</x:v>
      </x:c>
      <x:c r="D244" s="32" t="str">
        <x:v>FinOps &amp; Commercial
Governance &amp; Management</x:v>
      </x:c>
      <x:c r="E244" s="32" t="str">
        <x:v>Architecture assurance
Cost management</x:v>
      </x:c>
      <x:c r="F244" s="32" t="str">
        <x:v>Cost analysis and optimisation
Well-architected assessment</x:v>
      </x:c>
      <x:c r="G244" s="32" t="str">
        <x:v>Assess workloads against cloud architecture, resilience, security and cost practices.</x:v>
      </x:c>
      <x:c r="H244" s="32" t="str">
        <x:v>Close</x:v>
      </x:c>
      <x:c r="I244" s="32"/>
      <x:c r="J244" s="32" t="str">
        <x:v>https://docs.cloud.google.com/docs/product-list</x:v>
      </x:c>
      <x:c r="K244" s="32" t="str">
        <x:v>2026-07-12</x:v>
      </x:c>
    </x:row>
    <x:row r="245">
      <x:c r="A245" s="32" t="str">
        <x:v>Google Cloud</x:v>
      </x:c>
      <x:c r="B245" s="32" t="str">
        <x:v>Resource Manager</x:v>
      </x:c>
      <x:c r="C245" s="32" t="str">
        <x:v>Named service / product family</x:v>
      </x:c>
      <x:c r="D245" s="32" t="str">
        <x:v>Governance &amp; Management</x:v>
      </x:c>
      <x:c r="E245" s="32" t="str">
        <x:v>Organisation governance</x:v>
      </x:c>
      <x:c r="F245" s="32" t="str">
        <x:v>Cloud organisation and account hierarchy</x:v>
      </x:c>
      <x:c r="G245" s="32" t="str">
        <x:v>Centrally organise subscriptions/accounts/projects, apply hierarchy and consolidate governance.</x:v>
      </x:c>
      <x:c r="H245" s="32" t="str">
        <x:v>Exact</x:v>
      </x:c>
      <x:c r="I245" s="32"/>
      <x:c r="J245" s="32" t="str">
        <x:v>https://docs.cloud.google.com/docs/product-list</x:v>
      </x:c>
      <x:c r="K245" s="32" t="str">
        <x:v>2026-07-12</x:v>
      </x:c>
    </x:row>
    <x:row r="246">
      <x:c r="A246" s="32" t="str">
        <x:v>Google Cloud</x:v>
      </x:c>
      <x:c r="B246" s="32" t="str">
        <x:v>Runtime Configurator legacy / Secret Manager / Firestore patterns</x:v>
      </x:c>
      <x:c r="C246" s="32" t="str">
        <x:v>Architecture / partner alternative</x:v>
      </x:c>
      <x:c r="D246" s="32" t="str">
        <x:v>Developer Tools &amp; DevOps</x:v>
      </x:c>
      <x:c r="E246" s="32" t="str">
        <x:v>Application configuration</x:v>
      </x:c>
      <x:c r="F246" s="32" t="str">
        <x:v>Central application configuration</x:v>
      </x:c>
      <x:c r="G246" s="32" t="str">
        <x:v>Store and distribute application configuration and feature settings.</x:v>
      </x:c>
      <x:c r="H246" s="32" t="str">
        <x:v>Partial</x:v>
      </x:c>
      <x:c r="I246" s="32"/>
      <x:c r="J246" s="32" t="str">
        <x:v>https://docs.cloud.google.com/docs/product-list</x:v>
      </x:c>
      <x:c r="K246" s="32" t="str">
        <x:v>2026-07-12</x:v>
      </x:c>
    </x:row>
    <x:row r="247">
      <x:c r="A247" s="32" t="str">
        <x:v>Google Cloud</x:v>
      </x:c>
      <x:c r="B247" s="32" t="str">
        <x:v>SAP on Google Cloud</x:v>
      </x:c>
      <x:c r="C247" s="32" t="str">
        <x:v>Named service / product family</x:v>
      </x:c>
      <x:c r="D247" s="32" t="str">
        <x:v>Compute &amp; Application Hosting</x:v>
      </x:c>
      <x:c r="E247" s="32" t="str">
        <x:v>SAP</x:v>
      </x:c>
      <x:c r="F247" s="32" t="str">
        <x:v>SAP workload platform</x:v>
      </x:c>
      <x:c r="G247" s="32" t="str">
        <x:v>Run certified SAP applications and databases on cloud infrastructure.</x:v>
      </x:c>
      <x:c r="H247" s="32" t="str">
        <x:v>Exact</x:v>
      </x:c>
      <x:c r="I247" s="32"/>
      <x:c r="J247" s="32" t="str">
        <x:v>https://docs.cloud.google.com/docs/product-list</x:v>
      </x:c>
      <x:c r="K247" s="32" t="str">
        <x:v>2026-07-12</x:v>
      </x:c>
    </x:row>
    <x:row r="248">
      <x:c r="A248" s="32" t="str">
        <x:v>Google Cloud</x:v>
      </x:c>
      <x:c r="B248" s="32" t="str">
        <x:v>Secret Manager</x:v>
      </x:c>
      <x:c r="C248" s="32" t="str">
        <x:v>Named service / product family</x:v>
      </x:c>
      <x:c r="D248" s="32" t="str">
        <x:v>Security, Identity &amp; Compliance</x:v>
      </x:c>
      <x:c r="E248" s="32" t="str">
        <x:v>Secrets</x:v>
      </x:c>
      <x:c r="F248" s="32" t="str">
        <x:v>Secrets management</x:v>
      </x:c>
      <x:c r="G248" s="32" t="str">
        <x:v>Securely store, rotate and retrieve application credentials and secrets.</x:v>
      </x:c>
      <x:c r="H248" s="32" t="str">
        <x:v>Exact</x:v>
      </x:c>
      <x:c r="I248" s="32"/>
      <x:c r="J248" s="32" t="str">
        <x:v>https://docs.cloud.google.com/docs/product-list</x:v>
      </x:c>
      <x:c r="K248" s="32" t="str">
        <x:v>2026-07-12</x:v>
      </x:c>
    </x:row>
    <x:row r="249">
      <x:c r="A249" s="32" t="str">
        <x:v>Google Cloud</x:v>
      </x:c>
      <x:c r="B249" s="32" t="str">
        <x:v>Secure Source Manager</x:v>
      </x:c>
      <x:c r="C249" s="32" t="str">
        <x:v>Named service / product family</x:v>
      </x:c>
      <x:c r="D249" s="32" t="str">
        <x:v>Developer Tools &amp; DevOps</x:v>
      </x:c>
      <x:c r="E249" s="32" t="str">
        <x:v>Source control</x:v>
      </x:c>
      <x:c r="F249" s="32" t="str">
        <x:v>Managed Git repositories</x:v>
      </x:c>
      <x:c r="G249" s="32" t="str">
        <x:v>Host private Git repositories with access control and development integrations.</x:v>
      </x:c>
      <x:c r="H249" s="32" t="str">
        <x:v>Close</x:v>
      </x:c>
      <x:c r="I249" s="32"/>
      <x:c r="J249" s="32" t="str">
        <x:v>https://docs.cloud.google.com/docs/product-list</x:v>
      </x:c>
      <x:c r="K249" s="32" t="str">
        <x:v>2026-07-12</x:v>
      </x:c>
    </x:row>
    <x:row r="250">
      <x:c r="A250" s="32" t="str">
        <x:v>Google Cloud</x:v>
      </x:c>
      <x:c r="B250" s="32" t="str">
        <x:v>Security Command Center</x:v>
      </x:c>
      <x:c r="C250" s="32" t="str">
        <x:v>Named service / product family</x:v>
      </x:c>
      <x:c r="D250" s="32" t="str">
        <x:v>Governance &amp; Management
Security, Identity &amp; Compliance</x:v>
      </x:c>
      <x:c r="E250" s="32" t="str">
        <x:v>Configuration management
Security posture
Threat detection
Vulnerability management</x:v>
      </x:c>
      <x:c r="F250" s="32" t="str">
        <x:v>Cloud security posture management
Cloud threat detection
Configuration compliance
Workload vulnerability assessment</x:v>
      </x:c>
      <x:c r="G250" s="32" t="str">
        <x:v>Track configuration changes and assess resources against required baselines.</x:v>
      </x:c>
      <x:c r="H250" s="32" t="str">
        <x:v>Close, Exact</x:v>
      </x:c>
      <x:c r="I250" s="32"/>
      <x:c r="J250" s="32" t="str">
        <x:v>https://docs.cloud.google.com/docs/product-list</x:v>
      </x:c>
      <x:c r="K250" s="32" t="str">
        <x:v>2026-07-12</x:v>
      </x:c>
    </x:row>
    <x:row r="251">
      <x:c r="A251" s="32" t="str">
        <x:v>Google Cloud</x:v>
      </x:c>
      <x:c r="B251" s="32" t="str">
        <x:v>Security Command Center / partner IoT security</x:v>
      </x:c>
      <x:c r="C251" s="32" t="str">
        <x:v>Architecture / partner alternative</x:v>
      </x:c>
      <x:c r="D251" s="32" t="str">
        <x:v>IoT &amp; Edge</x:v>
      </x:c>
      <x:c r="E251" s="32" t="str">
        <x:v>IoT security</x:v>
      </x:c>
      <x:c r="F251" s="32" t="str">
        <x:v>IoT security monitoring</x:v>
      </x:c>
      <x:c r="G251" s="32" t="str">
        <x:v>Audit device configurations and detect anomalous IoT behaviour.</x:v>
      </x:c>
      <x:c r="H251" s="32" t="str">
        <x:v>Partial</x:v>
      </x:c>
      <x:c r="I251" s="32"/>
      <x:c r="J251" s="32" t="str">
        <x:v>https://docs.cloud.google.com/docs/product-list</x:v>
      </x:c>
      <x:c r="K251" s="32" t="str">
        <x:v>2026-07-12</x:v>
      </x:c>
    </x:row>
    <x:row r="252">
      <x:c r="A252" s="32" t="str">
        <x:v>Google Cloud</x:v>
      </x:c>
      <x:c r="B252" s="32" t="str">
        <x:v>Security Command Center AI Protection</x:v>
      </x:c>
      <x:c r="C252" s="32" t="str">
        <x:v>Named service / product family</x:v>
      </x:c>
      <x:c r="D252" s="32" t="str">
        <x:v>AI &amp; Machine Learning</x:v>
      </x:c>
      <x:c r="E252" s="32" t="str">
        <x:v>AI security</x:v>
      </x:c>
      <x:c r="F252" s="32" t="str">
        <x:v>AI security posture management</x:v>
      </x:c>
      <x:c r="G252" s="32" t="str">
        <x:v>Discover AI workloads, identify risks and monitor threats affecting AI systems.</x:v>
      </x:c>
      <x:c r="H252" s="32" t="str">
        <x:v>Partial</x:v>
      </x:c>
      <x:c r="I252" s="32"/>
      <x:c r="J252" s="32" t="str">
        <x:v>https://docs.cloud.google.com/docs/product-list</x:v>
      </x:c>
      <x:c r="K252" s="32" t="str">
        <x:v>2026-07-12</x:v>
      </x:c>
    </x:row>
    <x:row r="253">
      <x:c r="A253" s="32" t="str">
        <x:v>Google Cloud</x:v>
      </x:c>
      <x:c r="B253" s="32" t="str">
        <x:v>Security Command Center attack-path and exposure management</x:v>
      </x:c>
      <x:c r="C253" s="32" t="str">
        <x:v>Named service / product family</x:v>
      </x:c>
      <x:c r="D253" s="32" t="str">
        <x:v>Security, Identity &amp; Compliance</x:v>
      </x:c>
      <x:c r="E253" s="32" t="str">
        <x:v>External attack surface</x:v>
      </x:c>
      <x:c r="F253" s="32" t="str">
        <x:v>External attack-surface management</x:v>
      </x:c>
      <x:c r="G253" s="32" t="str">
        <x:v>Discover internet-exposed assets and assess external risk.</x:v>
      </x:c>
      <x:c r="H253" s="32" t="str">
        <x:v>Partial</x:v>
      </x:c>
      <x:c r="I253" s="32"/>
      <x:c r="J253" s="32" t="str">
        <x:v>https://docs.cloud.google.com/docs/product-list</x:v>
      </x:c>
      <x:c r="K253" s="32" t="str">
        <x:v>2026-07-12</x:v>
      </x:c>
    </x:row>
    <x:row r="254">
      <x:c r="A254" s="32" t="str">
        <x:v>Google Cloud</x:v>
      </x:c>
      <x:c r="B254" s="32" t="str">
        <x:v>Sensitive Data Protection</x:v>
      </x:c>
      <x:c r="C254" s="32" t="str">
        <x:v>Named service / product family</x:v>
      </x:c>
      <x:c r="D254" s="32" t="str">
        <x:v>Security, Identity &amp; Compliance</x:v>
      </x:c>
      <x:c r="E254" s="32" t="str">
        <x:v>Data discovery</x:v>
      </x:c>
      <x:c r="F254" s="32" t="str">
        <x:v>Sensitive-data discovery</x:v>
      </x:c>
      <x:c r="G254" s="32" t="str">
        <x:v>Discover, classify and monitor sensitive data held in cloud services.</x:v>
      </x:c>
      <x:c r="H254" s="32" t="str">
        <x:v>Close</x:v>
      </x:c>
      <x:c r="I254" s="32"/>
      <x:c r="J254" s="32" t="str">
        <x:v>https://docs.cloud.google.com/docs/product-list</x:v>
      </x:c>
      <x:c r="K254" s="32" t="str">
        <x:v>2026-07-12</x:v>
      </x:c>
    </x:row>
    <x:row r="255">
      <x:c r="A255" s="32" t="str">
        <x:v>Google Cloud</x:v>
      </x:c>
      <x:c r="B255" s="32" t="str">
        <x:v>Service Catalog</x:v>
      </x:c>
      <x:c r="C255" s="32" t="str">
        <x:v>Named service / product family</x:v>
      </x:c>
      <x:c r="D255" s="32" t="str">
        <x:v>Governance &amp; Management</x:v>
      </x:c>
      <x:c r="E255" s="32" t="str">
        <x:v>Service catalogue</x:v>
      </x:c>
      <x:c r="F255" s="32" t="str">
        <x:v>Approved service catalogue</x:v>
      </x:c>
      <x:c r="G255" s="32" t="str">
        <x:v>Publish governed, reusable infrastructure and application products for internal teams.</x:v>
      </x:c>
      <x:c r="H255" s="32" t="str">
        <x:v>Partial</x:v>
      </x:c>
      <x:c r="I255" s="32"/>
      <x:c r="J255" s="32" t="str">
        <x:v>https://docs.cloud.google.com/docs/product-list</x:v>
      </x:c>
      <x:c r="K255" s="32" t="str">
        <x:v>2026-07-12</x:v>
      </x:c>
    </x:row>
    <x:row r="256">
      <x:c r="A256" s="32" t="str">
        <x:v>Google Cloud</x:v>
      </x:c>
      <x:c r="B256" s="32" t="str">
        <x:v>Service Directory</x:v>
      </x:c>
      <x:c r="C256" s="32" t="str">
        <x:v>Named service / product family</x:v>
      </x:c>
      <x:c r="D256" s="32" t="str">
        <x:v>Networking</x:v>
      </x:c>
      <x:c r="E256" s="32" t="str">
        <x:v>Service discovery</x:v>
      </x:c>
      <x:c r="F256" s="32" t="str">
        <x:v>Service discovery</x:v>
      </x:c>
      <x:c r="G256" s="32" t="str">
        <x:v>Register and discover services by logical name and health.</x:v>
      </x:c>
      <x:c r="H256" s="32" t="str">
        <x:v>Close</x:v>
      </x:c>
      <x:c r="I256" s="32"/>
      <x:c r="J256" s="32" t="str">
        <x:v>https://docs.cloud.google.com/docs/product-list</x:v>
      </x:c>
      <x:c r="K256" s="32" t="str">
        <x:v>2026-07-12</x:v>
      </x:c>
    </x:row>
    <x:row r="257">
      <x:c r="A257" s="32" t="str">
        <x:v>Google Cloud</x:v>
      </x:c>
      <x:c r="B257" s="32" t="str">
        <x:v>Software supply chain security</x:v>
      </x:c>
      <x:c r="C257" s="32" t="str">
        <x:v>Named service / product family</x:v>
      </x:c>
      <x:c r="D257" s="32" t="str">
        <x:v>Developer Tools &amp; DevOps</x:v>
      </x:c>
      <x:c r="E257" s="32" t="str">
        <x:v>Artifact security</x:v>
      </x:c>
      <x:c r="F257" s="32" t="str">
        <x:v>Software artifact analysis</x:v>
      </x:c>
      <x:c r="G257" s="32" t="str">
        <x:v>Scan packages and container images for vulnerabilities and supply-chain risk.</x:v>
      </x:c>
      <x:c r="H257" s="32" t="str">
        <x:v>Close</x:v>
      </x:c>
      <x:c r="I257" s="32"/>
      <x:c r="J257" s="32" t="str">
        <x:v>https://docs.cloud.google.com/docs/product-list</x:v>
      </x:c>
      <x:c r="K257" s="32" t="str">
        <x:v>2026-07-12</x:v>
      </x:c>
    </x:row>
    <x:row r="258">
      <x:c r="A258" s="32" t="str">
        <x:v>Google Cloud</x:v>
      </x:c>
      <x:c r="B258" s="32" t="str">
        <x:v>Sole-tenant nodes</x:v>
      </x:c>
      <x:c r="C258" s="32" t="str">
        <x:v>Named service / product family</x:v>
      </x:c>
      <x:c r="D258" s="32" t="str">
        <x:v>Compute &amp; Application Hosting</x:v>
      </x:c>
      <x:c r="E258" s="32" t="str">
        <x:v>Dedicated compute</x:v>
      </x:c>
      <x:c r="F258" s="32" t="str">
        <x:v>Dedicated hosts</x:v>
      </x:c>
      <x:c r="G258" s="32" t="str">
        <x:v>Run virtual machines on isolated physical servers dedicated to one customer.</x:v>
      </x:c>
      <x:c r="H258" s="32" t="str">
        <x:v>Exact</x:v>
      </x:c>
      <x:c r="I258" s="32"/>
      <x:c r="J258" s="32" t="str">
        <x:v>https://docs.cloud.google.com/docs/product-list</x:v>
      </x:c>
      <x:c r="K258" s="32" t="str">
        <x:v>2026-07-12</x:v>
      </x:c>
    </x:row>
    <x:row r="259">
      <x:c r="A259" s="32" t="str">
        <x:v>Google Cloud</x:v>
      </x:c>
      <x:c r="B259" s="32" t="str">
        <x:v>Sovereign Controls by Partners</x:v>
      </x:c>
      <x:c r="C259" s="32" t="str">
        <x:v>Architecture / partner alternative</x:v>
      </x:c>
      <x:c r="D259" s="32" t="str">
        <x:v>Industry &amp; Specialist</x:v>
      </x:c>
      <x:c r="E259" s="32" t="str">
        <x:v>Sovereign cloud</x:v>
      </x:c>
      <x:c r="F259" s="32" t="str">
        <x:v>Sovereign and regulated cloud controls</x:v>
      </x:c>
      <x:c r="G259" s="32" t="str">
        <x:v>Meet residency, operational sovereignty and regulated-industry control requirements.</x:v>
      </x:c>
      <x:c r="H259" s="32" t="str">
        <x:v>Close</x:v>
      </x:c>
      <x:c r="I259" s="32"/>
      <x:c r="J259" s="32" t="str">
        <x:v>https://docs.cloud.google.com/docs/product-list</x:v>
      </x:c>
      <x:c r="K259" s="32" t="str">
        <x:v>2026-07-12</x:v>
      </x:c>
    </x:row>
    <x:row r="260">
      <x:c r="A260" s="32" t="str">
        <x:v>Google Cloud</x:v>
      </x:c>
      <x:c r="B260" s="32" t="str">
        <x:v>Spanner</x:v>
      </x:c>
      <x:c r="C260" s="32" t="str">
        <x:v>Named service / product family</x:v>
      </x:c>
      <x:c r="D260" s="32" t="str">
        <x:v>Databases</x:v>
      </x:c>
      <x:c r="E260" s="32" t="str">
        <x:v>Distributed SQL</x:v>
      </x:c>
      <x:c r="F260" s="32" t="str">
        <x:v>Globally distributed relational database</x:v>
      </x:c>
      <x:c r="G260" s="32" t="str">
        <x:v>Provide strongly consistent relational transactions across regions at horizontal scale.</x:v>
      </x:c>
      <x:c r="H260" s="32" t="str">
        <x:v>Partial</x:v>
      </x:c>
      <x:c r="I260" s="32"/>
      <x:c r="J260" s="32" t="str">
        <x:v>https://docs.cloud.google.com/docs/product-list</x:v>
      </x:c>
      <x:c r="K260" s="32" t="str">
        <x:v>2026-07-12</x:v>
      </x:c>
    </x:row>
    <x:row r="261">
      <x:c r="A261" s="32" t="str">
        <x:v>Google Cloud</x:v>
      </x:c>
      <x:c r="B261" s="32" t="str">
        <x:v>Spanner Graph</x:v>
      </x:c>
      <x:c r="C261" s="32" t="str">
        <x:v>Named service / product family</x:v>
      </x:c>
      <x:c r="D261" s="32" t="str">
        <x:v>Databases</x:v>
      </x:c>
      <x:c r="E261" s="32" t="str">
        <x:v>Graph database</x:v>
      </x:c>
      <x:c r="F261" s="32" t="str">
        <x:v>Managed graph database</x:v>
      </x:c>
      <x:c r="G261" s="32" t="str">
        <x:v>Store and query highly connected data using graph models and traversals.</x:v>
      </x:c>
      <x:c r="H261" s="32" t="str">
        <x:v>Close</x:v>
      </x:c>
      <x:c r="I261" s="32"/>
      <x:c r="J261" s="32" t="str">
        <x:v>https://docs.cloud.google.com/docs/product-list</x:v>
      </x:c>
      <x:c r="K261" s="32" t="str">
        <x:v>2026-07-12</x:v>
      </x:c>
    </x:row>
    <x:row r="262">
      <x:c r="A262" s="32" t="str">
        <x:v>Google Cloud</x:v>
      </x:c>
      <x:c r="B262" s="32" t="str">
        <x:v>Speech-to-Text</x:v>
      </x:c>
      <x:c r="C262" s="32" t="str">
        <x:v>Named service / product family</x:v>
      </x:c>
      <x:c r="D262" s="32" t="str">
        <x:v>AI &amp; Machine Learning</x:v>
      </x:c>
      <x:c r="E262" s="32" t="str">
        <x:v>Speech</x:v>
      </x:c>
      <x:c r="F262" s="32" t="str">
        <x:v>Speech-to-text</x:v>
      </x:c>
      <x:c r="G262" s="32" t="str">
        <x:v>Convert live or recorded speech into text.</x:v>
      </x:c>
      <x:c r="H262" s="32" t="str">
        <x:v>Exact</x:v>
      </x:c>
      <x:c r="I262" s="32"/>
      <x:c r="J262" s="32" t="str">
        <x:v>https://docs.cloud.google.com/docs/product-list</x:v>
      </x:c>
      <x:c r="K262" s="32" t="str">
        <x:v>2026-07-12</x:v>
      </x:c>
    </x:row>
    <x:row r="263">
      <x:c r="A263" s="32" t="str">
        <x:v>Google Cloud</x:v>
      </x:c>
      <x:c r="B263" s="32" t="str">
        <x:v>Spot VMs</x:v>
      </x:c>
      <x:c r="C263" s="32" t="str">
        <x:v>Named service / product family</x:v>
      </x:c>
      <x:c r="D263" s="32" t="str">
        <x:v>Compute &amp; Application Hosting</x:v>
      </x:c>
      <x:c r="E263" s="32" t="str">
        <x:v>Discount compute</x:v>
      </x:c>
      <x:c r="F263" s="32" t="str">
        <x:v>Interruptible compute</x:v>
      </x:c>
      <x:c r="G263" s="32" t="str">
        <x:v>Run fault-tolerant workloads on discounted spare compute capacity.</x:v>
      </x:c>
      <x:c r="H263" s="32" t="str">
        <x:v>Exact</x:v>
      </x:c>
      <x:c r="I263" s="32"/>
      <x:c r="J263" s="32" t="str">
        <x:v>https://docs.cloud.google.com/docs/product-list</x:v>
      </x:c>
      <x:c r="K263" s="32" t="str">
        <x:v>2026-07-12</x:v>
      </x:c>
    </x:row>
    <x:row r="264">
      <x:c r="A264" s="32" t="str">
        <x:v>Google Cloud</x:v>
      </x:c>
      <x:c r="B264" s="32" t="str">
        <x:v>Storage Insights / Cloud Asset Inventory</x:v>
      </x:c>
      <x:c r="C264" s="32" t="str">
        <x:v>Product family / combined pattern</x:v>
      </x:c>
      <x:c r="D264" s="32" t="str">
        <x:v>Storage</x:v>
      </x:c>
      <x:c r="E264" s="32" t="str">
        <x:v>Storage management</x:v>
      </x:c>
      <x:c r="F264" s="32" t="str">
        <x:v>Storage resource management</x:v>
      </x:c>
      <x:c r="G264" s="32" t="str">
        <x:v>Discover, assess and automate actions across cloud storage resources.</x:v>
      </x:c>
      <x:c r="H264" s="32" t="str">
        <x:v>Partial</x:v>
      </x:c>
      <x:c r="I264" s="32"/>
      <x:c r="J264" s="32" t="str">
        <x:v>https://docs.cloud.google.com/docs/product-list</x:v>
      </x:c>
      <x:c r="K264" s="32" t="str">
        <x:v>2026-07-12</x:v>
      </x:c>
    </x:row>
    <x:row r="265">
      <x:c r="A265" s="32" t="str">
        <x:v>Google Cloud</x:v>
      </x:c>
      <x:c r="B265" s="32" t="str">
        <x:v>Storage Transfer Service</x:v>
      </x:c>
      <x:c r="C265" s="32" t="str">
        <x:v>Named service / product family</x:v>
      </x:c>
      <x:c r="D265" s="32" t="str">
        <x:v>Migration &amp; Modernisation
Storage</x:v>
      </x:c>
      <x:c r="E265" s="32" t="str">
        <x:v>Cross-cloud data transfer
Data transfer</x:v>
      </x:c>
      <x:c r="F265" s="32" t="str">
        <x:v>Cross-cloud data movement
Online data transfer</x:v>
      </x:c>
      <x:c r="G265" s="32" t="str">
        <x:v>Transfer large datasets between on-premises systems, clouds and cloud storage.</x:v>
      </x:c>
      <x:c r="H265" s="32" t="str">
        <x:v>Close</x:v>
      </x:c>
      <x:c r="I265" s="32"/>
      <x:c r="J265" s="32" t="str">
        <x:v>https://docs.cloud.google.com/docs/product-list</x:v>
      </x:c>
      <x:c r="K265" s="32" t="str">
        <x:v>2026-07-12</x:v>
      </x:c>
    </x:row>
    <x:row r="266">
      <x:c r="A266" s="32" t="str">
        <x:v>Google Cloud</x:v>
      </x:c>
      <x:c r="B266" s="32" t="str">
        <x:v>Storage Transfer Service / partner SFTP</x:v>
      </x:c>
      <x:c r="C266" s="32" t="str">
        <x:v>Architecture / partner alternative</x:v>
      </x:c>
      <x:c r="D266" s="32" t="str">
        <x:v>Migration &amp; Modernisation</x:v>
      </x:c>
      <x:c r="E266" s="32" t="str">
        <x:v>File transfer</x:v>
      </x:c>
      <x:c r="F266" s="32" t="str">
        <x:v>Managed file transfer</x:v>
      </x:c>
      <x:c r="G266" s="32" t="str">
        <x:v>Transfer files using managed SFTP, FTPS or FTP endpoints.</x:v>
      </x:c>
      <x:c r="H266" s="32" t="str">
        <x:v>Partial</x:v>
      </x:c>
      <x:c r="I266" s="32"/>
      <x:c r="J266" s="32" t="str">
        <x:v>https://docs.cloud.google.com/docs/product-list</x:v>
      </x:c>
      <x:c r="K266" s="32" t="str">
        <x:v>2026-07-12</x:v>
      </x:c>
    </x:row>
    <x:row r="267">
      <x:c r="A267" s="32" t="str">
        <x:v>Google Cloud</x:v>
      </x:c>
      <x:c r="B267" s="32" t="str">
        <x:v>Storage Transfer Service agents</x:v>
      </x:c>
      <x:c r="C267" s="32" t="str">
        <x:v>Named service / product family</x:v>
      </x:c>
      <x:c r="D267" s="32" t="str">
        <x:v>Storage</x:v>
      </x:c>
      <x:c r="E267" s="32" t="str">
        <x:v>Hybrid storage</x:v>
      </x:c>
      <x:c r="F267" s="32" t="str">
        <x:v>Hybrid storage gateway</x:v>
      </x:c>
      <x:c r="G267" s="32" t="str">
        <x:v>Connect on-premises applications to cloud storage through local protocols and caching.</x:v>
      </x:c>
      <x:c r="H267" s="32" t="str">
        <x:v>Partial</x:v>
      </x:c>
      <x:c r="I267" s="32"/>
      <x:c r="J267" s="32" t="str">
        <x:v>https://docs.cloud.google.com/docs/product-list</x:v>
      </x:c>
      <x:c r="K267" s="32" t="str">
        <x:v>2026-07-12</x:v>
      </x:c>
    </x:row>
    <x:row r="268">
      <x:c r="A268" s="32" t="str">
        <x:v>Google Cloud</x:v>
      </x:c>
      <x:c r="B268" s="32" t="str">
        <x:v>Telecom Network Automation</x:v>
      </x:c>
      <x:c r="C268" s="32" t="str">
        <x:v>Named service / product family</x:v>
      </x:c>
      <x:c r="D268" s="32" t="str">
        <x:v>Industry &amp; Specialist</x:v>
      </x:c>
      <x:c r="E268" s="32" t="str">
        <x:v>Telecommunications</x:v>
      </x:c>
      <x:c r="F268" s="32" t="str">
        <x:v>Telecom network automation</x:v>
      </x:c>
      <x:c r="G268" s="32" t="str">
        <x:v>Automate and optimise telecom network operations using cloud-native capabilities.</x:v>
      </x:c>
      <x:c r="H268" s="32" t="str">
        <x:v>Close</x:v>
      </x:c>
      <x:c r="I268" s="32"/>
      <x:c r="J268" s="32" t="str">
        <x:v>https://docs.cloud.google.com/docs/product-list</x:v>
      </x:c>
      <x:c r="K268" s="32" t="str">
        <x:v>2026-07-12</x:v>
      </x:c>
    </x:row>
    <x:row r="269">
      <x:c r="A269" s="32" t="str">
        <x:v>Google Cloud</x:v>
      </x:c>
      <x:c r="B269" s="32" t="str">
        <x:v>Text-to-Speech</x:v>
      </x:c>
      <x:c r="C269" s="32" t="str">
        <x:v>Named service / product family</x:v>
      </x:c>
      <x:c r="D269" s="32" t="str">
        <x:v>AI &amp; Machine Learning</x:v>
      </x:c>
      <x:c r="E269" s="32" t="str">
        <x:v>Speech</x:v>
      </x:c>
      <x:c r="F269" s="32" t="str">
        <x:v>Text-to-speech</x:v>
      </x:c>
      <x:c r="G269" s="32" t="str">
        <x:v>Generate natural-sounding speech from text.</x:v>
      </x:c>
      <x:c r="H269" s="32" t="str">
        <x:v>Exact</x:v>
      </x:c>
      <x:c r="I269" s="32"/>
      <x:c r="J269" s="32" t="str">
        <x:v>https://docs.cloud.google.com/docs/product-list</x:v>
      </x:c>
      <x:c r="K269" s="32" t="str">
        <x:v>2026-07-12</x:v>
      </x:c>
    </x:row>
    <x:row r="270">
      <x:c r="A270" s="32" t="str">
        <x:v>Google Cloud</x:v>
      </x:c>
      <x:c r="B270" s="32" t="str">
        <x:v>Transcoder API</x:v>
      </x:c>
      <x:c r="C270" s="32" t="str">
        <x:v>Named service / product family</x:v>
      </x:c>
      <x:c r="D270" s="32" t="str">
        <x:v>Media &amp; Communications</x:v>
      </x:c>
      <x:c r="E270" s="32" t="str">
        <x:v>Media transcoding
Video packaging</x:v>
      </x:c>
      <x:c r="F270" s="32" t="str">
        <x:v>File-based media transcoding
Video packaging and origin</x:v>
      </x:c>
      <x:c r="G270" s="32" t="str">
        <x:v>Convert stored audio and video into delivery-ready formats and renditions.</x:v>
      </x:c>
      <x:c r="H270" s="32" t="str">
        <x:v>Partial</x:v>
      </x:c>
      <x:c r="I270" s="32" t="str">
        <x:v>Azure Media Services was retired; current Azure architectures use partner solutions and general compute/services.</x:v>
      </x:c>
      <x:c r="J270" s="32" t="str">
        <x:v>https://docs.cloud.google.com/docs/product-list</x:v>
      </x:c>
      <x:c r="K270" s="32" t="str">
        <x:v>2026-07-12</x:v>
      </x:c>
    </x:row>
    <x:row r="271">
      <x:c r="A271" s="32" t="str">
        <x:v>Google Cloud</x:v>
      </x:c>
      <x:c r="B271" s="32" t="str">
        <x:v>Transfer Appliance</x:v>
      </x:c>
      <x:c r="C271" s="32" t="str">
        <x:v>Named service / product family</x:v>
      </x:c>
      <x:c r="D271" s="32" t="str">
        <x:v>Hybrid &amp; Multicloud
Storage</x:v>
      </x:c>
      <x:c r="E271" s="32" t="str">
        <x:v>Edge appliance
Transfer appliance</x:v>
      </x:c>
      <x:c r="F271" s="32" t="str">
        <x:v>Cloud edge appliance
Offline data transfer appliance</x:v>
      </x:c>
      <x:c r="G271" s="32" t="str">
        <x:v>Deploy provider-managed compute and data-transfer hardware at remote sites.</x:v>
      </x:c>
      <x:c r="H271" s="32" t="str">
        <x:v>Close, Exact</x:v>
      </x:c>
      <x:c r="I271" s="32"/>
      <x:c r="J271" s="32" t="str">
        <x:v>https://docs.cloud.google.com/docs/product-list</x:v>
      </x:c>
      <x:c r="K271" s="32" t="str">
        <x:v>2026-07-12</x:v>
      </x:c>
    </x:row>
    <x:row r="272">
      <x:c r="A272" s="32" t="str">
        <x:v>Google Cloud</x:v>
      </x:c>
      <x:c r="B272" s="32" t="str">
        <x:v>Unified Maintenance</x:v>
      </x:c>
      <x:c r="C272" s="32" t="str">
        <x:v>Named service / product family</x:v>
      </x:c>
      <x:c r="D272" s="32" t="str">
        <x:v>Observability &amp; Reliability</x:v>
      </x:c>
      <x:c r="E272" s="32" t="str">
        <x:v>Status and maintenance</x:v>
      </x:c>
      <x:c r="F272" s="32" t="str">
        <x:v>Maintenance coordination</x:v>
      </x:c>
      <x:c r="G272" s="32" t="str">
        <x:v>Coordinate provider maintenance and workload updates to reduce disruption.</x:v>
      </x:c>
      <x:c r="H272" s="32" t="str">
        <x:v>Close</x:v>
      </x:c>
      <x:c r="I272" s="32"/>
      <x:c r="J272" s="32" t="str">
        <x:v>https://docs.cloud.google.com/docs/product-list</x:v>
      </x:c>
      <x:c r="K272" s="32" t="str">
        <x:v>2026-07-12</x:v>
      </x:c>
    </x:row>
    <x:row r="273">
      <x:c r="A273" s="32" t="str">
        <x:v>Google Cloud</x:v>
      </x:c>
      <x:c r="B273" s="32" t="str">
        <x:v>Vertex AI</x:v>
      </x:c>
      <x:c r="C273" s="32" t="str">
        <x:v>Named service / product family</x:v>
      </x:c>
      <x:c r="D273" s="32" t="str">
        <x:v>AI &amp; Machine Learning</x:v>
      </x:c>
      <x:c r="E273" s="32" t="str">
        <x:v>AI platform
Anomaly detection
Forecasting
Foundation models
Fraud &amp; risk</x:v>
      </x:c>
      <x:c r="F273" s="32" t="str">
        <x:v>Anomaly and metric detection
Demand and time-series forecasting
Fraud detection
Managed foundation-model platform
Unified AI/ML platform</x:v>
      </x:c>
      <x:c r="G273" s="32" t="str">
        <x:v>Develop, train, govern, deploy and operate machine-learning and generative-AI solutions.</x:v>
      </x:c>
      <x:c r="H273" s="32" t="str">
        <x:v>Close, Partial</x:v>
      </x:c>
      <x:c r="I273" s="32"/>
      <x:c r="J273" s="32" t="str">
        <x:v>https://docs.cloud.google.com/docs/product-list</x:v>
      </x:c>
      <x:c r="K273" s="32" t="str">
        <x:v>2026-07-12</x:v>
      </x:c>
    </x:row>
    <x:row r="274">
      <x:c r="A274" s="32" t="str">
        <x:v>Google Cloud</x:v>
      </x:c>
      <x:c r="B274" s="32" t="str">
        <x:v>Vertex AI Agent Engine</x:v>
      </x:c>
      <x:c r="C274" s="32" t="str">
        <x:v>Named service / product family</x:v>
      </x:c>
      <x:c r="D274" s="32" t="str">
        <x:v>AI &amp; Machine Learning</x:v>
      </x:c>
      <x:c r="E274" s="32" t="str">
        <x:v>Agents</x:v>
      </x:c>
      <x:c r="F274" s="32" t="str">
        <x:v>Managed AI agent platform
Multi-agent orchestration</x:v>
      </x:c>
      <x:c r="G274" s="32" t="str">
        <x:v>Build, deploy and operate agents that reason, retrieve information and invoke tools.</x:v>
      </x:c>
      <x:c r="H274" s="32" t="str">
        <x:v>Close</x:v>
      </x:c>
      <x:c r="I274" s="32"/>
      <x:c r="J274" s="32" t="str">
        <x:v>https://docs.cloud.google.com/docs/product-list</x:v>
      </x:c>
      <x:c r="K274" s="32" t="str">
        <x:v>2026-07-12</x:v>
      </x:c>
    </x:row>
    <x:row r="275">
      <x:c r="A275" s="32" t="str">
        <x:v>Google Cloud</x:v>
      </x:c>
      <x:c r="B275" s="32" t="str">
        <x:v>Vertex AI Agent Engine observability</x:v>
      </x:c>
      <x:c r="C275" s="32" t="str">
        <x:v>Named service / product family</x:v>
      </x:c>
      <x:c r="D275" s="32" t="str">
        <x:v>AI &amp; Machine Learning</x:v>
      </x:c>
      <x:c r="E275" s="32" t="str">
        <x:v>AI observability</x:v>
      </x:c>
      <x:c r="F275" s="32" t="str">
        <x:v>AI application observability</x:v>
      </x:c>
      <x:c r="G275" s="32" t="str">
        <x:v>Trace prompts, agents, tools, latency, quality and token usage in AI applications.</x:v>
      </x:c>
      <x:c r="H275" s="32" t="str">
        <x:v>Close</x:v>
      </x:c>
      <x:c r="I275" s="32"/>
      <x:c r="J275" s="32" t="str">
        <x:v>https://docs.cloud.google.com/docs/product-list</x:v>
      </x:c>
      <x:c r="K275" s="32" t="str">
        <x:v>2026-07-12</x:v>
      </x:c>
    </x:row>
    <x:row r="276">
      <x:c r="A276" s="32" t="str">
        <x:v>Google Cloud</x:v>
      </x:c>
      <x:c r="B276" s="32" t="str">
        <x:v>Vertex AI AutoML</x:v>
      </x:c>
      <x:c r="C276" s="32" t="str">
        <x:v>Named service / product family</x:v>
      </x:c>
      <x:c r="D276" s="32" t="str">
        <x:v>AI &amp; Machine Learning</x:v>
      </x:c>
      <x:c r="E276" s="32" t="str">
        <x:v>AutoML</x:v>
      </x:c>
      <x:c r="F276" s="32" t="str">
        <x:v>Automated machine learning</x:v>
      </x:c>
      <x:c r="G276" s="32" t="str">
        <x:v>Automatically build and optimise models with reduced manual feature and algorithm work.</x:v>
      </x:c>
      <x:c r="H276" s="32" t="str">
        <x:v>Exact</x:v>
      </x:c>
      <x:c r="I276" s="32"/>
      <x:c r="J276" s="32" t="str">
        <x:v>https://docs.cloud.google.com/docs/product-list</x:v>
      </x:c>
      <x:c r="K276" s="32" t="str">
        <x:v>2026-07-12</x:v>
      </x:c>
    </x:row>
    <x:row r="277">
      <x:c r="A277" s="32" t="str">
        <x:v>Google Cloud</x:v>
      </x:c>
      <x:c r="B277" s="32" t="str">
        <x:v>Vertex AI Batch Prediction</x:v>
      </x:c>
      <x:c r="C277" s="32" t="str">
        <x:v>Named service / product family</x:v>
      </x:c>
      <x:c r="D277" s="32" t="str">
        <x:v>AI &amp; Machine Learning</x:v>
      </x:c>
      <x:c r="E277" s="32" t="str">
        <x:v>Inference</x:v>
      </x:c>
      <x:c r="F277" s="32" t="str">
        <x:v>Batch model inference</x:v>
      </x:c>
      <x:c r="G277" s="32" t="str">
        <x:v>Run asynchronous predictions over large datasets.</x:v>
      </x:c>
      <x:c r="H277" s="32" t="str">
        <x:v>Exact</x:v>
      </x:c>
      <x:c r="I277" s="32"/>
      <x:c r="J277" s="32" t="str">
        <x:v>https://docs.cloud.google.com/docs/product-list</x:v>
      </x:c>
      <x:c r="K277" s="32" t="str">
        <x:v>2026-07-12</x:v>
      </x:c>
    </x:row>
    <x:row r="278">
      <x:c r="A278" s="32" t="str">
        <x:v>Google Cloud</x:v>
      </x:c>
      <x:c r="B278" s="32" t="str">
        <x:v>Vertex AI Evaluation</x:v>
      </x:c>
      <x:c r="C278" s="32" t="str">
        <x:v>Named service / product family</x:v>
      </x:c>
      <x:c r="D278" s="32" t="str">
        <x:v>AI &amp; Machine Learning</x:v>
      </x:c>
      <x:c r="E278" s="32" t="str">
        <x:v>AI evaluation
Responsible AI</x:v>
      </x:c>
      <x:c r="F278" s="32" t="str">
        <x:v>Foundation-model evaluation
Responsible-AI assessment</x:v>
      </x:c>
      <x:c r="G278" s="32" t="str">
        <x:v>Evaluate fairness, explainability, errors and model behaviour before and after deployment.</x:v>
      </x:c>
      <x:c r="H278" s="32" t="str">
        <x:v>Close</x:v>
      </x:c>
      <x:c r="I278" s="32"/>
      <x:c r="J278" s="32" t="str">
        <x:v>https://docs.cloud.google.com/docs/product-list</x:v>
      </x:c>
      <x:c r="K278" s="32" t="str">
        <x:v>2026-07-12</x:v>
      </x:c>
    </x:row>
    <x:row r="279">
      <x:c r="A279" s="32" t="str">
        <x:v>Google Cloud</x:v>
      </x:c>
      <x:c r="B279" s="32" t="str">
        <x:v>Vertex AI Feature Store</x:v>
      </x:c>
      <x:c r="C279" s="32" t="str">
        <x:v>Named service / product family</x:v>
      </x:c>
      <x:c r="D279" s="32" t="str">
        <x:v>AI &amp; Machine Learning</x:v>
      </x:c>
      <x:c r="E279" s="32" t="str">
        <x:v>MLOps</x:v>
      </x:c>
      <x:c r="F279" s="32" t="str">
        <x:v>Feature store</x:v>
      </x:c>
      <x:c r="G279" s="32" t="str">
        <x:v>Create, govern and serve reusable machine-learning features online and offline.</x:v>
      </x:c>
      <x:c r="H279" s="32" t="str">
        <x:v>Exact</x:v>
      </x:c>
      <x:c r="I279" s="32"/>
      <x:c r="J279" s="32" t="str">
        <x:v>https://docs.cloud.google.com/docs/product-list</x:v>
      </x:c>
      <x:c r="K279" s="32" t="str">
        <x:v>2026-07-12</x:v>
      </x:c>
    </x:row>
    <x:row r="280">
      <x:c r="A280" s="32" t="str">
        <x:v>Google Cloud</x:v>
      </x:c>
      <x:c r="B280" s="32" t="str">
        <x:v>Vertex AI Model Garden</x:v>
      </x:c>
      <x:c r="C280" s="32" t="str">
        <x:v>Named service / product family</x:v>
      </x:c>
      <x:c r="D280" s="32" t="str">
        <x:v>AI &amp; Machine Learning</x:v>
      </x:c>
      <x:c r="E280" s="32" t="str">
        <x:v>Model catalogue</x:v>
      </x:c>
      <x:c r="F280" s="32" t="str">
        <x:v>Foundation-model catalogue</x:v>
      </x:c>
      <x:c r="G280" s="32" t="str">
        <x:v>Discover and deploy first-party and partner models from a managed catalogue.</x:v>
      </x:c>
      <x:c r="H280" s="32" t="str">
        <x:v>Close</x:v>
      </x:c>
      <x:c r="I280" s="32"/>
      <x:c r="J280" s="32" t="str">
        <x:v>https://docs.cloud.google.com/docs/product-list</x:v>
      </x:c>
      <x:c r="K280" s="32" t="str">
        <x:v>2026-07-12</x:v>
      </x:c>
    </x:row>
    <x:row r="281">
      <x:c r="A281" s="32" t="str">
        <x:v>Google Cloud</x:v>
      </x:c>
      <x:c r="B281" s="32" t="str">
        <x:v>Vertex AI Model Monitoring</x:v>
      </x:c>
      <x:c r="C281" s="32" t="str">
        <x:v>Named service / product family</x:v>
      </x:c>
      <x:c r="D281" s="32" t="str">
        <x:v>AI &amp; Machine Learning</x:v>
      </x:c>
      <x:c r="E281" s="32" t="str">
        <x:v>MLOps</x:v>
      </x:c>
      <x:c r="F281" s="32" t="str">
        <x:v>Model monitoring</x:v>
      </x:c>
      <x:c r="G281" s="32" t="str">
        <x:v>Monitor deployed models for drift, skew, quality and operational issues.</x:v>
      </x:c>
      <x:c r="H281" s="32" t="str">
        <x:v>Exact</x:v>
      </x:c>
      <x:c r="I281" s="32"/>
      <x:c r="J281" s="32" t="str">
        <x:v>https://docs.cloud.google.com/docs/product-list</x:v>
      </x:c>
      <x:c r="K281" s="32" t="str">
        <x:v>2026-07-12</x:v>
      </x:c>
    </x:row>
    <x:row r="282">
      <x:c r="A282" s="32" t="str">
        <x:v>Google Cloud</x:v>
      </x:c>
      <x:c r="B282" s="32" t="str">
        <x:v>Vertex AI Model Registry</x:v>
      </x:c>
      <x:c r="C282" s="32" t="str">
        <x:v>Named service / product family</x:v>
      </x:c>
      <x:c r="D282" s="32" t="str">
        <x:v>AI &amp; Machine Learning</x:v>
      </x:c>
      <x:c r="E282" s="32" t="str">
        <x:v>AI governance
MLOps</x:v>
      </x:c>
      <x:c r="F282" s="32" t="str">
        <x:v>AI governance and control plane
Model registry</x:v>
      </x:c>
      <x:c r="G282" s="32" t="str">
        <x:v>Inventory AI assets, apply policies, assess risk and oversee AI across its lifecycle.</x:v>
      </x:c>
      <x:c r="H282" s="32" t="str">
        <x:v>Exact, Partial</x:v>
      </x:c>
      <x:c r="I282" s="32" t="str">
        <x:v>AI governance is a control set rather than one perfectly equivalent product.</x:v>
      </x:c>
      <x:c r="J282" s="32" t="str">
        <x:v>https://docs.cloud.google.com/docs/product-list</x:v>
      </x:c>
      <x:c r="K282" s="32" t="str">
        <x:v>2026-07-12</x:v>
      </x:c>
    </x:row>
    <x:row r="283">
      <x:c r="A283" s="32" t="str">
        <x:v>Google Cloud</x:v>
      </x:c>
      <x:c r="B283" s="32" t="str">
        <x:v>Vertex AI Online Prediction</x:v>
      </x:c>
      <x:c r="C283" s="32" t="str">
        <x:v>Named service / product family</x:v>
      </x:c>
      <x:c r="D283" s="32" t="str">
        <x:v>AI &amp; Machine Learning</x:v>
      </x:c>
      <x:c r="E283" s="32" t="str">
        <x:v>Inference</x:v>
      </x:c>
      <x:c r="F283" s="32" t="str">
        <x:v>Managed real-time model endpoints</x:v>
      </x:c>
      <x:c r="G283" s="32" t="str">
        <x:v>Serve machine-learning models through autoscaling online inference endpoints.</x:v>
      </x:c>
      <x:c r="H283" s="32" t="str">
        <x:v>Exact</x:v>
      </x:c>
      <x:c r="I283" s="32"/>
      <x:c r="J283" s="32" t="str">
        <x:v>https://docs.cloud.google.com/docs/product-list</x:v>
      </x:c>
      <x:c r="K283" s="32" t="str">
        <x:v>2026-07-12</x:v>
      </x:c>
    </x:row>
    <x:row r="284">
      <x:c r="A284" s="32" t="str">
        <x:v>Google Cloud</x:v>
      </x:c>
      <x:c r="B284" s="32" t="str">
        <x:v>Vertex AI Pipelines</x:v>
      </x:c>
      <x:c r="C284" s="32" t="str">
        <x:v>Named service / product family</x:v>
      </x:c>
      <x:c r="D284" s="32" t="str">
        <x:v>AI &amp; Machine Learning</x:v>
      </x:c>
      <x:c r="E284" s="32" t="str">
        <x:v>MLOps</x:v>
      </x:c>
      <x:c r="F284" s="32" t="str">
        <x:v>ML pipelines</x:v>
      </x:c>
      <x:c r="G284" s="32" t="str">
        <x:v>Orchestrate repeatable data preparation, training, validation and deployment pipelines.</x:v>
      </x:c>
      <x:c r="H284" s="32" t="str">
        <x:v>Exact</x:v>
      </x:c>
      <x:c r="I284" s="32"/>
      <x:c r="J284" s="32" t="str">
        <x:v>https://docs.cloud.google.com/docs/product-list</x:v>
      </x:c>
      <x:c r="K284" s="32" t="str">
        <x:v>2026-07-12</x:v>
      </x:c>
    </x:row>
    <x:row r="285">
      <x:c r="A285" s="32" t="str">
        <x:v>Google Cloud</x:v>
      </x:c>
      <x:c r="B285" s="32" t="str">
        <x:v>Vertex AI prompt management</x:v>
      </x:c>
      <x:c r="C285" s="32" t="str">
        <x:v>Named service / product family</x:v>
      </x:c>
      <x:c r="D285" s="32" t="str">
        <x:v>AI &amp; Machine Learning</x:v>
      </x:c>
      <x:c r="E285" s="32" t="str">
        <x:v>Prompt engineering</x:v>
      </x:c>
      <x:c r="F285" s="32" t="str">
        <x:v>Prompt development and orchestration</x:v>
      </x:c>
      <x:c r="G285" s="32" t="str">
        <x:v>Design, test, version and connect prompts into AI workflows.</x:v>
      </x:c>
      <x:c r="H285" s="32" t="str">
        <x:v>Close</x:v>
      </x:c>
      <x:c r="I285" s="32"/>
      <x:c r="J285" s="32" t="str">
        <x:v>https://docs.cloud.google.com/docs/product-list</x:v>
      </x:c>
      <x:c r="K285" s="32" t="str">
        <x:v>2026-07-12</x:v>
      </x:c>
    </x:row>
    <x:row r="286">
      <x:c r="A286" s="32" t="str">
        <x:v>Google Cloud</x:v>
      </x:c>
      <x:c r="B286" s="32" t="str">
        <x:v>Vertex AI RAG Engine</x:v>
      </x:c>
      <x:c r="C286" s="32" t="str">
        <x:v>Named service / product family</x:v>
      </x:c>
      <x:c r="D286" s="32" t="str">
        <x:v>AI &amp; Machine Learning</x:v>
      </x:c>
      <x:c r="E286" s="32" t="str">
        <x:v>RAG</x:v>
      </x:c>
      <x:c r="F286" s="32" t="str">
        <x:v>Managed knowledge bases for RAG</x:v>
      </x:c>
      <x:c r="G286" s="32" t="str">
        <x:v>Connect enterprise content to foundation models for grounded retrieval-augmented generation.</x:v>
      </x:c>
      <x:c r="H286" s="32" t="str">
        <x:v>Close</x:v>
      </x:c>
      <x:c r="I286" s="32"/>
      <x:c r="J286" s="32" t="str">
        <x:v>https://docs.cloud.google.com/docs/product-list</x:v>
      </x:c>
      <x:c r="K286" s="32" t="str">
        <x:v>2026-07-12</x:v>
      </x:c>
    </x:row>
    <x:row r="287">
      <x:c r="A287" s="32" t="str">
        <x:v>Google Cloud</x:v>
      </x:c>
      <x:c r="B287" s="32" t="str">
        <x:v>Vertex AI safety filters</x:v>
      </x:c>
      <x:c r="C287" s="32" t="str">
        <x:v>Named service / product family</x:v>
      </x:c>
      <x:c r="D287" s="32" t="str">
        <x:v>AI &amp; Machine Learning</x:v>
      </x:c>
      <x:c r="E287" s="32" t="str">
        <x:v>AI safety</x:v>
      </x:c>
      <x:c r="F287" s="32" t="str">
        <x:v>Generative-AI guardrails</x:v>
      </x:c>
      <x:c r="G287" s="32" t="str">
        <x:v>Apply safety policies, topic controls, grounding checks and content filters to model interactions.</x:v>
      </x:c>
      <x:c r="H287" s="32" t="str">
        <x:v>Close</x:v>
      </x:c>
      <x:c r="I287" s="32"/>
      <x:c r="J287" s="32" t="str">
        <x:v>https://docs.cloud.google.com/docs/product-list</x:v>
      </x:c>
      <x:c r="K287" s="32" t="str">
        <x:v>2026-07-12</x:v>
      </x:c>
    </x:row>
    <x:row r="288">
      <x:c r="A288" s="32" t="str">
        <x:v>Google Cloud</x:v>
      </x:c>
      <x:c r="B288" s="32" t="str">
        <x:v>Vertex AI Search</x:v>
      </x:c>
      <x:c r="C288" s="32" t="str">
        <x:v>Named service / product family</x:v>
      </x:c>
      <x:c r="D288" s="32" t="str">
        <x:v>AI &amp; Machine Learning</x:v>
      </x:c>
      <x:c r="E288" s="32" t="str">
        <x:v>Enterprise search
RAG</x:v>
      </x:c>
      <x:c r="F288" s="32" t="str">
        <x:v>AI-powered enterprise search
Managed knowledge bases for RAG</x:v>
      </x:c>
      <x:c r="G288" s="32" t="str">
        <x:v>Connect enterprise content to foundation models for grounded retrieval-augmented generation.</x:v>
      </x:c>
      <x:c r="H288" s="32" t="str">
        <x:v>Close</x:v>
      </x:c>
      <x:c r="I288" s="32"/>
      <x:c r="J288" s="32" t="str">
        <x:v>https://docs.cloud.google.com/docs/product-list</x:v>
      </x:c>
      <x:c r="K288" s="32" t="str">
        <x:v>2026-07-12</x:v>
      </x:c>
    </x:row>
    <x:row r="289">
      <x:c r="A289" s="32" t="str">
        <x:v>Google Cloud</x:v>
      </x:c>
      <x:c r="B289" s="32" t="str">
        <x:v>Vertex AI Studio</x:v>
      </x:c>
      <x:c r="C289" s="32" t="str">
        <x:v>Named service / product family</x:v>
      </x:c>
      <x:c r="D289" s="32" t="str">
        <x:v>AI &amp; Machine Learning</x:v>
      </x:c>
      <x:c r="E289" s="32" t="str">
        <x:v>Prompt engineering</x:v>
      </x:c>
      <x:c r="F289" s="32" t="str">
        <x:v>Prompt development and orchestration</x:v>
      </x:c>
      <x:c r="G289" s="32" t="str">
        <x:v>Design, test, version and connect prompts into AI workflows.</x:v>
      </x:c>
      <x:c r="H289" s="32" t="str">
        <x:v>Close</x:v>
      </x:c>
      <x:c r="I289" s="32"/>
      <x:c r="J289" s="32" t="str">
        <x:v>https://docs.cloud.google.com/docs/product-list</x:v>
      </x:c>
      <x:c r="K289" s="32" t="str">
        <x:v>2026-07-12</x:v>
      </x:c>
    </x:row>
    <x:row r="290">
      <x:c r="A290" s="32" t="str">
        <x:v>Google Cloud</x:v>
      </x:c>
      <x:c r="B290" s="32" t="str">
        <x:v>Vertex AI Training</x:v>
      </x:c>
      <x:c r="C290" s="32" t="str">
        <x:v>Named service / product family</x:v>
      </x:c>
      <x:c r="D290" s="32" t="str">
        <x:v>AI &amp; Machine Learning</x:v>
      </x:c>
      <x:c r="E290" s="32" t="str">
        <x:v>Training</x:v>
      </x:c>
      <x:c r="F290" s="32" t="str">
        <x:v>Managed model training</x:v>
      </x:c>
      <x:c r="G290" s="32" t="str">
        <x:v>Run managed, scalable training jobs using CPUs, GPUs or specialised accelerators.</x:v>
      </x:c>
      <x:c r="H290" s="32" t="str">
        <x:v>Close</x:v>
      </x:c>
      <x:c r="I290" s="32"/>
      <x:c r="J290" s="32" t="str">
        <x:v>https://docs.cloud.google.com/docs/product-list</x:v>
      </x:c>
      <x:c r="K290" s="32" t="str">
        <x:v>2026-07-12</x:v>
      </x:c>
    </x:row>
    <x:row r="291">
      <x:c r="A291" s="32" t="str">
        <x:v>Google Cloud</x:v>
      </x:c>
      <x:c r="B291" s="32" t="str">
        <x:v>Vertex AI tuning</x:v>
      </x:c>
      <x:c r="C291" s="32" t="str">
        <x:v>Named service / product family</x:v>
      </x:c>
      <x:c r="D291" s="32" t="str">
        <x:v>AI &amp; Machine Learning</x:v>
      </x:c>
      <x:c r="E291" s="32" t="str">
        <x:v>Model customisation</x:v>
      </x:c>
      <x:c r="F291" s="32" t="str">
        <x:v>Foundation-model customisation</x:v>
      </x:c>
      <x:c r="G291" s="32" t="str">
        <x:v>Adapt a foundation model using fine-tuning, continued pre-training or customisation techniques.</x:v>
      </x:c>
      <x:c r="H291" s="32" t="str">
        <x:v>Close</x:v>
      </x:c>
      <x:c r="I291" s="32"/>
      <x:c r="J291" s="32" t="str">
        <x:v>https://docs.cloud.google.com/docs/product-list</x:v>
      </x:c>
      <x:c r="K291" s="32" t="str">
        <x:v>2026-07-12</x:v>
      </x:c>
    </x:row>
    <x:row r="292">
      <x:c r="A292" s="32" t="str">
        <x:v>Google Cloud</x:v>
      </x:c>
      <x:c r="B292" s="32" t="str">
        <x:v>Vertex AI Vector Search</x:v>
      </x:c>
      <x:c r="C292" s="32" t="str">
        <x:v>Named service / product family</x:v>
      </x:c>
      <x:c r="D292" s="32" t="str">
        <x:v>AI &amp; Machine Learning</x:v>
      </x:c>
      <x:c r="E292" s="32" t="str">
        <x:v>Vector search</x:v>
      </x:c>
      <x:c r="F292" s="32" t="str">
        <x:v>Managed vector search</x:v>
      </x:c>
      <x:c r="G292" s="32" t="str">
        <x:v>Store embeddings and run similarity search for RAG and recommendation workloads.</x:v>
      </x:c>
      <x:c r="H292" s="32" t="str">
        <x:v>Close</x:v>
      </x:c>
      <x:c r="I292" s="32"/>
      <x:c r="J292" s="32" t="str">
        <x:v>https://docs.cloud.google.com/docs/product-list</x:v>
      </x:c>
      <x:c r="K292" s="32" t="str">
        <x:v>2026-07-12</x:v>
      </x:c>
    </x:row>
    <x:row r="293">
      <x:c r="A293" s="32" t="str">
        <x:v>Google Cloud</x:v>
      </x:c>
      <x:c r="B293" s="32" t="str">
        <x:v>Vertex AI Workbench</x:v>
      </x:c>
      <x:c r="C293" s="32" t="str">
        <x:v>Named service / product family</x:v>
      </x:c>
      <x:c r="D293" s="32" t="str">
        <x:v>AI &amp; Machine Learning</x:v>
      </x:c>
      <x:c r="E293" s="32" t="str">
        <x:v>ML workbench</x:v>
      </x:c>
      <x:c r="F293" s="32" t="str">
        <x:v>Managed data-science notebooks</x:v>
      </x:c>
      <x:c r="G293" s="32" t="str">
        <x:v>Provide managed notebook environments for data exploration and model development.</x:v>
      </x:c>
      <x:c r="H293" s="32" t="str">
        <x:v>Close</x:v>
      </x:c>
      <x:c r="I293" s="32"/>
      <x:c r="J293" s="32" t="str">
        <x:v>https://docs.cloud.google.com/docs/product-list</x:v>
      </x:c>
      <x:c r="K293" s="32" t="str">
        <x:v>2026-07-12</x:v>
      </x:c>
    </x:row>
    <x:row r="294">
      <x:c r="A294" s="32" t="str">
        <x:v>Google Cloud</x:v>
      </x:c>
      <x:c r="B294" s="32" t="str">
        <x:v>Vertex Explainable AI</x:v>
      </x:c>
      <x:c r="C294" s="32" t="str">
        <x:v>Named service / product family</x:v>
      </x:c>
      <x:c r="D294" s="32" t="str">
        <x:v>AI &amp; Machine Learning</x:v>
      </x:c>
      <x:c r="E294" s="32" t="str">
        <x:v>Responsible AI</x:v>
      </x:c>
      <x:c r="F294" s="32" t="str">
        <x:v>Responsible-AI assessment</x:v>
      </x:c>
      <x:c r="G294" s="32" t="str">
        <x:v>Evaluate fairness, explainability, errors and model behaviour before and after deployment.</x:v>
      </x:c>
      <x:c r="H294" s="32" t="str">
        <x:v>Close</x:v>
      </x:c>
      <x:c r="I294" s="32"/>
      <x:c r="J294" s="32" t="str">
        <x:v>https://docs.cloud.google.com/docs/product-list</x:v>
      </x:c>
      <x:c r="K294" s="32" t="str">
        <x:v>2026-07-12</x:v>
      </x:c>
    </x:row>
    <x:row r="295">
      <x:c r="A295" s="32" t="str">
        <x:v>Google Cloud</x:v>
      </x:c>
      <x:c r="B295" s="32" t="str">
        <x:v>Video Intelligence API</x:v>
      </x:c>
      <x:c r="C295" s="32" t="str">
        <x:v>Named service / product family</x:v>
      </x:c>
      <x:c r="D295" s="32" t="str">
        <x:v>AI &amp; Machine Learning</x:v>
      </x:c>
      <x:c r="E295" s="32" t="str">
        <x:v>Video AI</x:v>
      </x:c>
      <x:c r="F295" s="32" t="str">
        <x:v>Video intelligence</x:v>
      </x:c>
      <x:c r="G295" s="32" t="str">
        <x:v>Analyse, index and extract metadata from video content.</x:v>
      </x:c>
      <x:c r="H295" s="32" t="str">
        <x:v>Close</x:v>
      </x:c>
      <x:c r="I295" s="32"/>
      <x:c r="J295" s="32" t="str">
        <x:v>https://docs.cloud.google.com/docs/product-list</x:v>
      </x:c>
      <x:c r="K295" s="32" t="str">
        <x:v>2026-07-12</x:v>
      </x:c>
    </x:row>
    <x:row r="296">
      <x:c r="A296" s="32" t="str">
        <x:v>Google Cloud</x:v>
      </x:c>
      <x:c r="B296" s="32" t="str">
        <x:v>Video Stitcher API</x:v>
      </x:c>
      <x:c r="C296" s="32" t="str">
        <x:v>Named service / product family</x:v>
      </x:c>
      <x:c r="D296" s="32" t="str">
        <x:v>Media &amp; Communications</x:v>
      </x:c>
      <x:c r="E296" s="32" t="str">
        <x:v>Ad insertion</x:v>
      </x:c>
      <x:c r="F296" s="32" t="str">
        <x:v>Server-side ad insertion</x:v>
      </x:c>
      <x:c r="G296" s="32" t="str">
        <x:v>Personalise and insert advertising into streaming video on the server side.</x:v>
      </x:c>
      <x:c r="H296" s="32" t="str">
        <x:v>Partial</x:v>
      </x:c>
      <x:c r="I296" s="32"/>
      <x:c r="J296" s="32" t="str">
        <x:v>https://docs.cloud.google.com/docs/product-list</x:v>
      </x:c>
      <x:c r="K296" s="32" t="str">
        <x:v>2026-07-12</x:v>
      </x:c>
    </x:row>
    <x:row r="297">
      <x:c r="A297" s="32" t="str">
        <x:v>Google Cloud</x:v>
      </x:c>
      <x:c r="B297" s="32" t="str">
        <x:v>Virtual Private Cloud</x:v>
      </x:c>
      <x:c r="C297" s="32" t="str">
        <x:v>Named service / product family</x:v>
      </x:c>
      <x:c r="D297" s="32" t="str">
        <x:v>Networking</x:v>
      </x:c>
      <x:c r="E297" s="32" t="str">
        <x:v>Virtual network</x:v>
      </x:c>
      <x:c r="F297" s="32" t="str">
        <x:v>Virtual private network</x:v>
      </x:c>
      <x:c r="G297" s="32" t="str">
        <x:v>Create logically isolated cloud networks, subnets, routing and private addressing.</x:v>
      </x:c>
      <x:c r="H297" s="32" t="str">
        <x:v>Exact</x:v>
      </x:c>
      <x:c r="I297" s="32"/>
      <x:c r="J297" s="32" t="str">
        <x:v>https://docs.cloud.google.com/docs/product-list</x:v>
      </x:c>
      <x:c r="K297" s="32" t="str">
        <x:v>2026-07-12</x:v>
      </x:c>
    </x:row>
    <x:row r="298">
      <x:c r="A298" s="32" t="str">
        <x:v>Google Cloud</x:v>
      </x:c>
      <x:c r="B298" s="32" t="str">
        <x:v>Vision API Product Search</x:v>
      </x:c>
      <x:c r="C298" s="32" t="str">
        <x:v>Named service / product family</x:v>
      </x:c>
      <x:c r="D298" s="32" t="str">
        <x:v>Industry &amp; Specialist</x:v>
      </x:c>
      <x:c r="E298" s="32" t="str">
        <x:v>Retail search</x:v>
      </x:c>
      <x:c r="F298" s="32" t="str">
        <x:v>Retail product search and discovery</x:v>
      </x:c>
      <x:c r="G298" s="32" t="str">
        <x:v>Provide semantic product search, recommendations and retail discovery.</x:v>
      </x:c>
      <x:c r="H298" s="32" t="str">
        <x:v>Close</x:v>
      </x:c>
      <x:c r="I298" s="32"/>
      <x:c r="J298" s="32" t="str">
        <x:v>https://docs.cloud.google.com/docs/product-list</x:v>
      </x:c>
      <x:c r="K298" s="32" t="str">
        <x:v>2026-07-12</x:v>
      </x:c>
    </x:row>
    <x:row r="299">
      <x:c r="A299" s="32" t="str">
        <x:v>Google Cloud</x:v>
      </x:c>
      <x:c r="B299" s="32" t="str">
        <x:v>VM Manager</x:v>
      </x:c>
      <x:c r="C299" s="32" t="str">
        <x:v>Named service / product family</x:v>
      </x:c>
      <x:c r="D299" s="32" t="str">
        <x:v>Governance &amp; Management</x:v>
      </x:c>
      <x:c r="E299" s="32" t="str">
        <x:v>Operations automation</x:v>
      </x:c>
      <x:c r="F299" s="32" t="str">
        <x:v>Cloud operations automation</x:v>
      </x:c>
      <x:c r="G299" s="32" t="str">
        <x:v>Automate patching, runbooks, configuration and routine operational actions.</x:v>
      </x:c>
      <x:c r="H299" s="32" t="str">
        <x:v>Close</x:v>
      </x:c>
      <x:c r="I299" s="32"/>
      <x:c r="J299" s="32" t="str">
        <x:v>https://docs.cloud.google.com/docs/product-list</x:v>
      </x:c>
      <x:c r="K299" s="32" t="str">
        <x:v>2026-07-12</x:v>
      </x:c>
    </x:row>
    <x:row r="300">
      <x:c r="A300" s="32" t="str">
        <x:v>Google Cloud</x:v>
      </x:c>
      <x:c r="B300" s="32" t="str">
        <x:v>VPC firewall rules</x:v>
      </x:c>
      <x:c r="C300" s="32" t="str">
        <x:v>Named service / product family</x:v>
      </x:c>
      <x:c r="D300" s="32" t="str">
        <x:v>Networking</x:v>
      </x:c>
      <x:c r="E300" s="32" t="str">
        <x:v>Network segmentation</x:v>
      </x:c>
      <x:c r="F300" s="32" t="str">
        <x:v>Network security groups</x:v>
      </x:c>
      <x:c r="G300" s="32" t="str">
        <x:v>Apply stateful network access rules to interfaces, workloads or subnets.</x:v>
      </x:c>
      <x:c r="H300" s="32" t="str">
        <x:v>Close</x:v>
      </x:c>
      <x:c r="I300" s="32"/>
      <x:c r="J300" s="32" t="str">
        <x:v>https://docs.cloud.google.com/docs/product-list</x:v>
      </x:c>
      <x:c r="K300" s="32" t="str">
        <x:v>2026-07-12</x:v>
      </x:c>
    </x:row>
    <x:row r="301">
      <x:c r="A301" s="32" t="str">
        <x:v>Google Cloud</x:v>
      </x:c>
      <x:c r="B301" s="32" t="str">
        <x:v>VPC Flow Logs</x:v>
      </x:c>
      <x:c r="C301" s="32" t="str">
        <x:v>Named service / product family</x:v>
      </x:c>
      <x:c r="D301" s="32" t="str">
        <x:v>Networking</x:v>
      </x:c>
      <x:c r="E301" s="32" t="str">
        <x:v>Network visibility</x:v>
      </x:c>
      <x:c r="F301" s="32" t="str">
        <x:v>Network monitoring and diagnostics</x:v>
      </x:c>
      <x:c r="G301" s="32" t="str">
        <x:v>Analyse topology, flows, connectivity, latency and network health.</x:v>
      </x:c>
      <x:c r="H301" s="32" t="str">
        <x:v>Close</x:v>
      </x:c>
      <x:c r="I301" s="32"/>
      <x:c r="J301" s="32" t="str">
        <x:v>https://docs.cloud.google.com/docs/product-list</x:v>
      </x:c>
      <x:c r="K301" s="32" t="str">
        <x:v>2026-07-12</x:v>
      </x:c>
    </x:row>
    <x:row r="302">
      <x:c r="A302" s="32" t="str">
        <x:v>Google Cloud</x:v>
      </x:c>
      <x:c r="B302" s="32" t="str">
        <x:v>VPC Service Controls</x:v>
      </x:c>
      <x:c r="C302" s="32" t="str">
        <x:v>Named service / product family</x:v>
      </x:c>
      <x:c r="D302" s="32" t="str">
        <x:v>Security, Identity &amp; Compliance</x:v>
      </x:c>
      <x:c r="E302" s="32" t="str">
        <x:v>Data perimeter</x:v>
      </x:c>
      <x:c r="F302" s="32" t="str">
        <x:v>Service data perimeter</x:v>
      </x:c>
      <x:c r="G302" s="32" t="str">
        <x:v>Restrict data movement and service access across trusted cloud boundaries.</x:v>
      </x:c>
      <x:c r="H302" s="32" t="str">
        <x:v>Close</x:v>
      </x:c>
      <x:c r="I302" s="32"/>
      <x:c r="J302" s="32" t="str">
        <x:v>https://docs.cloud.google.com/docs/product-list</x:v>
      </x:c>
      <x:c r="K302" s="32" t="str">
        <x:v>2026-07-12</x:v>
      </x:c>
    </x:row>
    <x:row r="303">
      <x:c r="A303" s="32" t="str">
        <x:v>Google Cloud</x:v>
      </x:c>
      <x:c r="B303" s="32" t="str">
        <x:v>WebRTC on Google Cloud / partner platforms</x:v>
      </x:c>
      <x:c r="C303" s="32" t="str">
        <x:v>Architecture / partner alternative</x:v>
      </x:c>
      <x:c r="D303" s="32" t="str">
        <x:v>Media &amp; Communications</x:v>
      </x:c>
      <x:c r="E303" s="32" t="str">
        <x:v>Interactive streaming</x:v>
      </x:c>
      <x:c r="F303" s="32" t="str">
        <x:v>Interactive low-latency streaming</x:v>
      </x:c>
      <x:c r="G303" s="32" t="str">
        <x:v>Build low-latency live video experiences with interactive application features.</x:v>
      </x:c>
      <x:c r="H303" s="32" t="str">
        <x:v>Partial</x:v>
      </x:c>
      <x:c r="I303" s="32"/>
      <x:c r="J303" s="32" t="str">
        <x:v>https://docs.cloud.google.com/docs/product-list</x:v>
      </x:c>
      <x:c r="K303" s="32" t="str">
        <x:v>2026-07-12</x:v>
      </x:c>
    </x:row>
    <x:row r="304">
      <x:c r="A304" s="32" t="str">
        <x:v>Google Cloud</x:v>
      </x:c>
      <x:c r="B304" s="32" t="str">
        <x:v>Workflows</x:v>
      </x:c>
      <x:c r="C304" s="32" t="str">
        <x:v>Named service / product family</x:v>
      </x:c>
      <x:c r="D304" s="32" t="str">
        <x:v>Application Integration
Governance &amp; Management</x:v>
      </x:c>
      <x:c r="E304" s="32" t="str">
        <x:v>Operations automation
Workflow</x:v>
      </x:c>
      <x:c r="F304" s="32" t="str">
        <x:v>Cloud operations automation
Serverless workflow orchestration</x:v>
      </x:c>
      <x:c r="G304" s="32" t="str">
        <x:v>Automate patching, runbooks, configuration and routine operational actions.</x:v>
      </x:c>
      <x:c r="H304" s="32" t="str">
        <x:v>Close</x:v>
      </x:c>
      <x:c r="I304" s="32"/>
      <x:c r="J304" s="32" t="str">
        <x:v>https://docs.cloud.google.com/docs/product-list</x:v>
      </x:c>
      <x:c r="K304" s="32" t="str">
        <x:v>2026-07-12</x:v>
      </x:c>
    </x:row>
    <x:row r="305">
      <x:c r="A305" s="32" t="str">
        <x:v>Google Cloud</x:v>
      </x:c>
      <x:c r="B305" s="32" t="str">
        <x:v>Zephyr / partner ecosystem</x:v>
      </x:c>
      <x:c r="C305" s="32" t="str">
        <x:v>Architecture / partner alternative</x:v>
      </x:c>
      <x:c r="D305" s="32" t="str">
        <x:v>IoT &amp; Edge</x:v>
      </x:c>
      <x:c r="E305" s="32" t="str">
        <x:v>Embedded OS</x:v>
      </x:c>
      <x:c r="F305" s="32" t="str">
        <x:v>Embedded real-time operating system</x:v>
      </x:c>
      <x:c r="G305" s="32" t="str">
        <x:v>Provide an open real-time operating system and cloud integration for microcontrollers.</x:v>
      </x:c>
      <x:c r="H305" s="32" t="str">
        <x:v>Partial</x:v>
      </x:c>
      <x:c r="I305" s="32"/>
      <x:c r="J305" s="32" t="str">
        <x:v>https://docs.cloud.google.com/docs/product-list</x:v>
      </x:c>
      <x:c r="K305" s="32" t="str">
        <x:v>2026-07-12</x:v>
      </x:c>
    </x:row>
  </x:sheetData>
  <x:mergeCells>
    <x:mergeCell ref="A1:K1"/>
    <x:mergeCell ref="A2:K2"/>
  </x:mergeCells>
  <x:pageMargins left="0.7" right="0.7" top="0.75" bottom="0.75" header="0.3" footer="0.3"/>
  <x:tableParts count="1">
    <x:tablePart xmlns:r="http://schemas.openxmlformats.org/officeDocument/2006/relationships" r:id="R5093a924de534fc1"/>
  </x:tableParts>
</x:worksheet>
</file>

<file path=xl/worksheets/sheet12.xml><?xml version="1.0" encoding="utf-8"?>
<x:worksheet xmlns:x="http://schemas.openxmlformats.org/spreadsheetml/2006/main">
  <x:sheetFormatPr defaultRowHeight="15"/>
  <x:cols>
    <x:col min="1" max="1" width="26" hidden="0" customWidth="1"/>
    <x:col min="2" max="2" width="16" hidden="0" customWidth="1"/>
    <x:col min="3" max="3" width="52" hidden="0" customWidth="1"/>
    <x:col min="4" max="4" width="52" hidden="0" customWidth="1"/>
    <x:col min="5" max="5" width="55" hidden="0" customWidth="1"/>
  </x:cols>
  <x:sheetData>
    <x:row r="1" ht="30" customHeight="1">
      <x:c r="A1" s="5" t="str">
        <x:v>Selection Criteria and Rating Method</x:v>
      </x:c>
      <x:c r="B1" s="5"/>
      <x:c r="C1" s="5"/>
      <x:c r="D1" s="5"/>
      <x:c r="E1" s="5"/>
    </x:row>
    <x:row r="2" ht="34" customHeight="1">
      <x:c r="A2" s="14" t="str">
        <x:v>Edit the default weights to change the overall provider scores. Ratings are directional decision-support heuristics, not universal vendor rankings.</x:v>
      </x:c>
      <x:c r="B2" s="14"/>
      <x:c r="C2" s="14"/>
      <x:c r="D2" s="14"/>
      <x:c r="E2" s="14"/>
    </x:row>
    <x:row r="4" ht="34" customHeight="1">
      <x:c r="A4" s="24" t="str">
        <x:v>Criterion</x:v>
      </x:c>
      <x:c r="B4" s="24" t="str">
        <x:v>Default weight</x:v>
      </x:c>
      <x:c r="C4" s="24" t="str">
        <x:v>What it measures</x:v>
      </x:c>
      <x:c r="D4" s="24" t="str">
        <x:v>High score means</x:v>
      </x:c>
      <x:c r="E4" s="24" t="str">
        <x:v>Architect check</x:v>
      </x:c>
    </x:row>
    <x:row r="5">
      <x:c r="A5" s="32" t="str">
        <x:v>Capability depth</x:v>
      </x:c>
      <x:c r="B5" s="38" t="n">
        <x:v>0.25</x:v>
      </x:c>
      <x:c r="C5" s="32" t="str">
        <x:v>Breadth, feature completeness and suitability for the capability.</x:v>
      </x:c>
      <x:c r="D5" s="32" t="str">
        <x:v>The provider has a strong first-party service and mature feature set.</x:v>
      </x:c>
      <x:c r="E5" s="32" t="str">
        <x:v>Does the service meet the non-functional requirements without multiple add-ons?</x:v>
      </x:c>
    </x:row>
    <x:row r="6">
      <x:c r="A6" s="32" t="str">
        <x:v>Ease of use</x:v>
      </x:c>
      <x:c r="B6" s="38" t="n">
        <x:v>0.2</x:v>
      </x:c>
      <x:c r="C6" s="32" t="str">
        <x:v>Time and cognitive effort to learn, configure and operate.</x:v>
      </x:c>
      <x:c r="D6" s="32" t="str">
        <x:v>A team can reach production value with lower specialist overhead.</x:v>
      </x:c>
      <x:c r="E6" s="32" t="str">
        <x:v>Can the current team operate it safely, or is a platform team required?</x:v>
      </x:c>
    </x:row>
    <x:row r="7">
      <x:c r="A7" s="32" t="str">
        <x:v>Enterprise integration</x:v>
      </x:c>
      <x:c r="B7" s="38" t="n">
        <x:v>0.15</x:v>
      </x:c>
      <x:c r="C7" s="32" t="str">
        <x:v>Fit with identity, security, productivity, governance and existing enterprise systems.</x:v>
      </x:c>
      <x:c r="D7" s="32" t="str">
        <x:v>Native integration reduces delivery and governance effort.</x:v>
      </x:c>
      <x:c r="E7" s="32" t="str">
        <x:v>Which strategic platforms and commercial agreements already exist?</x:v>
      </x:c>
    </x:row>
    <x:row r="8">
      <x:c r="A8" s="32" t="str">
        <x:v>Data &amp; AI fit</x:v>
      </x:c>
      <x:c r="B8" s="38" t="n">
        <x:v>0.15</x:v>
      </x:c>
      <x:c r="C8" s="32" t="str">
        <x:v>Integration with data, analytics, ML and generative-AI capabilities.</x:v>
      </x:c>
      <x:c r="D8" s="32" t="str">
        <x:v>The service fits the intended data and intelligence architecture.</x:v>
      </x:c>
      <x:c r="E8" s="32" t="str">
        <x:v>Where is the data gravity, model platform and analytics estate?</x:v>
      </x:c>
    </x:row>
    <x:row r="9">
      <x:c r="A9" s="32" t="str">
        <x:v>Portability</x:v>
      </x:c>
      <x:c r="B9" s="38" t="n">
        <x:v>0.1</x:v>
      </x:c>
      <x:c r="C9" s="32" t="str">
        <x:v>Ability to move skills, applications or data across platforms.</x:v>
      </x:c>
      <x:c r="D9" s="32" t="str">
        <x:v>Open standards and common engines reduce switching effort.</x:v>
      </x:c>
      <x:c r="E9" s="32" t="str">
        <x:v>Is portability a contractual requirement or only a preference?</x:v>
      </x:c>
    </x:row>
    <x:row r="10">
      <x:c r="A10" s="32" t="str">
        <x:v>Operational maturity</x:v>
      </x:c>
      <x:c r="B10" s="38" t="n">
        <x:v>0.1</x:v>
      </x:c>
      <x:c r="C10" s="32" t="str">
        <x:v>Reliability, observability, automation and production operating experience.</x:v>
      </x:c>
      <x:c r="D10" s="32" t="str">
        <x:v>The service has mature operations and support mechanisms.</x:v>
      </x:c>
      <x:c r="E10" s="32" t="str">
        <x:v>How will incidents, changes, SLOs and support escalation work?</x:v>
      </x:c>
    </x:row>
    <x:row r="11">
      <x:c r="A11" s="32" t="str">
        <x:v>Cost predictability</x:v>
      </x:c>
      <x:c r="B11" s="38" t="n">
        <x:v>0.05</x:v>
      </x:c>
      <x:c r="C11" s="32" t="str">
        <x:v>Ability to forecast and control total cost under realistic usage.</x:v>
      </x:c>
      <x:c r="D11" s="32" t="str">
        <x:v>Pricing behaviour is understandable and governable.</x:v>
      </x:c>
      <x:c r="E11" s="32" t="str">
        <x:v>Have you modelled scale, egress, idle capacity and support costs?</x:v>
      </x:c>
    </x:row>
    <x:row r="14">
      <x:c r="A14" s="24" t="str">
        <x:v>Rating scale</x:v>
      </x:c>
      <x:c r="B14" s="24" t="str">
        <x:v>Meaning</x:v>
      </x:c>
      <x:c r="C14" s="24" t="str">
        <x:v>Use in decisions</x:v>
      </x:c>
      <x:c r="D14" s="24" t="str"/>
      <x:c r="E14" s="24" t="str"/>
    </x:row>
    <x:row r="15">
      <x:c r="A15" s="32" t="n">
        <x:v>5</x:v>
      </x:c>
      <x:c r="B15" s="32" t="str">
        <x:v>Leading / very strong</x:v>
      </x:c>
      <x:c r="C15" s="32" t="str">
        <x:v>A strong default for the capability when ecosystem constraints do not override it.</x:v>
      </x:c>
      <x:c r="D15" s="32" t="str"/>
      <x:c r="E15" s="32" t="str"/>
    </x:row>
    <x:row r="16">
      <x:c r="A16" s="32" t="n">
        <x:v>4</x:v>
      </x:c>
      <x:c r="B16" s="32" t="str">
        <x:v>Strong</x:v>
      </x:c>
      <x:c r="C16" s="32" t="str">
        <x:v>Mature and usually suitable, with normal trade-offs.</x:v>
      </x:c>
      <x:c r="D16" s="32" t="str"/>
      <x:c r="E16" s="32" t="str"/>
    </x:row>
    <x:row r="17">
      <x:c r="A17" s="32" t="n">
        <x:v>3</x:v>
      </x:c>
      <x:c r="B17" s="32" t="str">
        <x:v>Capable / context-dependent</x:v>
      </x:c>
      <x:c r="C17" s="32" t="str">
        <x:v>Viable, but evaluate gaps, partners or operating complexity.</x:v>
      </x:c>
      <x:c r="D17" s="32" t="str"/>
      <x:c r="E17" s="32" t="str"/>
    </x:row>
    <x:row r="18">
      <x:c r="A18" s="32" t="n">
        <x:v>2</x:v>
      </x:c>
      <x:c r="B18" s="32" t="str">
        <x:v>Limited / specialist</x:v>
      </x:c>
      <x:c r="C18" s="32" t="str">
        <x:v>Use only when a specific requirement or existing estate justifies it.</x:v>
      </x:c>
      <x:c r="D18" s="32" t="str"/>
      <x:c r="E18" s="32" t="str"/>
    </x:row>
    <x:row r="19">
      <x:c r="A19" s="32" t="n">
        <x:v>1</x:v>
      </x:c>
      <x:c r="B19" s="32" t="str">
        <x:v>Weak fit</x:v>
      </x:c>
      <x:c r="C19" s="32" t="str">
        <x:v>Normally select an alternative unless constrained.</x:v>
      </x:c>
      <x:c r="D19" s="32" t="str"/>
      <x:c r="E19" s="32" t="str"/>
    </x:row>
    <x:row r="22">
      <x:c r="A22" s="24" t="str">
        <x:v>Decision guardrails</x:v>
      </x:c>
      <x:c r="B22" s="24" t="str"/>
      <x:c r="C22" s="24" t="str"/>
      <x:c r="D22" s="24" t="str"/>
      <x:c r="E22" s="24" t="str"/>
    </x:row>
    <x:row r="23">
      <x:c r="A23" s="42" t="str">
        <x:v>1</x:v>
      </x:c>
      <x:c r="B23" s="32" t="str">
        <x:v>Prefer the simplest managed service that satisfies the requirement.</x:v>
      </x:c>
      <x:c r="C23" s="32" t="str">
        <x:v>Avoid Kubernetes, distributed databases or multicloud unless the requirement justifies their complexity.</x:v>
      </x:c>
      <x:c r="D23" s="32" t="str"/>
      <x:c r="E23" s="32" t="str"/>
    </x:row>
    <x:row r="24">
      <x:c r="A24" s="42" t="str">
        <x:v>2</x:v>
      </x:c>
      <x:c r="B24" s="32" t="str">
        <x:v>Prefer the strategic cloud when capability differences are small.</x:v>
      </x:c>
      <x:c r="C24" s="32" t="str">
        <x:v>Identity, skills, contracts, data gravity and support often outweigh a 0.1–0.2 score difference.</x:v>
      </x:c>
      <x:c r="D24" s="32" t="str"/>
      <x:c r="E24" s="32" t="str"/>
    </x:row>
    <x:row r="25">
      <x:c r="A25" s="42" t="str">
        <x:v>3</x:v>
      </x:c>
      <x:c r="B25" s="32" t="str">
        <x:v>Separate mandatory requirements from preferences.</x:v>
      </x:c>
      <x:c r="C25" s="32" t="str">
        <x:v>Residency, SLA, security and compatibility are constraints; interface preference is not.</x:v>
      </x:c>
      <x:c r="D25" s="32" t="str"/>
      <x:c r="E25" s="32" t="str"/>
    </x:row>
    <x:row r="26">
      <x:c r="A26" s="42" t="str">
        <x:v>4</x:v>
      </x:c>
      <x:c r="B26" s="32" t="str">
        <x:v>Validate with a representative proof of value.</x:v>
      </x:c>
      <x:c r="C26" s="32" t="str">
        <x:v>Benchmark quality, latency, reliability and cost with real data and traffic.</x:v>
      </x:c>
      <x:c r="D26" s="32" t="str"/>
      <x:c r="E26" s="32" t="str"/>
    </x:row>
    <x:row r="27">
      <x:c r="A27" s="42" t="str">
        <x:v>5</x:v>
      </x:c>
      <x:c r="B27" s="32" t="str">
        <x:v>Record the decision and revisit triggers.</x:v>
      </x:c>
      <x:c r="C27" s="32" t="str">
        <x:v>Document alternatives, trade-offs and conditions that would cause reassessment.</x:v>
      </x:c>
      <x:c r="D27" s="32" t="str"/>
      <x:c r="E27" s="32" t="str"/>
    </x:row>
  </x:sheetData>
  <x:mergeCells>
    <x:mergeCell ref="A1:E1"/>
    <x:mergeCell ref="A2:E2"/>
    <x:mergeCell ref="C14:E14"/>
    <x:mergeCell ref="A22:E22"/>
  </x:mergeCells>
  <x:conditionalFormatting sqref="A15:A19">
    <x:cfRule type="colorScale" priority="1">
      <x:colorScale>
        <x:cfvo type="min"/>
        <x:cfvo type="percentile" val="50"/>
        <x:cfvo type="max"/>
        <x:color rgb="FFFCE4D6"/>
        <x:color rgb="FFFFF2CC"/>
        <x:color rgb="FFE2F0D9"/>
      </x:colorScale>
    </x:cfRule>
  </x:conditionalFormatting>
  <x:pageMargins left="0.7" right="0.7" top="0.75" bottom="0.75" header="0.3" footer="0.3"/>
  <x:tableParts count="1">
    <x:tablePart xmlns:r="http://schemas.openxmlformats.org/officeDocument/2006/relationships" r:id="Rc931dfadee334fa0"/>
  </x:tableParts>
</x:worksheet>
</file>

<file path=xl/worksheets/sheet13.xml><?xml version="1.0" encoding="utf-8"?>
<x:worksheet xmlns:x="http://schemas.openxmlformats.org/spreadsheetml/2006/main">
  <x:sheetFormatPr defaultRowHeight="15"/>
  <x:cols>
    <x:col min="1" max="1" width="22" hidden="0" customWidth="1"/>
    <x:col min="2" max="2" width="76" hidden="0" customWidth="1"/>
    <x:col min="3" max="3" width="52" hidden="0" customWidth="1"/>
    <x:col min="4" max="4" width="16" hidden="0" customWidth="1"/>
    <x:col min="5" max="5" width="50" hidden="0" customWidth="1"/>
    <x:col min="6" max="6" width="68" hidden="0" customWidth="1"/>
  </x:cols>
  <x:sheetData>
    <x:row r="1" ht="30" customHeight="1">
      <x:c r="A1" s="5" t="str">
        <x:v>Official Sources and Methodology Register</x:v>
      </x:c>
      <x:c r="B1" s="5"/>
      <x:c r="C1" s="5"/>
      <x:c r="D1" s="5"/>
      <x:c r="E1" s="5"/>
      <x:c r="F1" s="5"/>
    </x:row>
    <x:row r="2" ht="34" customHeight="1">
      <x:c r="A2" s="14" t="str">
        <x:v>Official product and architecture sources validate service names and selection principles. The comparative ratings are editorial heuristics and must be revalidated for each workload.</x:v>
      </x:c>
      <x:c r="B2" s="14"/>
      <x:c r="C2" s="14"/>
      <x:c r="D2" s="14"/>
      <x:c r="E2" s="14"/>
      <x:c r="F2" s="14"/>
    </x:row>
    <x:row r="4" ht="34" customHeight="1">
      <x:c r="A4" s="24" t="str">
        <x:v>Provider / type</x:v>
      </x:c>
      <x:c r="B4" s="24" t="str">
        <x:v>Official source</x:v>
      </x:c>
      <x:c r="C4" s="24" t="str">
        <x:v>Purpose</x:v>
      </x:c>
      <x:c r="D4" s="24" t="str">
        <x:v>Checked date</x:v>
      </x:c>
      <x:c r="E4" s="24" t="str">
        <x:v>Use in workbook</x:v>
      </x:c>
      <x:c r="F4" s="24" t="str">
        <x:v>Important note</x:v>
      </x:c>
    </x:row>
    <x:row r="5">
      <x:c r="A5" s="32" t="str">
        <x:v>AWS</x:v>
      </x:c>
      <x:c r="B5" s="32" t="str">
        <x:v>https://docs.aws.amazon.com/whitepapers/latest/aws-overview/amazon-web-services-cloud-platform.html</x:v>
      </x:c>
      <x:c r="C5" s="32" t="str">
        <x:v>AWS services by category</x:v>
      </x:c>
      <x:c r="D5" s="32" t="str">
        <x:v>2026-07-12</x:v>
      </x:c>
      <x:c r="E5" s="32" t="str">
        <x:v>Service catalogue and category validation</x:v>
      </x:c>
      <x:c r="F5" s="32" t="str">
        <x:v>Check AWS service availability and lifecycle notices before commitment.</x:v>
      </x:c>
    </x:row>
    <x:row r="6">
      <x:c r="A6" s="32" t="str">
        <x:v>AWS</x:v>
      </x:c>
      <x:c r="B6" s="32" t="str">
        <x:v>https://docs.aws.amazon.com/wellarchitected/latest/framework/perf-arch.html</x:v>
      </x:c>
      <x:c r="C6" s="32" t="str">
        <x:v>Architecture selection in the AWS Well-Architected Framework</x:v>
      </x:c>
      <x:c r="D6" s="32" t="str">
        <x:v>2026-07-12</x:v>
      </x:c>
      <x:c r="E6" s="32" t="str">
        <x:v>Decision principles</x:v>
      </x:c>
      <x:c r="F6" s="32" t="str">
        <x:v>Selection must consider workload requirements and multiple architecture approaches.</x:v>
      </x:c>
    </x:row>
    <x:row r="7">
      <x:c r="A7" s="32" t="str">
        <x:v>AWS</x:v>
      </x:c>
      <x:c r="B7" s="32" t="str">
        <x:v>https://docs.aws.amazon.com/compute-on-aws-how-to-choose/</x:v>
      </x:c>
      <x:c r="C7" s="32" t="str">
        <x:v>Choosing an AWS compute service</x:v>
      </x:c>
      <x:c r="D7" s="32" t="str">
        <x:v>2026-07-12</x:v>
      </x:c>
      <x:c r="E7" s="32" t="str">
        <x:v>Compute decision criteria</x:v>
      </x:c>
      <x:c r="F7" s="32" t="str">
        <x:v>Use workload, integration, reliability, security and cost criteria.</x:v>
      </x:c>
    </x:row>
    <x:row r="8">
      <x:c r="A8" s="32" t="str">
        <x:v>AWS</x:v>
      </x:c>
      <x:c r="B8" s="32" t="str">
        <x:v>https://docs.aws.amazon.com/decision-guides/latest/application-integration-on-aws-how-to-choose/application-integration-on-aws-how-to-choose.html</x:v>
      </x:c>
      <x:c r="C8" s="32" t="str">
        <x:v>Choosing AWS application integration services</x:v>
      </x:c>
      <x:c r="D8" s="32" t="str">
        <x:v>2026-07-12</x:v>
      </x:c>
      <x:c r="E8" s="32" t="str">
        <x:v>Integration decision questions</x:v>
      </x:c>
      <x:c r="F8" s="32" t="str">
        <x:v>Choose by messaging semantics and workload needs.</x:v>
      </x:c>
    </x:row>
    <x:row r="9">
      <x:c r="A9" s="32" t="str">
        <x:v>Microsoft Azure</x:v>
      </x:c>
      <x:c r="B9" s="32" t="str">
        <x:v>https://azure.microsoft.com/en-us/products</x:v>
      </x:c>
      <x:c r="C9" s="32" t="str">
        <x:v>Azure A–Z product catalogue</x:v>
      </x:c>
      <x:c r="D9" s="32" t="str">
        <x:v>2026-07-12</x:v>
      </x:c>
      <x:c r="E9" s="32" t="str">
        <x:v>Service name and category validation</x:v>
      </x:c>
      <x:c r="F9" s="32" t="str">
        <x:v>Availability varies by region and release status.</x:v>
      </x:c>
    </x:row>
    <x:row r="10">
      <x:c r="A10" s="32" t="str">
        <x:v>Microsoft Azure</x:v>
      </x:c>
      <x:c r="B10" s="32" t="str">
        <x:v>https://learn.microsoft.com/en-us/azure/architecture/guide/technology-choices/technology-choices-overview</x:v>
      </x:c>
      <x:c r="C10" s="32" t="str">
        <x:v>Azure technology choices</x:v>
      </x:c>
      <x:c r="D10" s="32" t="str">
        <x:v>2026-07-12</x:v>
      </x:c>
      <x:c r="E10" s="32" t="str">
        <x:v>Comparison matrices, flowcharts and decision-tree approach</x:v>
      </x:c>
      <x:c r="F10" s="32" t="str">
        <x:v>The workbook mirrors this requirement-led approach across clouds.</x:v>
      </x:c>
    </x:row>
    <x:row r="11">
      <x:c r="A11" s="32" t="str">
        <x:v>Microsoft Azure</x:v>
      </x:c>
      <x:c r="B11" s="32" t="str">
        <x:v>https://learn.microsoft.com/en-us/azure/architecture/</x:v>
      </x:c>
      <x:c r="C11" s="32" t="str">
        <x:v>Azure Architecture Center</x:v>
      </x:c>
      <x:c r="D11" s="32" t="str">
        <x:v>2026-07-12</x:v>
      </x:c>
      <x:c r="E11" s="32" t="str">
        <x:v>Reference architectures and established patterns</x:v>
      </x:c>
      <x:c r="F11" s="32" t="str">
        <x:v>Use reference architectures after selecting the capability.</x:v>
      </x:c>
    </x:row>
    <x:row r="12">
      <x:c r="A12" s="32" t="str">
        <x:v>Google Cloud</x:v>
      </x:c>
      <x:c r="B12" s="32" t="str">
        <x:v>https://docs.cloud.google.com/docs/product-list</x:v>
      </x:c>
      <x:c r="C12" s="32" t="str">
        <x:v>Google Cloud products at a glance</x:v>
      </x:c>
      <x:c r="D12" s="32" t="str">
        <x:v>2026-07-12</x:v>
      </x:c>
      <x:c r="E12" s="32" t="str">
        <x:v>Service name and category validation</x:v>
      </x:c>
      <x:c r="F12" s="32" t="str">
        <x:v>Check launch stage and regional support.</x:v>
      </x:c>
    </x:row>
    <x:row r="13">
      <x:c r="A13" s="32" t="str">
        <x:v>Google Cloud</x:v>
      </x:c>
      <x:c r="B13" s="32" t="str">
        <x:v>https://docs.cloud.google.com/architecture</x:v>
      </x:c>
      <x:c r="C13" s="32" t="str">
        <x:v>Google Cloud Architecture Center</x:v>
      </x:c>
      <x:c r="D13" s="32" t="str">
        <x:v>2026-07-12</x:v>
      </x:c>
      <x:c r="E13" s="32" t="str">
        <x:v>Reference architectures and design guidance</x:v>
      </x:c>
      <x:c r="F13" s="32" t="str">
        <x:v>Use workload-specific guidance for final design.</x:v>
      </x:c>
    </x:row>
    <x:row r="14">
      <x:c r="A14" s="32" t="str">
        <x:v>Google Cloud</x:v>
      </x:c>
      <x:c r="B14" s="32" t="str">
        <x:v>https://docs.cloud.google.com/architecture/framework</x:v>
      </x:c>
      <x:c r="C14" s="32" t="str">
        <x:v>Google Cloud Well-Architected Framework</x:v>
      </x:c>
      <x:c r="D14" s="32" t="str">
        <x:v>2026-07-12</x:v>
      </x:c>
      <x:c r="E14" s="32" t="str">
        <x:v>Security, reliability, performance, cost and sustainability criteria</x:v>
      </x:c>
      <x:c r="F14" s="32" t="str">
        <x:v>The workbook criteria align broadly with well-architected trade-offs.</x:v>
      </x:c>
    </x:row>
    <x:row r="15">
      <x:c r="A15" s="32" t="str">
        <x:v>Workbook methodology</x:v>
      </x:c>
      <x:c r="B15" s="32" t="str">
        <x:v>Internal decision-support heuristic</x:v>
      </x:c>
      <x:c r="C15" s="32" t="str">
        <x:v>Seven-criterion rating model and cognitive simplification</x:v>
      </x:c>
      <x:c r="D15" s="32" t="str">
        <x:v>2026-07-12</x:v>
      </x:c>
      <x:c r="E15" s="32" t="str">
        <x:v>Default recommendations and scores</x:v>
      </x:c>
      <x:c r="F15" s="32" t="str">
        <x:v>Not an independent benchmark. Adjust weights and validate through proof of value.</x:v>
      </x:c>
    </x:row>
    <x:row r="18">
      <x:c r="A18" s="154" t="str">
        <x:v>Deep-Dive Product, Governance and Compliance Sources</x:v>
      </x:c>
      <x:c r="B18" s="154"/>
      <x:c r="C18" s="154"/>
      <x:c r="D18" s="154"/>
      <x:c r="E18" s="154"/>
      <x:c r="F18" s="154"/>
    </x:row>
    <x:row r="20" ht="38" customHeight="1">
      <x:c r="A20" s="154" t="str">
        <x:v>Provider / type</x:v>
      </x:c>
      <x:c r="B20" s="154" t="str">
        <x:v>Official source</x:v>
      </x:c>
      <x:c r="C20" s="154" t="str">
        <x:v>Purpose</x:v>
      </x:c>
      <x:c r="D20" s="154" t="str">
        <x:v>Checked date</x:v>
      </x:c>
      <x:c r="E20" s="154" t="str">
        <x:v>Use in workbook</x:v>
      </x:c>
      <x:c r="F20" s="154" t="str">
        <x:v>Important note</x:v>
      </x:c>
    </x:row>
    <x:row r="21">
      <x:c r="A21" s="115" t="str">
        <x:v>Databricks</x:v>
      </x:c>
      <x:c r="B21" s="115" t="str">
        <x:v>https://docs.databricks.com/aws/en/data-governance/unity-catalog/</x:v>
      </x:c>
      <x:c r="C21" s="115" t="str">
        <x:v>Unity Catalog data and AI governance</x:v>
      </x:c>
      <x:c r="D21" s="115" t="str">
        <x:v>2026-07-12</x:v>
      </x:c>
      <x:c r="E21" s="115" t="str">
        <x:v>AI Platform Components and governance controls</x:v>
      </x:c>
      <x:c r="F21" s="115" t="str">
        <x:v>Unity AI Gateway and service policies include Beta features; validate production status.</x:v>
      </x:c>
    </x:row>
    <x:row r="22">
      <x:c r="A22" s="115" t="str">
        <x:v>Databricks</x:v>
      </x:c>
      <x:c r="B22" s="115" t="str">
        <x:v>https://docs.databricks.com/aws/en/ai-gateway/</x:v>
      </x:c>
      <x:c r="C22" s="115" t="str">
        <x:v>Unity AI Gateway asset, traffic and behaviour governance</x:v>
      </x:c>
      <x:c r="D22" s="115" t="str">
        <x:v>2026-07-12</x:v>
      </x:c>
      <x:c r="E22" s="115" t="str">
        <x:v>AI gateway, budgets, service policies and logging</x:v>
      </x:c>
      <x:c r="F22" s="115" t="str">
        <x:v>New Unity AI Gateway is Beta as of July 2026.</x:v>
      </x:c>
    </x:row>
    <x:row r="23">
      <x:c r="A23" s="115" t="str">
        <x:v>Databricks</x:v>
      </x:c>
      <x:c r="B23" s="115" t="str">
        <x:v>https://docs.databricks.com/aws/en/mlflow/</x:v>
      </x:c>
      <x:c r="C23" s="115" t="str">
        <x:v>MLflow 3 tracking, registry, evaluation and observability</x:v>
      </x:c>
      <x:c r="D23" s="115" t="str">
        <x:v>2026-07-12</x:v>
      </x:c>
      <x:c r="E23" s="115" t="str">
        <x:v>Model lifecycle, GenAI evaluation and traces</x:v>
      </x:c>
      <x:c r="F23" s="115" t="str">
        <x:v>MLflow Model Registry is integrated with Unity Catalog.</x:v>
      </x:c>
    </x:row>
    <x:row r="24">
      <x:c r="A24" s="115" t="str">
        <x:v>Microsoft</x:v>
      </x:c>
      <x:c r="B24" s="115" t="str">
        <x:v>https://learn.microsoft.com/en-us/azure/foundry/control-plane/overview</x:v>
      </x:c>
      <x:c r="C24" s="115" t="str">
        <x:v>Microsoft Foundry Control Plane</x:v>
      </x:c>
      <x:c r="D24" s="115" t="str">
        <x:v>2026-07-12</x:v>
      </x:c>
      <x:c r="E24" s="115" t="str">
        <x:v>Fleet governance, compliance, cost and security</x:v>
      </x:c>
      <x:c r="F24" s="115" t="str">
        <x:v>Several capabilities are preview; check SLA and production support.</x:v>
      </x:c>
    </x:row>
    <x:row r="25">
      <x:c r="A25" s="115" t="str">
        <x:v>Microsoft</x:v>
      </x:c>
      <x:c r="B25" s="115" t="str">
        <x:v>https://learn.microsoft.com/en-us/azure/foundry/concepts/observability</x:v>
      </x:c>
      <x:c r="C25" s="115" t="str">
        <x:v>Microsoft Foundry observability and evaluation</x:v>
      </x:c>
      <x:c r="D25" s="115" t="str">
        <x:v>2026-07-12</x:v>
      </x:c>
      <x:c r="E25" s="115" t="str">
        <x:v>Evaluation, monitoring and tracing</x:v>
      </x:c>
      <x:c r="F25" s="115" t="str">
        <x:v>Integrated with Application Insights and OpenTelemetry.</x:v>
      </x:c>
    </x:row>
    <x:row r="26">
      <x:c r="A26" s="115" t="str">
        <x:v>AWS</x:v>
      </x:c>
      <x:c r="B26" s="115" t="str">
        <x:v>https://docs.aws.amazon.com/sagemaker/latest/dg/governance.html</x:v>
      </x:c>
      <x:c r="C26" s="115" t="str">
        <x:v>SageMaker model governance</x:v>
      </x:c>
      <x:c r="D26" s="115" t="str">
        <x:v>2026-07-12</x:v>
      </x:c>
      <x:c r="E26" s="115" t="str">
        <x:v>Model cards, dashboard, roles and assets</x:v>
      </x:c>
      <x:c r="F26" s="115" t="str">
        <x:v>SageMaker and Bedrock cover different parts of the AI lifecycle.</x:v>
      </x:c>
    </x:row>
    <x:row r="27">
      <x:c r="A27" s="115" t="str">
        <x:v>AWS</x:v>
      </x:c>
      <x:c r="B27" s="115" t="str">
        <x:v>https://docs.aws.amazon.com/bedrock/latest/userguide/what-is-bedrock.html</x:v>
      </x:c>
      <x:c r="C27" s="115" t="str">
        <x:v>Amazon Bedrock platform</x:v>
      </x:c>
      <x:c r="D27" s="115" t="str">
        <x:v>2026-07-12</x:v>
      </x:c>
      <x:c r="E27" s="115" t="str">
        <x:v>Models, agents, RAG, prompt and evaluation components</x:v>
      </x:c>
      <x:c r="F27" s="115" t="str">
        <x:v>Pair with IAM, CloudTrail, CloudWatch, Security Hub and Audit Manager for enterprise governance.</x:v>
      </x:c>
    </x:row>
    <x:row r="28">
      <x:c r="A28" s="115" t="str">
        <x:v>Google Cloud</x:v>
      </x:c>
      <x:c r="B28" s="115" t="str">
        <x:v>https://docs.cloud.google.com/gemini-enterprise-agent-platform</x:v>
      </x:c>
      <x:c r="C28" s="115" t="str">
        <x:v>Gemini Enterprise Agent Platform</x:v>
      </x:c>
      <x:c r="D28" s="115" t="str">
        <x:v>2026-07-12</x:v>
      </x:c>
      <x:c r="E28" s="115" t="str">
        <x:v>Build, scale, govern and optimize agents and models</x:v>
      </x:c>
      <x:c r="F28" s="115" t="str">
        <x:v>Vertex AI is now part of Gemini Enterprise Agent Platform; names changed in June 2026.</x:v>
      </x:c>
    </x:row>
    <x:row r="29">
      <x:c r="A29" s="115" t="str">
        <x:v>Google Cloud</x:v>
      </x:c>
      <x:c r="B29" s="115" t="str">
        <x:v>https://docs.cloud.google.com/gemini-enterprise-agent-platform/govern</x:v>
      </x:c>
      <x:c r="C29" s="115" t="str">
        <x:v>Agent governance</x:v>
      </x:c>
      <x:c r="D29" s="115" t="str">
        <x:v>2026-07-12</x:v>
      </x:c>
      <x:c r="E29" s="115" t="str">
        <x:v>Registry, identity, gateway, security, audit and oversight</x:v>
      </x:c>
      <x:c r="F29" s="115" t="str">
        <x:v>Some gateway and governance capabilities are preview.</x:v>
      </x:c>
    </x:row>
    <x:row r="30">
      <x:c r="A30" s="115" t="str">
        <x:v>Databases</x:v>
      </x:c>
      <x:c r="B30" s="115" t="str">
        <x:v>https://learn.microsoft.com/en-us/azure/architecture/data-guide/technology-choices/understand-data-store-models</x:v>
      </x:c>
      <x:c r="C30" s="115" t="str">
        <x:v>Data-store selection models</x:v>
      </x:c>
      <x:c r="D30" s="115" t="str">
        <x:v>2026-07-12</x:v>
      </x:c>
      <x:c r="E30" s="115" t="str">
        <x:v>SQL, NoSQL, vector, graph and analytical selection</x:v>
      </x:c>
      <x:c r="F30" s="115" t="str">
        <x:v>Choose data model from access patterns before choosing a product.</x:v>
      </x:c>
    </x:row>
    <x:row r="31">
      <x:c r="A31" s="115" t="str">
        <x:v>European Union</x:v>
      </x:c>
      <x:c r="B31" s="115" t="str">
        <x:v>https://digital-strategy.ec.europa.eu/en/policies/regulatory-framework-ai</x:v>
      </x:c>
      <x:c r="C31" s="115" t="str">
        <x:v>EU AI Act official overview</x:v>
      </x:c>
      <x:c r="D31" s="115" t="str">
        <x:v>2026-07-12</x:v>
      </x:c>
      <x:c r="E31" s="115" t="str">
        <x:v>Compliance context</x:v>
      </x:c>
      <x:c r="F31" s="115" t="str">
        <x:v>Broad applicability begins 2 August 2026 with exceptions and transition periods.</x:v>
      </x:c>
    </x:row>
    <x:row r="32">
      <x:c r="A32" s="115" t="str">
        <x:v>NIST</x:v>
      </x:c>
      <x:c r="B32" s="115" t="str">
        <x:v>https://www.nist.gov/itl/ai-risk-management-framework</x:v>
      </x:c>
      <x:c r="C32" s="115" t="str">
        <x:v>NIST AI RMF</x:v>
      </x:c>
      <x:c r="D32" s="115" t="str">
        <x:v>2026-07-12</x:v>
      </x:c>
      <x:c r="E32" s="115" t="str">
        <x:v>Govern, Map, Measure and Manage alignment</x:v>
      </x:c>
      <x:c r="F32" s="115" t="str">
        <x:v>Voluntary risk-management framework, not a certification.</x:v>
      </x:c>
    </x:row>
    <x:row r="33">
      <x:c r="A33" s="115" t="str">
        <x:v>ISO</x:v>
      </x:c>
      <x:c r="B33" s="115" t="str">
        <x:v>https://www.iso.org/standard/42001</x:v>
      </x:c>
      <x:c r="C33" s="115" t="str">
        <x:v>ISO/IEC 42001 AI management systems</x:v>
      </x:c>
      <x:c r="D33" s="115" t="str">
        <x:v>2026-07-12</x:v>
      </x:c>
      <x:c r="E33" s="115" t="str">
        <x:v>Management-system themes</x:v>
      </x:c>
      <x:c r="F33" s="115" t="str">
        <x:v>Full normative requirements require access to the standard and professional interpretation.</x:v>
      </x:c>
    </x:row>
    <x:row r="34">
      <x:c r="A34" s="115" t="str">
        <x:v>UK ICO</x:v>
      </x:c>
      <x:c r="B34" s="115" t="str">
        <x:v>https://ico.org.uk/for-organisations/uk-gdpr-guidance-and-resources/artificial-intelligence/</x:v>
      </x:c>
      <x:c r="C34" s="115" t="str">
        <x:v>AI and data-protection guidance</x:v>
      </x:c>
      <x:c r="D34" s="115" t="str">
        <x:v>2026-07-12</x:v>
      </x:c>
      <x:c r="E34" s="115" t="str">
        <x:v>GDPR/privacy evidence themes</x:v>
      </x:c>
      <x:c r="F34" s="115" t="str">
        <x:v>Legal interpretation depends on the use case and organizational role.</x:v>
      </x:c>
    </x:row>
  </x:sheetData>
  <x:mergeCells>
    <x:mergeCell ref="A1:F1"/>
    <x:mergeCell ref="A2:F2"/>
    <x:mergeCell ref="A18:F18"/>
  </x:mergeCells>
  <x:pageMargins left="0.7" right="0.7" top="0.75" bottom="0.75" header="0.3" footer="0.3"/>
  <x:tableParts count="2">
    <x:tablePart xmlns:r="http://schemas.openxmlformats.org/officeDocument/2006/relationships" r:id="R94614a9f767a4074"/>
    <x:tablePart xmlns:r="http://schemas.openxmlformats.org/officeDocument/2006/relationships" r:id="R6cfebcad981c4200"/>
  </x:tableParts>
</x:worksheet>
</file>

<file path=xl/worksheets/sheet14.xml><?xml version="1.0" encoding="utf-8"?>
<x:worksheet xmlns:x="http://schemas.openxmlformats.org/spreadsheetml/2006/main">
  <x:sheetFormatPr defaultRowHeight="15"/>
  <x:cols>
    <x:col min="1" max="1" width="36" hidden="0" customWidth="1"/>
    <x:col min="2" max="2" width="46" hidden="0" customWidth="1"/>
    <x:col min="3" max="3" width="58" hidden="0" customWidth="1"/>
    <x:col min="4" max="4" width="48" hidden="0" customWidth="1"/>
    <x:col min="5" max="5" width="66" hidden="0" customWidth="1"/>
    <x:col min="6" max="6" width="20" hidden="0" customWidth="1"/>
    <x:col min="7" max="7" width="36" hidden="0" customWidth="1"/>
    <x:col min="8" max="8" width="40" hidden="0" customWidth="1"/>
    <x:col min="9" max="9" width="40" hidden="0" customWidth="1"/>
    <x:col min="10" max="10" width="68" hidden="0" customWidth="1"/>
  </x:cols>
  <x:sheetData>
    <x:row r="1" ht="30" customHeight="1">
      <x:c r="A1" s="102" t="str">
        <x:v>Exhaustive Cross-Cloud Architecture Taxonomy</x:v>
      </x:c>
      <x:c r="B1" s="102"/>
      <x:c r="C1" s="102"/>
      <x:c r="D1" s="102"/>
      <x:c r="E1" s="102"/>
      <x:c r="F1" s="102"/>
      <x:c r="G1" s="102"/>
      <x:c r="H1" s="102"/>
      <x:c r="I1" s="102"/>
      <x:c r="J1" s="102"/>
    </x:row>
    <x:row r="2" ht="36" customHeight="1">
      <x:c r="A2" s="106" t="str">
        <x:v>Six super-domains, 24 architecture domains and 307 capability families. Filter this sheet before selecting a provider service.</x:v>
      </x:c>
      <x:c r="B2" s="106"/>
      <x:c r="C2" s="106"/>
      <x:c r="D2" s="106"/>
      <x:c r="E2" s="106"/>
      <x:c r="F2" s="106"/>
      <x:c r="G2" s="106"/>
      <x:c r="H2" s="106"/>
      <x:c r="I2" s="106"/>
      <x:c r="J2" s="106"/>
    </x:row>
    <x:row r="4" ht="34" customHeight="1">
      <x:c r="A4" s="112" t="str">
        <x:v>Super-domain</x:v>
      </x:c>
      <x:c r="B4" s="112" t="str">
        <x:v>Architecture domain</x:v>
      </x:c>
      <x:c r="C4" s="112" t="str">
        <x:v>Domain purpose</x:v>
      </x:c>
      <x:c r="D4" s="112" t="str">
        <x:v>Capability family</x:v>
      </x:c>
      <x:c r="E4" s="112" t="str">
        <x:v>Decision focus</x:v>
      </x:c>
      <x:c r="F4" s="112" t="str">
        <x:v>Lifecycle stage</x:v>
      </x:c>
      <x:c r="G4" s="112" t="str">
        <x:v>AWS official category</x:v>
      </x:c>
      <x:c r="H4" s="112" t="str">
        <x:v>Microsoft Azure official category</x:v>
      </x:c>
      <x:c r="I4" s="112" t="str">
        <x:v>Google Cloud official category</x:v>
      </x:c>
      <x:c r="J4" s="112" t="str">
        <x:v>Official source</x:v>
      </x:c>
    </x:row>
    <x:row r="5">
      <x:c r="A5" s="116" t="str">
        <x:v>1. Strategy, Governance &amp; Commercial</x:v>
      </x:c>
      <x:c r="B5" s="117" t="str">
        <x:v>01. Cloud Strategy, Operating Model &amp; Adoption</x:v>
      </x:c>
      <x:c r="C5" s="115" t="str">
        <x:v>Define why cloud is being adopted, how value will be measured, and how people, process and technology will operate.</x:v>
      </x:c>
      <x:c r="D5" s="115" t="str">
        <x:v>Business case, value hypothesis and outcome mapping</x:v>
      </x:c>
      <x:c r="E5" s="115" t="str">
        <x:v>What outcome and non-functional requirements justify business case, value hypothesis and outcome mapping, and what is the simplest managed implementation?</x:v>
      </x:c>
      <x:c r="F5" s="115" t="str">
        <x:v>Strategy &amp; Plan</x:v>
      </x:c>
      <x:c r="G5" s="115" t="str">
        <x:v>Customer enablement / Management and governance</x:v>
      </x:c>
      <x:c r="H5" s="115" t="str">
        <x:v>Cloud Adoption Framework / Management and Governance</x:v>
      </x:c>
      <x:c r="I5" s="115" t="str">
        <x:v>Cross-product tools / Architecture Framework</x:v>
      </x:c>
      <x:c r="J5" s="115" t="str">
        <x:v>https://docs.aws.amazon.com/prescriptive-guidance/latest/architectural-decision-records/apg-gloss.html</x:v>
      </x:c>
    </x:row>
    <x:row r="6">
      <x:c r="A6" s="116" t="str">
        <x:v>1. Strategy, Governance &amp; Commercial</x:v>
      </x:c>
      <x:c r="B6" s="117" t="str">
        <x:v>01. Cloud Strategy, Operating Model &amp; Adoption</x:v>
      </x:c>
      <x:c r="C6" s="115" t="str">
        <x:v>Define why cloud is being adopted, how value will be measured, and how people, process and technology will operate.</x:v>
      </x:c>
      <x:c r="D6" s="115" t="str">
        <x:v>Cloud adoption strategy and roadmap</x:v>
      </x:c>
      <x:c r="E6" s="115" t="str">
        <x:v>What outcome and non-functional requirements justify cloud adoption strategy and roadmap, and what is the simplest managed implementation?</x:v>
      </x:c>
      <x:c r="F6" s="115" t="str">
        <x:v>Strategy &amp; Plan</x:v>
      </x:c>
      <x:c r="G6" s="115" t="str">
        <x:v>Customer enablement / Management and governance</x:v>
      </x:c>
      <x:c r="H6" s="115" t="str">
        <x:v>Cloud Adoption Framework / Management and Governance</x:v>
      </x:c>
      <x:c r="I6" s="115" t="str">
        <x:v>Cross-product tools / Architecture Framework</x:v>
      </x:c>
      <x:c r="J6" s="115" t="str">
        <x:v>https://docs.aws.amazon.com/prescriptive-guidance/latest/architectural-decision-records/apg-gloss.html</x:v>
      </x:c>
    </x:row>
    <x:row r="7">
      <x:c r="A7" s="116" t="str">
        <x:v>1. Strategy, Governance &amp; Commercial</x:v>
      </x:c>
      <x:c r="B7" s="117" t="str">
        <x:v>01. Cloud Strategy, Operating Model &amp; Adoption</x:v>
      </x:c>
      <x:c r="C7" s="115" t="str">
        <x:v>Define why cloud is being adopted, how value will be measured, and how people, process and technology will operate.</x:v>
      </x:c>
      <x:c r="D7" s="115" t="str">
        <x:v>Application and workload portfolio rationalisation</x:v>
      </x:c>
      <x:c r="E7" s="115" t="str">
        <x:v>What outcome and non-functional requirements justify application and workload portfolio rationalisation, and what is the simplest managed implementation?</x:v>
      </x:c>
      <x:c r="F7" s="115" t="str">
        <x:v>Strategy &amp; Plan</x:v>
      </x:c>
      <x:c r="G7" s="115" t="str">
        <x:v>Customer enablement / Management and governance</x:v>
      </x:c>
      <x:c r="H7" s="115" t="str">
        <x:v>Cloud Adoption Framework / Management and Governance</x:v>
      </x:c>
      <x:c r="I7" s="115" t="str">
        <x:v>Cross-product tools / Architecture Framework</x:v>
      </x:c>
      <x:c r="J7" s="115" t="str">
        <x:v>https://docs.aws.amazon.com/prescriptive-guidance/latest/architectural-decision-records/apg-gloss.html</x:v>
      </x:c>
    </x:row>
    <x:row r="8">
      <x:c r="A8" s="116" t="str">
        <x:v>1. Strategy, Governance &amp; Commercial</x:v>
      </x:c>
      <x:c r="B8" s="117" t="str">
        <x:v>01. Cloud Strategy, Operating Model &amp; Adoption</x:v>
      </x:c>
      <x:c r="C8" s="115" t="str">
        <x:v>Define why cloud is being adopted, how value will be measured, and how people, process and technology will operate.</x:v>
      </x:c>
      <x:c r="D8" s="115" t="str">
        <x:v>Cloud operating model</x:v>
      </x:c>
      <x:c r="E8" s="115" t="str">
        <x:v>What outcome and non-functional requirements justify cloud operating model, and what is the simplest managed implementation?</x:v>
      </x:c>
      <x:c r="F8" s="115" t="str">
        <x:v>Strategy &amp; Plan</x:v>
      </x:c>
      <x:c r="G8" s="115" t="str">
        <x:v>Customer enablement / Management and governance</x:v>
      </x:c>
      <x:c r="H8" s="115" t="str">
        <x:v>Cloud Adoption Framework / Management and Governance</x:v>
      </x:c>
      <x:c r="I8" s="115" t="str">
        <x:v>Cross-product tools / Architecture Framework</x:v>
      </x:c>
      <x:c r="J8" s="115" t="str">
        <x:v>https://docs.aws.amazon.com/prescriptive-guidance/latest/architectural-decision-records/apg-gloss.html</x:v>
      </x:c>
    </x:row>
    <x:row r="9">
      <x:c r="A9" s="116" t="str">
        <x:v>1. Strategy, Governance &amp; Commercial</x:v>
      </x:c>
      <x:c r="B9" s="117" t="str">
        <x:v>01. Cloud Strategy, Operating Model &amp; Adoption</x:v>
      </x:c>
      <x:c r="C9" s="115" t="str">
        <x:v>Define why cloud is being adopted, how value will be measured, and how people, process and technology will operate.</x:v>
      </x:c>
      <x:c r="D9" s="115" t="str">
        <x:v>Cloud Centre of Excellence and platform organisation</x:v>
      </x:c>
      <x:c r="E9" s="115" t="str">
        <x:v>What outcome and non-functional requirements justify cloud centre of excellence and platform organisation, and what is the simplest managed implementation?</x:v>
      </x:c>
      <x:c r="F9" s="115" t="str">
        <x:v>Strategy &amp; Plan</x:v>
      </x:c>
      <x:c r="G9" s="115" t="str">
        <x:v>Customer enablement / Management and governance</x:v>
      </x:c>
      <x:c r="H9" s="115" t="str">
        <x:v>Cloud Adoption Framework / Management and Governance</x:v>
      </x:c>
      <x:c r="I9" s="115" t="str">
        <x:v>Cross-product tools / Architecture Framework</x:v>
      </x:c>
      <x:c r="J9" s="115" t="str">
        <x:v>https://docs.aws.amazon.com/prescriptive-guidance/latest/architectural-decision-records/apg-gloss.html</x:v>
      </x:c>
    </x:row>
    <x:row r="10">
      <x:c r="A10" s="116" t="str">
        <x:v>1. Strategy, Governance &amp; Commercial</x:v>
      </x:c>
      <x:c r="B10" s="117" t="str">
        <x:v>01. Cloud Strategy, Operating Model &amp; Adoption</x:v>
      </x:c>
      <x:c r="C10" s="115" t="str">
        <x:v>Define why cloud is being adopted, how value will be measured, and how people, process and technology will operate.</x:v>
      </x:c>
      <x:c r="D10" s="115" t="str">
        <x:v>Skills, training and enablement</x:v>
      </x:c>
      <x:c r="E10" s="115" t="str">
        <x:v>What outcome and non-functional requirements justify skills, training and enablement, and what is the simplest managed implementation?</x:v>
      </x:c>
      <x:c r="F10" s="115" t="str">
        <x:v>Strategy &amp; Plan</x:v>
      </x:c>
      <x:c r="G10" s="115" t="str">
        <x:v>Customer enablement / Management and governance</x:v>
      </x:c>
      <x:c r="H10" s="115" t="str">
        <x:v>Cloud Adoption Framework / Management and Governance</x:v>
      </x:c>
      <x:c r="I10" s="115" t="str">
        <x:v>Cross-product tools / Architecture Framework</x:v>
      </x:c>
      <x:c r="J10" s="115" t="str">
        <x:v>https://docs.aws.amazon.com/prescriptive-guidance/latest/architectural-decision-records/apg-gloss.html</x:v>
      </x:c>
    </x:row>
    <x:row r="11">
      <x:c r="A11" s="116" t="str">
        <x:v>1. Strategy, Governance &amp; Commercial</x:v>
      </x:c>
      <x:c r="B11" s="117" t="str">
        <x:v>01. Cloud Strategy, Operating Model &amp; Adoption</x:v>
      </x:c>
      <x:c r="C11" s="115" t="str">
        <x:v>Define why cloud is being adopted, how value will be measured, and how people, process and technology will operate.</x:v>
      </x:c>
      <x:c r="D11" s="115" t="str">
        <x:v>Enterprise architecture principles and standards</x:v>
      </x:c>
      <x:c r="E11" s="115" t="str">
        <x:v>What outcome and non-functional requirements justify enterprise architecture principles and standards, and what is the simplest managed implementation?</x:v>
      </x:c>
      <x:c r="F11" s="115" t="str">
        <x:v>Strategy &amp; Plan</x:v>
      </x:c>
      <x:c r="G11" s="115" t="str">
        <x:v>Customer enablement / Management and governance</x:v>
      </x:c>
      <x:c r="H11" s="115" t="str">
        <x:v>Cloud Adoption Framework / Management and Governance</x:v>
      </x:c>
      <x:c r="I11" s="115" t="str">
        <x:v>Cross-product tools / Architecture Framework</x:v>
      </x:c>
      <x:c r="J11" s="115" t="str">
        <x:v>https://docs.aws.amazon.com/prescriptive-guidance/latest/architectural-decision-records/apg-gloss.html</x:v>
      </x:c>
    </x:row>
    <x:row r="12">
      <x:c r="A12" s="116" t="str">
        <x:v>1. Strategy, Governance &amp; Commercial</x:v>
      </x:c>
      <x:c r="B12" s="117" t="str">
        <x:v>01. Cloud Strategy, Operating Model &amp; Adoption</x:v>
      </x:c>
      <x:c r="C12" s="115" t="str">
        <x:v>Define why cloud is being adopted, how value will be measured, and how people, process and technology will operate.</x:v>
      </x:c>
      <x:c r="D12" s="115" t="str">
        <x:v>Architecture decision records and exception management</x:v>
      </x:c>
      <x:c r="E12" s="115" t="str">
        <x:v>What outcome and non-functional requirements justify architecture decision records and exception management, and what is the simplest managed implementation?</x:v>
      </x:c>
      <x:c r="F12" s="115" t="str">
        <x:v>Strategy &amp; Plan</x:v>
      </x:c>
      <x:c r="G12" s="115" t="str">
        <x:v>Customer enablement / Management and governance</x:v>
      </x:c>
      <x:c r="H12" s="115" t="str">
        <x:v>Cloud Adoption Framework / Management and Governance</x:v>
      </x:c>
      <x:c r="I12" s="115" t="str">
        <x:v>Cross-product tools / Architecture Framework</x:v>
      </x:c>
      <x:c r="J12" s="115" t="str">
        <x:v>https://docs.aws.amazon.com/prescriptive-guidance/latest/architectural-decision-records/apg-gloss.html</x:v>
      </x:c>
    </x:row>
    <x:row r="13">
      <x:c r="A13" s="116" t="str">
        <x:v>1. Strategy, Governance &amp; Commercial</x:v>
      </x:c>
      <x:c r="B13" s="117" t="str">
        <x:v>02. Governance, Organisation, Landing Zones &amp; Policy</x:v>
      </x:c>
      <x:c r="C13" s="115" t="str">
        <x:v>Create a controlled enterprise cloud foundation before workload deployment.</x:v>
      </x:c>
      <x:c r="D13" s="115" t="str">
        <x:v>Organisation, account, subscription and project hierarchy</x:v>
      </x:c>
      <x:c r="E13" s="115" t="str">
        <x:v>What outcome and non-functional requirements justify organisation, account, subscription and project hierarchy, and what is the simplest managed implementation?</x:v>
      </x:c>
      <x:c r="F13" s="115" t="str">
        <x:v>Ready &amp; Govern</x:v>
      </x:c>
      <x:c r="G13" s="115" t="str">
        <x:v>Management and governance</x:v>
      </x:c>
      <x:c r="H13" s="115" t="str">
        <x:v>Management and Governance</x:v>
      </x:c>
      <x:c r="I13" s="115" t="str">
        <x:v>Access and resource management / Infrastructure as code</x:v>
      </x:c>
      <x:c r="J13" s="115" t="str">
        <x:v>https://docs.cloud.google.com/architecture/landing-zones</x:v>
      </x:c>
    </x:row>
    <x:row r="14">
      <x:c r="A14" s="116" t="str">
        <x:v>1. Strategy, Governance &amp; Commercial</x:v>
      </x:c>
      <x:c r="B14" s="117" t="str">
        <x:v>02. Governance, Organisation, Landing Zones &amp; Policy</x:v>
      </x:c>
      <x:c r="C14" s="115" t="str">
        <x:v>Create a controlled enterprise cloud foundation before workload deployment.</x:v>
      </x:c>
      <x:c r="D14" s="115" t="str">
        <x:v>Landing zones and cloud foundations</x:v>
      </x:c>
      <x:c r="E14" s="115" t="str">
        <x:v>What outcome and non-functional requirements justify landing zones and cloud foundations, and what is the simplest managed implementation?</x:v>
      </x:c>
      <x:c r="F14" s="115" t="str">
        <x:v>Ready &amp; Govern</x:v>
      </x:c>
      <x:c r="G14" s="115" t="str">
        <x:v>Management and governance</x:v>
      </x:c>
      <x:c r="H14" s="115" t="str">
        <x:v>Management and Governance</x:v>
      </x:c>
      <x:c r="I14" s="115" t="str">
        <x:v>Access and resource management / Infrastructure as code</x:v>
      </x:c>
      <x:c r="J14" s="115" t="str">
        <x:v>https://docs.cloud.google.com/architecture/landing-zones</x:v>
      </x:c>
    </x:row>
    <x:row r="15">
      <x:c r="A15" s="116" t="str">
        <x:v>1. Strategy, Governance &amp; Commercial</x:v>
      </x:c>
      <x:c r="B15" s="117" t="str">
        <x:v>02. Governance, Organisation, Landing Zones &amp; Policy</x:v>
      </x:c>
      <x:c r="C15" s="115" t="str">
        <x:v>Create a controlled enterprise cloud foundation before workload deployment.</x:v>
      </x:c>
      <x:c r="D15" s="115" t="str">
        <x:v>Account, subscription and project vending</x:v>
      </x:c>
      <x:c r="E15" s="115" t="str">
        <x:v>What outcome and non-functional requirements justify account, subscription and project vending, and what is the simplest managed implementation?</x:v>
      </x:c>
      <x:c r="F15" s="115" t="str">
        <x:v>Ready &amp; Govern</x:v>
      </x:c>
      <x:c r="G15" s="115" t="str">
        <x:v>Management and governance</x:v>
      </x:c>
      <x:c r="H15" s="115" t="str">
        <x:v>Management and Governance</x:v>
      </x:c>
      <x:c r="I15" s="115" t="str">
        <x:v>Access and resource management / Infrastructure as code</x:v>
      </x:c>
      <x:c r="J15" s="115" t="str">
        <x:v>https://docs.cloud.google.com/architecture/landing-zones</x:v>
      </x:c>
    </x:row>
    <x:row r="16">
      <x:c r="A16" s="116" t="str">
        <x:v>1. Strategy, Governance &amp; Commercial</x:v>
      </x:c>
      <x:c r="B16" s="117" t="str">
        <x:v>02. Governance, Organisation, Landing Zones &amp; Policy</x:v>
      </x:c>
      <x:c r="C16" s="115" t="str">
        <x:v>Create a controlled enterprise cloud foundation before workload deployment.</x:v>
      </x:c>
      <x:c r="D16" s="115" t="str">
        <x:v>Policy as code and preventive guardrails</x:v>
      </x:c>
      <x:c r="E16" s="115" t="str">
        <x:v>What outcome and non-functional requirements justify policy as code and preventive guardrails, and what is the simplest managed implementation?</x:v>
      </x:c>
      <x:c r="F16" s="115" t="str">
        <x:v>Ready &amp; Govern</x:v>
      </x:c>
      <x:c r="G16" s="115" t="str">
        <x:v>Management and governance</x:v>
      </x:c>
      <x:c r="H16" s="115" t="str">
        <x:v>Management and Governance</x:v>
      </x:c>
      <x:c r="I16" s="115" t="str">
        <x:v>Access and resource management / Infrastructure as code</x:v>
      </x:c>
      <x:c r="J16" s="115" t="str">
        <x:v>https://docs.cloud.google.com/architecture/landing-zones</x:v>
      </x:c>
    </x:row>
    <x:row r="17">
      <x:c r="A17" s="116" t="str">
        <x:v>1. Strategy, Governance &amp; Commercial</x:v>
      </x:c>
      <x:c r="B17" s="117" t="str">
        <x:v>02. Governance, Organisation, Landing Zones &amp; Policy</x:v>
      </x:c>
      <x:c r="C17" s="115" t="str">
        <x:v>Create a controlled enterprise cloud foundation before workload deployment.</x:v>
      </x:c>
      <x:c r="D17" s="115" t="str">
        <x:v>Resource inventory, tagging and ownership</x:v>
      </x:c>
      <x:c r="E17" s="115" t="str">
        <x:v>What outcome and non-functional requirements justify resource inventory, tagging and ownership, and what is the simplest managed implementation?</x:v>
      </x:c>
      <x:c r="F17" s="115" t="str">
        <x:v>Ready &amp; Govern</x:v>
      </x:c>
      <x:c r="G17" s="115" t="str">
        <x:v>Management and governance</x:v>
      </x:c>
      <x:c r="H17" s="115" t="str">
        <x:v>Management and Governance</x:v>
      </x:c>
      <x:c r="I17" s="115" t="str">
        <x:v>Access and resource management / Infrastructure as code</x:v>
      </x:c>
      <x:c r="J17" s="115" t="str">
        <x:v>https://docs.cloud.google.com/architecture/landing-zones</x:v>
      </x:c>
    </x:row>
    <x:row r="18">
      <x:c r="A18" s="116" t="str">
        <x:v>1. Strategy, Governance &amp; Commercial</x:v>
      </x:c>
      <x:c r="B18" s="117" t="str">
        <x:v>02. Governance, Organisation, Landing Zones &amp; Policy</x:v>
      </x:c>
      <x:c r="C18" s="115" t="str">
        <x:v>Create a controlled enterprise cloud foundation before workload deployment.</x:v>
      </x:c>
      <x:c r="D18" s="115" t="str">
        <x:v>Configuration compliance and drift management</x:v>
      </x:c>
      <x:c r="E18" s="115" t="str">
        <x:v>What outcome and non-functional requirements justify configuration compliance and drift management, and what is the simplest managed implementation?</x:v>
      </x:c>
      <x:c r="F18" s="115" t="str">
        <x:v>Ready &amp; Govern</x:v>
      </x:c>
      <x:c r="G18" s="115" t="str">
        <x:v>Management and governance</x:v>
      </x:c>
      <x:c r="H18" s="115" t="str">
        <x:v>Management and Governance</x:v>
      </x:c>
      <x:c r="I18" s="115" t="str">
        <x:v>Access and resource management / Infrastructure as code</x:v>
      </x:c>
      <x:c r="J18" s="115" t="str">
        <x:v>https://docs.cloud.google.com/architecture/landing-zones</x:v>
      </x:c>
    </x:row>
    <x:row r="19">
      <x:c r="A19" s="116" t="str">
        <x:v>1. Strategy, Governance &amp; Commercial</x:v>
      </x:c>
      <x:c r="B19" s="117" t="str">
        <x:v>02. Governance, Organisation, Landing Zones &amp; Policy</x:v>
      </x:c>
      <x:c r="C19" s="115" t="str">
        <x:v>Create a controlled enterprise cloud foundation before workload deployment.</x:v>
      </x:c>
      <x:c r="D19" s="115" t="str">
        <x:v>Service catalogue and approved patterns</x:v>
      </x:c>
      <x:c r="E19" s="115" t="str">
        <x:v>What outcome and non-functional requirements justify service catalogue and approved patterns, and what is the simplest managed implementation?</x:v>
      </x:c>
      <x:c r="F19" s="115" t="str">
        <x:v>Ready &amp; Govern</x:v>
      </x:c>
      <x:c r="G19" s="115" t="str">
        <x:v>Management and governance</x:v>
      </x:c>
      <x:c r="H19" s="115" t="str">
        <x:v>Management and Governance</x:v>
      </x:c>
      <x:c r="I19" s="115" t="str">
        <x:v>Access and resource management / Infrastructure as code</x:v>
      </x:c>
      <x:c r="J19" s="115" t="str">
        <x:v>https://docs.cloud.google.com/architecture/landing-zones</x:v>
      </x:c>
    </x:row>
    <x:row r="20">
      <x:c r="A20" s="116" t="str">
        <x:v>1. Strategy, Governance &amp; Commercial</x:v>
      </x:c>
      <x:c r="B20" s="117" t="str">
        <x:v>02. Governance, Organisation, Landing Zones &amp; Policy</x:v>
      </x:c>
      <x:c r="C20" s="115" t="str">
        <x:v>Create a controlled enterprise cloud foundation before workload deployment.</x:v>
      </x:c>
      <x:c r="D20" s="115" t="str">
        <x:v>Quotas, limits and resource governance</x:v>
      </x:c>
      <x:c r="E20" s="115" t="str">
        <x:v>What outcome and non-functional requirements justify quotas, limits and resource governance, and what is the simplest managed implementation?</x:v>
      </x:c>
      <x:c r="F20" s="115" t="str">
        <x:v>Ready &amp; Govern</x:v>
      </x:c>
      <x:c r="G20" s="115" t="str">
        <x:v>Management and governance</x:v>
      </x:c>
      <x:c r="H20" s="115" t="str">
        <x:v>Management and Governance</x:v>
      </x:c>
      <x:c r="I20" s="115" t="str">
        <x:v>Access and resource management / Infrastructure as code</x:v>
      </x:c>
      <x:c r="J20" s="115" t="str">
        <x:v>https://docs.cloud.google.com/architecture/landing-zones</x:v>
      </x:c>
    </x:row>
    <x:row r="21">
      <x:c r="A21" s="116" t="str">
        <x:v>1. Strategy, Governance &amp; Commercial</x:v>
      </x:c>
      <x:c r="B21" s="117" t="str">
        <x:v>02. Governance, Organisation, Landing Zones &amp; Policy</x:v>
      </x:c>
      <x:c r="C21" s="115" t="str">
        <x:v>Create a controlled enterprise cloud foundation before workload deployment.</x:v>
      </x:c>
      <x:c r="D21" s="115" t="str">
        <x:v>Architecture assurance and well-architected reviews</x:v>
      </x:c>
      <x:c r="E21" s="115" t="str">
        <x:v>What outcome and non-functional requirements justify architecture assurance and well-architected reviews, and what is the simplest managed implementation?</x:v>
      </x:c>
      <x:c r="F21" s="115" t="str">
        <x:v>Ready &amp; Govern</x:v>
      </x:c>
      <x:c r="G21" s="115" t="str">
        <x:v>Management and governance</x:v>
      </x:c>
      <x:c r="H21" s="115" t="str">
        <x:v>Management and Governance</x:v>
      </x:c>
      <x:c r="I21" s="115" t="str">
        <x:v>Access and resource management / Infrastructure as code</x:v>
      </x:c>
      <x:c r="J21" s="115" t="str">
        <x:v>https://docs.cloud.google.com/architecture/landing-zones</x:v>
      </x:c>
    </x:row>
    <x:row r="22">
      <x:c r="A22" s="116" t="str">
        <x:v>1. Strategy, Governance &amp; Commercial</x:v>
      </x:c>
      <x:c r="B22" s="117" t="str">
        <x:v>03. FinOps, Procurement, Licensing, Marketplace &amp; Sustainability</x:v>
      </x:c>
      <x:c r="C22" s="115" t="str">
        <x:v>Control cloud economics, commercial commitments, procurement and environmental impact.</x:v>
      </x:c>
      <x:c r="D22" s="115" t="str">
        <x:v>Cost visibility, allocation, showback and chargeback</x:v>
      </x:c>
      <x:c r="E22" s="115" t="str">
        <x:v>What outcome and non-functional requirements justify cost visibility, allocation, showback and chargeback, and what is the simplest managed implementation?</x:v>
      </x:c>
      <x:c r="F22" s="115" t="str">
        <x:v>Strategy &amp; Plan</x:v>
      </x:c>
      <x:c r="G22" s="115" t="str">
        <x:v>Cloud Financial Management / Customer enablement</x:v>
      </x:c>
      <x:c r="H22" s="115" t="str">
        <x:v>Management and Governance / FinOps</x:v>
      </x:c>
      <x:c r="I22" s="115" t="str">
        <x:v>Costs and usage management</x:v>
      </x:c>
      <x:c r="J22" s="115" t="str">
        <x:v>https://docs.cloud.google.com/docs/product-list</x:v>
      </x:c>
    </x:row>
    <x:row r="23">
      <x:c r="A23" s="116" t="str">
        <x:v>1. Strategy, Governance &amp; Commercial</x:v>
      </x:c>
      <x:c r="B23" s="117" t="str">
        <x:v>03. FinOps, Procurement, Licensing, Marketplace &amp; Sustainability</x:v>
      </x:c>
      <x:c r="C23" s="115" t="str">
        <x:v>Control cloud economics, commercial commitments, procurement and environmental impact.</x:v>
      </x:c>
      <x:c r="D23" s="115" t="str">
        <x:v>Budgets, forecasting and anomaly management</x:v>
      </x:c>
      <x:c r="E23" s="115" t="str">
        <x:v>What outcome and non-functional requirements justify budgets, forecasting and anomaly management, and what is the simplest managed implementation?</x:v>
      </x:c>
      <x:c r="F23" s="115" t="str">
        <x:v>Strategy &amp; Plan</x:v>
      </x:c>
      <x:c r="G23" s="115" t="str">
        <x:v>Cloud Financial Management / Customer enablement</x:v>
      </x:c>
      <x:c r="H23" s="115" t="str">
        <x:v>Management and Governance / FinOps</x:v>
      </x:c>
      <x:c r="I23" s="115" t="str">
        <x:v>Costs and usage management</x:v>
      </x:c>
      <x:c r="J23" s="115" t="str">
        <x:v>https://docs.cloud.google.com/docs/product-list</x:v>
      </x:c>
    </x:row>
    <x:row r="24">
      <x:c r="A24" s="116" t="str">
        <x:v>1. Strategy, Governance &amp; Commercial</x:v>
      </x:c>
      <x:c r="B24" s="117" t="str">
        <x:v>03. FinOps, Procurement, Licensing, Marketplace &amp; Sustainability</x:v>
      </x:c>
      <x:c r="C24" s="115" t="str">
        <x:v>Control cloud economics, commercial commitments, procurement and environmental impact.</x:v>
      </x:c>
      <x:c r="D24" s="115" t="str">
        <x:v>Unit economics and business-value measurement</x:v>
      </x:c>
      <x:c r="E24" s="115" t="str">
        <x:v>What outcome and non-functional requirements justify unit economics and business-value measurement, and what is the simplest managed implementation?</x:v>
      </x:c>
      <x:c r="F24" s="115" t="str">
        <x:v>Strategy &amp; Plan</x:v>
      </x:c>
      <x:c r="G24" s="115" t="str">
        <x:v>Cloud Financial Management / Customer enablement</x:v>
      </x:c>
      <x:c r="H24" s="115" t="str">
        <x:v>Management and Governance / FinOps</x:v>
      </x:c>
      <x:c r="I24" s="115" t="str">
        <x:v>Costs and usage management</x:v>
      </x:c>
      <x:c r="J24" s="115" t="str">
        <x:v>https://docs.cloud.google.com/docs/product-list</x:v>
      </x:c>
    </x:row>
    <x:row r="25">
      <x:c r="A25" s="116" t="str">
        <x:v>1. Strategy, Governance &amp; Commercial</x:v>
      </x:c>
      <x:c r="B25" s="117" t="str">
        <x:v>03. FinOps, Procurement, Licensing, Marketplace &amp; Sustainability</x:v>
      </x:c>
      <x:c r="C25" s="115" t="str">
        <x:v>Control cloud economics, commercial commitments, procurement and environmental impact.</x:v>
      </x:c>
      <x:c r="D25" s="115" t="str">
        <x:v>Commitment, reservation and savings-plan management</x:v>
      </x:c>
      <x:c r="E25" s="115" t="str">
        <x:v>What outcome and non-functional requirements justify commitment, reservation and savings-plan management, and what is the simplest managed implementation?</x:v>
      </x:c>
      <x:c r="F25" s="115" t="str">
        <x:v>Strategy &amp; Plan</x:v>
      </x:c>
      <x:c r="G25" s="115" t="str">
        <x:v>Cloud Financial Management / Customer enablement</x:v>
      </x:c>
      <x:c r="H25" s="115" t="str">
        <x:v>Management and Governance / FinOps</x:v>
      </x:c>
      <x:c r="I25" s="115" t="str">
        <x:v>Costs and usage management</x:v>
      </x:c>
      <x:c r="J25" s="115" t="str">
        <x:v>https://docs.cloud.google.com/docs/product-list</x:v>
      </x:c>
    </x:row>
    <x:row r="26">
      <x:c r="A26" s="116" t="str">
        <x:v>1. Strategy, Governance &amp; Commercial</x:v>
      </x:c>
      <x:c r="B26" s="117" t="str">
        <x:v>03. FinOps, Procurement, Licensing, Marketplace &amp; Sustainability</x:v>
      </x:c>
      <x:c r="C26" s="115" t="str">
        <x:v>Control cloud economics, commercial commitments, procurement and environmental impact.</x:v>
      </x:c>
      <x:c r="D26" s="115" t="str">
        <x:v>Licence management and hybrid benefits</x:v>
      </x:c>
      <x:c r="E26" s="115" t="str">
        <x:v>What outcome and non-functional requirements justify licence management and hybrid benefits, and what is the simplest managed implementation?</x:v>
      </x:c>
      <x:c r="F26" s="115" t="str">
        <x:v>Strategy &amp; Plan</x:v>
      </x:c>
      <x:c r="G26" s="115" t="str">
        <x:v>Cloud Financial Management / Customer enablement</x:v>
      </x:c>
      <x:c r="H26" s="115" t="str">
        <x:v>Management and Governance / FinOps</x:v>
      </x:c>
      <x:c r="I26" s="115" t="str">
        <x:v>Costs and usage management</x:v>
      </x:c>
      <x:c r="J26" s="115" t="str">
        <x:v>https://docs.cloud.google.com/docs/product-list</x:v>
      </x:c>
    </x:row>
    <x:row r="27">
      <x:c r="A27" s="116" t="str">
        <x:v>1. Strategy, Governance &amp; Commercial</x:v>
      </x:c>
      <x:c r="B27" s="117" t="str">
        <x:v>03. FinOps, Procurement, Licensing, Marketplace &amp; Sustainability</x:v>
      </x:c>
      <x:c r="C27" s="115" t="str">
        <x:v>Control cloud economics, commercial commitments, procurement and environmental impact.</x:v>
      </x:c>
      <x:c r="D27" s="115" t="str">
        <x:v>Cloud marketplace and private offers</x:v>
      </x:c>
      <x:c r="E27" s="115" t="str">
        <x:v>What outcome and non-functional requirements justify cloud marketplace and private offers, and what is the simplest managed implementation?</x:v>
      </x:c>
      <x:c r="F27" s="115" t="str">
        <x:v>Strategy &amp; Plan</x:v>
      </x:c>
      <x:c r="G27" s="115" t="str">
        <x:v>Cloud Financial Management / Customer enablement</x:v>
      </x:c>
      <x:c r="H27" s="115" t="str">
        <x:v>Management and Governance / FinOps</x:v>
      </x:c>
      <x:c r="I27" s="115" t="str">
        <x:v>Costs and usage management</x:v>
      </x:c>
      <x:c r="J27" s="115" t="str">
        <x:v>https://docs.cloud.google.com/docs/product-list</x:v>
      </x:c>
    </x:row>
    <x:row r="28">
      <x:c r="A28" s="116" t="str">
        <x:v>1. Strategy, Governance &amp; Commercial</x:v>
      </x:c>
      <x:c r="B28" s="117" t="str">
        <x:v>03. FinOps, Procurement, Licensing, Marketplace &amp; Sustainability</x:v>
      </x:c>
      <x:c r="C28" s="115" t="str">
        <x:v>Control cloud economics, commercial commitments, procurement and environmental impact.</x:v>
      </x:c>
      <x:c r="D28" s="115" t="str">
        <x:v>Vendor contracts, SLAs and service lifecycle</x:v>
      </x:c>
      <x:c r="E28" s="115" t="str">
        <x:v>What outcome and non-functional requirements justify vendor contracts, slas and service lifecycle, and what is the simplest managed implementation?</x:v>
      </x:c>
      <x:c r="F28" s="115" t="str">
        <x:v>Strategy &amp; Plan</x:v>
      </x:c>
      <x:c r="G28" s="115" t="str">
        <x:v>Cloud Financial Management / Customer enablement</x:v>
      </x:c>
      <x:c r="H28" s="115" t="str">
        <x:v>Management and Governance / FinOps</x:v>
      </x:c>
      <x:c r="I28" s="115" t="str">
        <x:v>Costs and usage management</x:v>
      </x:c>
      <x:c r="J28" s="115" t="str">
        <x:v>https://docs.cloud.google.com/docs/product-list</x:v>
      </x:c>
    </x:row>
    <x:row r="29">
      <x:c r="A29" s="116" t="str">
        <x:v>1. Strategy, Governance &amp; Commercial</x:v>
      </x:c>
      <x:c r="B29" s="117" t="str">
        <x:v>03. FinOps, Procurement, Licensing, Marketplace &amp; Sustainability</x:v>
      </x:c>
      <x:c r="C29" s="115" t="str">
        <x:v>Control cloud economics, commercial commitments, procurement and environmental impact.</x:v>
      </x:c>
      <x:c r="D29" s="115" t="str">
        <x:v>Support plans and commercial escalation</x:v>
      </x:c>
      <x:c r="E29" s="115" t="str">
        <x:v>What outcome and non-functional requirements justify support plans and commercial escalation, and what is the simplest managed implementation?</x:v>
      </x:c>
      <x:c r="F29" s="115" t="str">
        <x:v>Strategy &amp; Plan</x:v>
      </x:c>
      <x:c r="G29" s="115" t="str">
        <x:v>Cloud Financial Management / Customer enablement</x:v>
      </x:c>
      <x:c r="H29" s="115" t="str">
        <x:v>Management and Governance / FinOps</x:v>
      </x:c>
      <x:c r="I29" s="115" t="str">
        <x:v>Costs and usage management</x:v>
      </x:c>
      <x:c r="J29" s="115" t="str">
        <x:v>https://docs.cloud.google.com/docs/product-list</x:v>
      </x:c>
    </x:row>
    <x:row r="30">
      <x:c r="A30" s="116" t="str">
        <x:v>1. Strategy, Governance &amp; Commercial</x:v>
      </x:c>
      <x:c r="B30" s="117" t="str">
        <x:v>03. FinOps, Procurement, Licensing, Marketplace &amp; Sustainability</x:v>
      </x:c>
      <x:c r="C30" s="115" t="str">
        <x:v>Control cloud economics, commercial commitments, procurement and environmental impact.</x:v>
      </x:c>
      <x:c r="D30" s="115" t="str">
        <x:v>Carbon reporting and sustainable architecture</x:v>
      </x:c>
      <x:c r="E30" s="115" t="str">
        <x:v>What outcome and non-functional requirements justify carbon reporting and sustainable architecture, and what is the simplest managed implementation?</x:v>
      </x:c>
      <x:c r="F30" s="115" t="str">
        <x:v>Strategy &amp; Plan</x:v>
      </x:c>
      <x:c r="G30" s="115" t="str">
        <x:v>Cloud Financial Management / Customer enablement</x:v>
      </x:c>
      <x:c r="H30" s="115" t="str">
        <x:v>Management and Governance / FinOps</x:v>
      </x:c>
      <x:c r="I30" s="115" t="str">
        <x:v>Costs and usage management</x:v>
      </x:c>
      <x:c r="J30" s="115" t="str">
        <x:v>https://docs.cloud.google.com/docs/product-list</x:v>
      </x:c>
    </x:row>
    <x:row r="31">
      <x:c r="A31" s="116" t="str">
        <x:v>2. Foundation, Infrastructure &amp; Security</x:v>
      </x:c>
      <x:c r="B31" s="117" t="str">
        <x:v>04. Identity, Security, Privacy, Risk &amp; Compliance</x:v>
      </x:c>
      <x:c r="C31" s="115" t="str">
        <x:v>Protect identities, workloads, networks and data while producing verifiable risk and compliance evidence.</x:v>
      </x:c>
      <x:c r="D31" s="115" t="str">
        <x:v>Workforce identity, federation and SSO</x:v>
      </x:c>
      <x:c r="E31" s="115" t="str">
        <x:v>What outcome and non-functional requirements justify workforce identity, federation and sso, and what is the simplest managed implementation?</x:v>
      </x:c>
      <x:c r="F31" s="115" t="str">
        <x:v>Ready &amp; Govern</x:v>
      </x:c>
      <x:c r="G31" s="115" t="str">
        <x:v>Security, identity, and compliance</x:v>
      </x:c>
      <x:c r="H31" s="115" t="str">
        <x:v>Identity / Security</x:v>
      </x:c>
      <x:c r="I31" s="115" t="str">
        <x:v>Security / Access and resource management</x:v>
      </x:c>
      <x:c r="J31" s="115" t="str">
        <x:v>https://docs.aws.amazon.com/whitepapers/latest/aws-overview/amazon-web-services-cloud-platform.html</x:v>
      </x:c>
    </x:row>
    <x:row r="32">
      <x:c r="A32" s="116" t="str">
        <x:v>2. Foundation, Infrastructure &amp; Security</x:v>
      </x:c>
      <x:c r="B32" s="117" t="str">
        <x:v>04. Identity, Security, Privacy, Risk &amp; Compliance</x:v>
      </x:c>
      <x:c r="C32" s="115" t="str">
        <x:v>Protect identities, workloads, networks and data while producing verifiable risk and compliance evidence.</x:v>
      </x:c>
      <x:c r="D32" s="115" t="str">
        <x:v>Customer and external identity</x:v>
      </x:c>
      <x:c r="E32" s="115" t="str">
        <x:v>What outcome and non-functional requirements justify customer and external identity, and what is the simplest managed implementation?</x:v>
      </x:c>
      <x:c r="F32" s="115" t="str">
        <x:v>Ready &amp; Govern</x:v>
      </x:c>
      <x:c r="G32" s="115" t="str">
        <x:v>Security, identity, and compliance</x:v>
      </x:c>
      <x:c r="H32" s="115" t="str">
        <x:v>Identity / Security</x:v>
      </x:c>
      <x:c r="I32" s="115" t="str">
        <x:v>Security / Access and resource management</x:v>
      </x:c>
      <x:c r="J32" s="115" t="str">
        <x:v>https://docs.aws.amazon.com/whitepapers/latest/aws-overview/amazon-web-services-cloud-platform.html</x:v>
      </x:c>
    </x:row>
    <x:row r="33">
      <x:c r="A33" s="116" t="str">
        <x:v>2. Foundation, Infrastructure &amp; Security</x:v>
      </x:c>
      <x:c r="B33" s="117" t="str">
        <x:v>04. Identity, Security, Privacy, Risk &amp; Compliance</x:v>
      </x:c>
      <x:c r="C33" s="115" t="str">
        <x:v>Protect identities, workloads, networks and data while producing verifiable risk and compliance evidence.</x:v>
      </x:c>
      <x:c r="D33" s="115" t="str">
        <x:v>Workload identity and service accounts</x:v>
      </x:c>
      <x:c r="E33" s="115" t="str">
        <x:v>What outcome and non-functional requirements justify workload identity and service accounts, and what is the simplest managed implementation?</x:v>
      </x:c>
      <x:c r="F33" s="115" t="str">
        <x:v>Ready &amp; Govern</x:v>
      </x:c>
      <x:c r="G33" s="115" t="str">
        <x:v>Security, identity, and compliance</x:v>
      </x:c>
      <x:c r="H33" s="115" t="str">
        <x:v>Identity / Security</x:v>
      </x:c>
      <x:c r="I33" s="115" t="str">
        <x:v>Security / Access and resource management</x:v>
      </x:c>
      <x:c r="J33" s="115" t="str">
        <x:v>https://docs.aws.amazon.com/whitepapers/latest/aws-overview/amazon-web-services-cloud-platform.html</x:v>
      </x:c>
    </x:row>
    <x:row r="34">
      <x:c r="A34" s="116" t="str">
        <x:v>2. Foundation, Infrastructure &amp; Security</x:v>
      </x:c>
      <x:c r="B34" s="117" t="str">
        <x:v>04. Identity, Security, Privacy, Risk &amp; Compliance</x:v>
      </x:c>
      <x:c r="C34" s="115" t="str">
        <x:v>Protect identities, workloads, networks and data while producing verifiable risk and compliance evidence.</x:v>
      </x:c>
      <x:c r="D34" s="115" t="str">
        <x:v>Role-based and attribute-based authorisation</x:v>
      </x:c>
      <x:c r="E34" s="115" t="str">
        <x:v>What outcome and non-functional requirements justify role-based and attribute-based authorisation, and what is the simplest managed implementation?</x:v>
      </x:c>
      <x:c r="F34" s="115" t="str">
        <x:v>Ready &amp; Govern</x:v>
      </x:c>
      <x:c r="G34" s="115" t="str">
        <x:v>Security, identity, and compliance</x:v>
      </x:c>
      <x:c r="H34" s="115" t="str">
        <x:v>Identity / Security</x:v>
      </x:c>
      <x:c r="I34" s="115" t="str">
        <x:v>Security / Access and resource management</x:v>
      </x:c>
      <x:c r="J34" s="115" t="str">
        <x:v>https://docs.aws.amazon.com/whitepapers/latest/aws-overview/amazon-web-services-cloud-platform.html</x:v>
      </x:c>
    </x:row>
    <x:row r="35">
      <x:c r="A35" s="116" t="str">
        <x:v>2. Foundation, Infrastructure &amp; Security</x:v>
      </x:c>
      <x:c r="B35" s="117" t="str">
        <x:v>04. Identity, Security, Privacy, Risk &amp; Compliance</x:v>
      </x:c>
      <x:c r="C35" s="115" t="str">
        <x:v>Protect identities, workloads, networks and data while producing verifiable risk and compliance evidence.</x:v>
      </x:c>
      <x:c r="D35" s="115" t="str">
        <x:v>Privileged access management and just-in-time access</x:v>
      </x:c>
      <x:c r="E35" s="115" t="str">
        <x:v>What outcome and non-functional requirements justify privileged access management and just-in-time access, and what is the simplest managed implementation?</x:v>
      </x:c>
      <x:c r="F35" s="115" t="str">
        <x:v>Ready &amp; Govern</x:v>
      </x:c>
      <x:c r="G35" s="115" t="str">
        <x:v>Security, identity, and compliance</x:v>
      </x:c>
      <x:c r="H35" s="115" t="str">
        <x:v>Identity / Security</x:v>
      </x:c>
      <x:c r="I35" s="115" t="str">
        <x:v>Security / Access and resource management</x:v>
      </x:c>
      <x:c r="J35" s="115" t="str">
        <x:v>https://docs.aws.amazon.com/whitepapers/latest/aws-overview/amazon-web-services-cloud-platform.html</x:v>
      </x:c>
    </x:row>
    <x:row r="36">
      <x:c r="A36" s="116" t="str">
        <x:v>2. Foundation, Infrastructure &amp; Security</x:v>
      </x:c>
      <x:c r="B36" s="117" t="str">
        <x:v>04. Identity, Security, Privacy, Risk &amp; Compliance</x:v>
      </x:c>
      <x:c r="C36" s="115" t="str">
        <x:v>Protect identities, workloads, networks and data while producing verifiable risk and compliance evidence.</x:v>
      </x:c>
      <x:c r="D36" s="115" t="str">
        <x:v>Secrets, keys, HSM and certificate management</x:v>
      </x:c>
      <x:c r="E36" s="115" t="str">
        <x:v>What outcome and non-functional requirements justify secrets, keys, hsm and certificate management, and what is the simplest managed implementation?</x:v>
      </x:c>
      <x:c r="F36" s="115" t="str">
        <x:v>Ready &amp; Govern</x:v>
      </x:c>
      <x:c r="G36" s="115" t="str">
        <x:v>Security, identity, and compliance</x:v>
      </x:c>
      <x:c r="H36" s="115" t="str">
        <x:v>Identity / Security</x:v>
      </x:c>
      <x:c r="I36" s="115" t="str">
        <x:v>Security / Access and resource management</x:v>
      </x:c>
      <x:c r="J36" s="115" t="str">
        <x:v>https://docs.aws.amazon.com/whitepapers/latest/aws-overview/amazon-web-services-cloud-platform.html</x:v>
      </x:c>
    </x:row>
    <x:row r="37">
      <x:c r="A37" s="116" t="str">
        <x:v>2. Foundation, Infrastructure &amp; Security</x:v>
      </x:c>
      <x:c r="B37" s="117" t="str">
        <x:v>04. Identity, Security, Privacy, Risk &amp; Compliance</x:v>
      </x:c>
      <x:c r="C37" s="115" t="str">
        <x:v>Protect identities, workloads, networks and data while producing verifiable risk and compliance evidence.</x:v>
      </x:c>
      <x:c r="D37" s="115" t="str">
        <x:v>Security posture and attack-path management</x:v>
      </x:c>
      <x:c r="E37" s="115" t="str">
        <x:v>What outcome and non-functional requirements justify security posture and attack-path management, and what is the simplest managed implementation?</x:v>
      </x:c>
      <x:c r="F37" s="115" t="str">
        <x:v>Ready &amp; Govern</x:v>
      </x:c>
      <x:c r="G37" s="115" t="str">
        <x:v>Security, identity, and compliance</x:v>
      </x:c>
      <x:c r="H37" s="115" t="str">
        <x:v>Identity / Security</x:v>
      </x:c>
      <x:c r="I37" s="115" t="str">
        <x:v>Security / Access and resource management</x:v>
      </x:c>
      <x:c r="J37" s="115" t="str">
        <x:v>https://docs.aws.amazon.com/whitepapers/latest/aws-overview/amazon-web-services-cloud-platform.html</x:v>
      </x:c>
    </x:row>
    <x:row r="38">
      <x:c r="A38" s="116" t="str">
        <x:v>2. Foundation, Infrastructure &amp; Security</x:v>
      </x:c>
      <x:c r="B38" s="117" t="str">
        <x:v>04. Identity, Security, Privacy, Risk &amp; Compliance</x:v>
      </x:c>
      <x:c r="C38" s="115" t="str">
        <x:v>Protect identities, workloads, networks and data while producing verifiable risk and compliance evidence.</x:v>
      </x:c>
      <x:c r="D38" s="115" t="str">
        <x:v>Threat detection, investigation, SIEM and SOAR</x:v>
      </x:c>
      <x:c r="E38" s="115" t="str">
        <x:v>What outcome and non-functional requirements justify threat detection, investigation, siem and soar, and what is the simplest managed implementation?</x:v>
      </x:c>
      <x:c r="F38" s="115" t="str">
        <x:v>Ready &amp; Govern</x:v>
      </x:c>
      <x:c r="G38" s="115" t="str">
        <x:v>Security, identity, and compliance</x:v>
      </x:c>
      <x:c r="H38" s="115" t="str">
        <x:v>Identity / Security</x:v>
      </x:c>
      <x:c r="I38" s="115" t="str">
        <x:v>Security / Access and resource management</x:v>
      </x:c>
      <x:c r="J38" s="115" t="str">
        <x:v>https://docs.aws.amazon.com/whitepapers/latest/aws-overview/amazon-web-services-cloud-platform.html</x:v>
      </x:c>
    </x:row>
    <x:row r="39">
      <x:c r="A39" s="116" t="str">
        <x:v>2. Foundation, Infrastructure &amp; Security</x:v>
      </x:c>
      <x:c r="B39" s="117" t="str">
        <x:v>04. Identity, Security, Privacy, Risk &amp; Compliance</x:v>
      </x:c>
      <x:c r="C39" s="115" t="str">
        <x:v>Protect identities, workloads, networks and data while producing verifiable risk and compliance evidence.</x:v>
      </x:c>
      <x:c r="D39" s="115" t="str">
        <x:v>Vulnerability, exposure and attack-surface management</x:v>
      </x:c>
      <x:c r="E39" s="115" t="str">
        <x:v>What outcome and non-functional requirements justify vulnerability, exposure and attack-surface management, and what is the simplest managed implementation?</x:v>
      </x:c>
      <x:c r="F39" s="115" t="str">
        <x:v>Ready &amp; Govern</x:v>
      </x:c>
      <x:c r="G39" s="115" t="str">
        <x:v>Security, identity, and compliance</x:v>
      </x:c>
      <x:c r="H39" s="115" t="str">
        <x:v>Identity / Security</x:v>
      </x:c>
      <x:c r="I39" s="115" t="str">
        <x:v>Security / Access and resource management</x:v>
      </x:c>
      <x:c r="J39" s="115" t="str">
        <x:v>https://docs.aws.amazon.com/whitepapers/latest/aws-overview/amazon-web-services-cloud-platform.html</x:v>
      </x:c>
    </x:row>
    <x:row r="40">
      <x:c r="A40" s="116" t="str">
        <x:v>2. Foundation, Infrastructure &amp; Security</x:v>
      </x:c>
      <x:c r="B40" s="117" t="str">
        <x:v>04. Identity, Security, Privacy, Risk &amp; Compliance</x:v>
      </x:c>
      <x:c r="C40" s="115" t="str">
        <x:v>Protect identities, workloads, networks and data while producing verifiable risk and compliance evidence.</x:v>
      </x:c>
      <x:c r="D40" s="115" t="str">
        <x:v>Sensitive-data discovery, DLP and privacy controls</x:v>
      </x:c>
      <x:c r="E40" s="115" t="str">
        <x:v>What outcome and non-functional requirements justify sensitive-data discovery, dlp and privacy controls, and what is the simplest managed implementation?</x:v>
      </x:c>
      <x:c r="F40" s="115" t="str">
        <x:v>Ready &amp; Govern</x:v>
      </x:c>
      <x:c r="G40" s="115" t="str">
        <x:v>Security, identity, and compliance</x:v>
      </x:c>
      <x:c r="H40" s="115" t="str">
        <x:v>Identity / Security</x:v>
      </x:c>
      <x:c r="I40" s="115" t="str">
        <x:v>Security / Access and resource management</x:v>
      </x:c>
      <x:c r="J40" s="115" t="str">
        <x:v>https://docs.aws.amazon.com/whitepapers/latest/aws-overview/amazon-web-services-cloud-platform.html</x:v>
      </x:c>
    </x:row>
    <x:row r="41">
      <x:c r="A41" s="116" t="str">
        <x:v>2. Foundation, Infrastructure &amp; Security</x:v>
      </x:c>
      <x:c r="B41" s="117" t="str">
        <x:v>04. Identity, Security, Privacy, Risk &amp; Compliance</x:v>
      </x:c>
      <x:c r="C41" s="115" t="str">
        <x:v>Protect identities, workloads, networks and data while producing verifiable risk and compliance evidence.</x:v>
      </x:c>
      <x:c r="D41" s="115" t="str">
        <x:v>Network, web, API and DDoS protection</x:v>
      </x:c>
      <x:c r="E41" s="115" t="str">
        <x:v>What outcome and non-functional requirements justify network, web, api and ddos protection, and what is the simplest managed implementation?</x:v>
      </x:c>
      <x:c r="F41" s="115" t="str">
        <x:v>Ready &amp; Govern</x:v>
      </x:c>
      <x:c r="G41" s="115" t="str">
        <x:v>Security, identity, and compliance</x:v>
      </x:c>
      <x:c r="H41" s="115" t="str">
        <x:v>Identity / Security</x:v>
      </x:c>
      <x:c r="I41" s="115" t="str">
        <x:v>Security / Access and resource management</x:v>
      </x:c>
      <x:c r="J41" s="115" t="str">
        <x:v>https://docs.aws.amazon.com/whitepapers/latest/aws-overview/amazon-web-services-cloud-platform.html</x:v>
      </x:c>
    </x:row>
    <x:row r="42">
      <x:c r="A42" s="116" t="str">
        <x:v>2. Foundation, Infrastructure &amp; Security</x:v>
      </x:c>
      <x:c r="B42" s="117" t="str">
        <x:v>04. Identity, Security, Privacy, Risk &amp; Compliance</x:v>
      </x:c>
      <x:c r="C42" s="115" t="str">
        <x:v>Protect identities, workloads, networks and data while producing verifiable risk and compliance evidence.</x:v>
      </x:c>
      <x:c r="D42" s="115" t="str">
        <x:v>Zero-trust access and private application access</x:v>
      </x:c>
      <x:c r="E42" s="115" t="str">
        <x:v>What outcome and non-functional requirements justify zero-trust access and private application access, and what is the simplest managed implementation?</x:v>
      </x:c>
      <x:c r="F42" s="115" t="str">
        <x:v>Ready &amp; Govern</x:v>
      </x:c>
      <x:c r="G42" s="115" t="str">
        <x:v>Security, identity, and compliance</x:v>
      </x:c>
      <x:c r="H42" s="115" t="str">
        <x:v>Identity / Security</x:v>
      </x:c>
      <x:c r="I42" s="115" t="str">
        <x:v>Security / Access and resource management</x:v>
      </x:c>
      <x:c r="J42" s="115" t="str">
        <x:v>https://docs.aws.amazon.com/whitepapers/latest/aws-overview/amazon-web-services-cloud-platform.html</x:v>
      </x:c>
    </x:row>
    <x:row r="43">
      <x:c r="A43" s="116" t="str">
        <x:v>2. Foundation, Infrastructure &amp; Security</x:v>
      </x:c>
      <x:c r="B43" s="117" t="str">
        <x:v>04. Identity, Security, Privacy, Risk &amp; Compliance</x:v>
      </x:c>
      <x:c r="C43" s="115" t="str">
        <x:v>Protect identities, workloads, networks and data while producing verifiable risk and compliance evidence.</x:v>
      </x:c>
      <x:c r="D43" s="115" t="str">
        <x:v>Confidential computing and attestation</x:v>
      </x:c>
      <x:c r="E43" s="115" t="str">
        <x:v>What outcome and non-functional requirements justify confidential computing and attestation, and what is the simplest managed implementation?</x:v>
      </x:c>
      <x:c r="F43" s="115" t="str">
        <x:v>Ready &amp; Govern</x:v>
      </x:c>
      <x:c r="G43" s="115" t="str">
        <x:v>Security, identity, and compliance</x:v>
      </x:c>
      <x:c r="H43" s="115" t="str">
        <x:v>Identity / Security</x:v>
      </x:c>
      <x:c r="I43" s="115" t="str">
        <x:v>Security / Access and resource management</x:v>
      </x:c>
      <x:c r="J43" s="115" t="str">
        <x:v>https://docs.aws.amazon.com/whitepapers/latest/aws-overview/amazon-web-services-cloud-platform.html</x:v>
      </x:c>
    </x:row>
    <x:row r="44">
      <x:c r="A44" s="116" t="str">
        <x:v>2. Foundation, Infrastructure &amp; Security</x:v>
      </x:c>
      <x:c r="B44" s="117" t="str">
        <x:v>04. Identity, Security, Privacy, Risk &amp; Compliance</x:v>
      </x:c>
      <x:c r="C44" s="115" t="str">
        <x:v>Protect identities, workloads, networks and data while producing verifiable risk and compliance evidence.</x:v>
      </x:c>
      <x:c r="D44" s="115" t="str">
        <x:v>Audit, evidence, compliance and regulatory reporting</x:v>
      </x:c>
      <x:c r="E44" s="115" t="str">
        <x:v>What outcome and non-functional requirements justify audit, evidence, compliance and regulatory reporting, and what is the simplest managed implementation?</x:v>
      </x:c>
      <x:c r="F44" s="115" t="str">
        <x:v>Ready &amp; Govern</x:v>
      </x:c>
      <x:c r="G44" s="115" t="str">
        <x:v>Security, identity, and compliance</x:v>
      </x:c>
      <x:c r="H44" s="115" t="str">
        <x:v>Identity / Security</x:v>
      </x:c>
      <x:c r="I44" s="115" t="str">
        <x:v>Security / Access and resource management</x:v>
      </x:c>
      <x:c r="J44" s="115" t="str">
        <x:v>https://docs.aws.amazon.com/whitepapers/latest/aws-overview/amazon-web-services-cloud-platform.html</x:v>
      </x:c>
    </x:row>
    <x:row r="45">
      <x:c r="A45" s="116" t="str">
        <x:v>2. Foundation, Infrastructure &amp; Security</x:v>
      </x:c>
      <x:c r="B45" s="117" t="str">
        <x:v>04. Identity, Security, Privacy, Risk &amp; Compliance</x:v>
      </x:c>
      <x:c r="C45" s="115" t="str">
        <x:v>Protect identities, workloads, networks and data while producing verifiable risk and compliance evidence.</x:v>
      </x:c>
      <x:c r="D45" s="115" t="str">
        <x:v>Sovereignty, residency and provider-access controls</x:v>
      </x:c>
      <x:c r="E45" s="115" t="str">
        <x:v>What outcome and non-functional requirements justify sovereignty, residency and provider-access controls, and what is the simplest managed implementation?</x:v>
      </x:c>
      <x:c r="F45" s="115" t="str">
        <x:v>Ready &amp; Govern</x:v>
      </x:c>
      <x:c r="G45" s="115" t="str">
        <x:v>Security, identity, and compliance</x:v>
      </x:c>
      <x:c r="H45" s="115" t="str">
        <x:v>Identity / Security</x:v>
      </x:c>
      <x:c r="I45" s="115" t="str">
        <x:v>Security / Access and resource management</x:v>
      </x:c>
      <x:c r="J45" s="115" t="str">
        <x:v>https://docs.aws.amazon.com/whitepapers/latest/aws-overview/amazon-web-services-cloud-platform.html</x:v>
      </x:c>
    </x:row>
    <x:row r="46">
      <x:c r="A46" s="116" t="str">
        <x:v>2. Foundation, Infrastructure &amp; Security</x:v>
      </x:c>
      <x:c r="B46" s="117" t="str">
        <x:v>05. Networking, Connectivity, DNS, Traffic &amp; Edge Delivery</x:v>
      </x:c>
      <x:c r="C46" s="115" t="str">
        <x:v>Connect users, workloads, clouds and data centres through secure and resilient traffic paths.</x:v>
      </x:c>
      <x:c r="D46" s="115" t="str">
        <x:v>Virtual networks, subnets and IP address management</x:v>
      </x:c>
      <x:c r="E46" s="115" t="str">
        <x:v>What outcome and non-functional requirements justify virtual networks, subnets and ip address management, and what is the simplest managed implementation?</x:v>
      </x:c>
      <x:c r="F46" s="115" t="str">
        <x:v>Ready &amp; Govern</x:v>
      </x:c>
      <x:c r="G46" s="115" t="str">
        <x:v>Networking and content delivery</x:v>
      </x:c>
      <x:c r="H46" s="115" t="str">
        <x:v>Networking</x:v>
      </x:c>
      <x:c r="I46" s="115" t="str">
        <x:v>Networking</x:v>
      </x:c>
      <x:c r="J46" s="115" t="str">
        <x:v>https://docs.aws.amazon.com/whitepapers/latest/aws-overview/amazon-web-services-cloud-platform.html</x:v>
      </x:c>
    </x:row>
    <x:row r="47">
      <x:c r="A47" s="116" t="str">
        <x:v>2. Foundation, Infrastructure &amp; Security</x:v>
      </x:c>
      <x:c r="B47" s="117" t="str">
        <x:v>05. Networking, Connectivity, DNS, Traffic &amp; Edge Delivery</x:v>
      </x:c>
      <x:c r="C47" s="115" t="str">
        <x:v>Connect users, workloads, clouds and data centres through secure and resilient traffic paths.</x:v>
      </x:c>
      <x:c r="D47" s="115" t="str">
        <x:v>Network segmentation and microsegmentation</x:v>
      </x:c>
      <x:c r="E47" s="115" t="str">
        <x:v>What outcome and non-functional requirements justify network segmentation and microsegmentation, and what is the simplest managed implementation?</x:v>
      </x:c>
      <x:c r="F47" s="115" t="str">
        <x:v>Ready &amp; Govern</x:v>
      </x:c>
      <x:c r="G47" s="115" t="str">
        <x:v>Networking and content delivery</x:v>
      </x:c>
      <x:c r="H47" s="115" t="str">
        <x:v>Networking</x:v>
      </x:c>
      <x:c r="I47" s="115" t="str">
        <x:v>Networking</x:v>
      </x:c>
      <x:c r="J47" s="115" t="str">
        <x:v>https://docs.aws.amazon.com/whitepapers/latest/aws-overview/amazon-web-services-cloud-platform.html</x:v>
      </x:c>
    </x:row>
    <x:row r="48">
      <x:c r="A48" s="116" t="str">
        <x:v>2. Foundation, Infrastructure &amp; Security</x:v>
      </x:c>
      <x:c r="B48" s="117" t="str">
        <x:v>05. Networking, Connectivity, DNS, Traffic &amp; Edge Delivery</x:v>
      </x:c>
      <x:c r="C48" s="115" t="str">
        <x:v>Connect users, workloads, clouds and data centres through secure and resilient traffic paths.</x:v>
      </x:c>
      <x:c r="D48" s="115" t="str">
        <x:v>Routing, peering and shared-network models</x:v>
      </x:c>
      <x:c r="E48" s="115" t="str">
        <x:v>What outcome and non-functional requirements justify routing, peering and shared-network models, and what is the simplest managed implementation?</x:v>
      </x:c>
      <x:c r="F48" s="115" t="str">
        <x:v>Ready &amp; Govern</x:v>
      </x:c>
      <x:c r="G48" s="115" t="str">
        <x:v>Networking and content delivery</x:v>
      </x:c>
      <x:c r="H48" s="115" t="str">
        <x:v>Networking</x:v>
      </x:c>
      <x:c r="I48" s="115" t="str">
        <x:v>Networking</x:v>
      </x:c>
      <x:c r="J48" s="115" t="str">
        <x:v>https://docs.aws.amazon.com/whitepapers/latest/aws-overview/amazon-web-services-cloud-platform.html</x:v>
      </x:c>
    </x:row>
    <x:row r="49">
      <x:c r="A49" s="116" t="str">
        <x:v>2. Foundation, Infrastructure &amp; Security</x:v>
      </x:c>
      <x:c r="B49" s="117" t="str">
        <x:v>05. Networking, Connectivity, DNS, Traffic &amp; Edge Delivery</x:v>
      </x:c>
      <x:c r="C49" s="115" t="str">
        <x:v>Connect users, workloads, clouds and data centres through secure and resilient traffic paths.</x:v>
      </x:c>
      <x:c r="D49" s="115" t="str">
        <x:v>Layer 4 and Layer 7 load balancing</x:v>
      </x:c>
      <x:c r="E49" s="115" t="str">
        <x:v>What outcome and non-functional requirements justify layer 4 and layer 7 load balancing, and what is the simplest managed implementation?</x:v>
      </x:c>
      <x:c r="F49" s="115" t="str">
        <x:v>Ready &amp; Govern</x:v>
      </x:c>
      <x:c r="G49" s="115" t="str">
        <x:v>Networking and content delivery</x:v>
      </x:c>
      <x:c r="H49" s="115" t="str">
        <x:v>Networking</x:v>
      </x:c>
      <x:c r="I49" s="115" t="str">
        <x:v>Networking</x:v>
      </x:c>
      <x:c r="J49" s="115" t="str">
        <x:v>https://docs.aws.amazon.com/whitepapers/latest/aws-overview/amazon-web-services-cloud-platform.html</x:v>
      </x:c>
    </x:row>
    <x:row r="50">
      <x:c r="A50" s="116" t="str">
        <x:v>2. Foundation, Infrastructure &amp; Security</x:v>
      </x:c>
      <x:c r="B50" s="117" t="str">
        <x:v>05. Networking, Connectivity, DNS, Traffic &amp; Edge Delivery</x:v>
      </x:c>
      <x:c r="C50" s="115" t="str">
        <x:v>Connect users, workloads, clouds and data centres through secure and resilient traffic paths.</x:v>
      </x:c>
      <x:c r="D50" s="115" t="str">
        <x:v>Global traffic management and acceleration</x:v>
      </x:c>
      <x:c r="E50" s="115" t="str">
        <x:v>What outcome and non-functional requirements justify global traffic management and acceleration, and what is the simplest managed implementation?</x:v>
      </x:c>
      <x:c r="F50" s="115" t="str">
        <x:v>Ready &amp; Govern</x:v>
      </x:c>
      <x:c r="G50" s="115" t="str">
        <x:v>Networking and content delivery</x:v>
      </x:c>
      <x:c r="H50" s="115" t="str">
        <x:v>Networking</x:v>
      </x:c>
      <x:c r="I50" s="115" t="str">
        <x:v>Networking</x:v>
      </x:c>
      <x:c r="J50" s="115" t="str">
        <x:v>https://docs.aws.amazon.com/whitepapers/latest/aws-overview/amazon-web-services-cloud-platform.html</x:v>
      </x:c>
    </x:row>
    <x:row r="51">
      <x:c r="A51" s="116" t="str">
        <x:v>2. Foundation, Infrastructure &amp; Security</x:v>
      </x:c>
      <x:c r="B51" s="117" t="str">
        <x:v>05. Networking, Connectivity, DNS, Traffic &amp; Edge Delivery</x:v>
      </x:c>
      <x:c r="C51" s="115" t="str">
        <x:v>Connect users, workloads, clouds and data centres through secure and resilient traffic paths.</x:v>
      </x:c>
      <x:c r="D51" s="115" t="str">
        <x:v>Public and private DNS and domain management</x:v>
      </x:c>
      <x:c r="E51" s="115" t="str">
        <x:v>What outcome and non-functional requirements justify public and private dns and domain management, and what is the simplest managed implementation?</x:v>
      </x:c>
      <x:c r="F51" s="115" t="str">
        <x:v>Ready &amp; Govern</x:v>
      </x:c>
      <x:c r="G51" s="115" t="str">
        <x:v>Networking and content delivery</x:v>
      </x:c>
      <x:c r="H51" s="115" t="str">
        <x:v>Networking</x:v>
      </x:c>
      <x:c r="I51" s="115" t="str">
        <x:v>Networking</x:v>
      </x:c>
      <x:c r="J51" s="115" t="str">
        <x:v>https://docs.aws.amazon.com/whitepapers/latest/aws-overview/amazon-web-services-cloud-platform.html</x:v>
      </x:c>
    </x:row>
    <x:row r="52">
      <x:c r="A52" s="116" t="str">
        <x:v>2. Foundation, Infrastructure &amp; Security</x:v>
      </x:c>
      <x:c r="B52" s="117" t="str">
        <x:v>05. Networking, Connectivity, DNS, Traffic &amp; Edge Delivery</x:v>
      </x:c>
      <x:c r="C52" s="115" t="str">
        <x:v>Connect users, workloads, clouds and data centres through secure and resilient traffic paths.</x:v>
      </x:c>
      <x:c r="D52" s="115" t="str">
        <x:v>Content delivery and media CDN</x:v>
      </x:c>
      <x:c r="E52" s="115" t="str">
        <x:v>What outcome and non-functional requirements justify content delivery and media cdn, and what is the simplest managed implementation?</x:v>
      </x:c>
      <x:c r="F52" s="115" t="str">
        <x:v>Ready &amp; Govern</x:v>
      </x:c>
      <x:c r="G52" s="115" t="str">
        <x:v>Networking and content delivery</x:v>
      </x:c>
      <x:c r="H52" s="115" t="str">
        <x:v>Networking</x:v>
      </x:c>
      <x:c r="I52" s="115" t="str">
        <x:v>Networking</x:v>
      </x:c>
      <x:c r="J52" s="115" t="str">
        <x:v>https://docs.aws.amazon.com/whitepapers/latest/aws-overview/amazon-web-services-cloud-platform.html</x:v>
      </x:c>
    </x:row>
    <x:row r="53">
      <x:c r="A53" s="116" t="str">
        <x:v>2. Foundation, Infrastructure &amp; Security</x:v>
      </x:c>
      <x:c r="B53" s="117" t="str">
        <x:v>05. Networking, Connectivity, DNS, Traffic &amp; Edge Delivery</x:v>
      </x:c>
      <x:c r="C53" s="115" t="str">
        <x:v>Connect users, workloads, clouds and data centres through secure and resilient traffic paths.</x:v>
      </x:c>
      <x:c r="D53" s="115" t="str">
        <x:v>NAT, internet gateways and controlled egress</x:v>
      </x:c>
      <x:c r="E53" s="115" t="str">
        <x:v>What outcome and non-functional requirements justify nat, internet gateways and controlled egress, and what is the simplest managed implementation?</x:v>
      </x:c>
      <x:c r="F53" s="115" t="str">
        <x:v>Ready &amp; Govern</x:v>
      </x:c>
      <x:c r="G53" s="115" t="str">
        <x:v>Networking and content delivery</x:v>
      </x:c>
      <x:c r="H53" s="115" t="str">
        <x:v>Networking</x:v>
      </x:c>
      <x:c r="I53" s="115" t="str">
        <x:v>Networking</x:v>
      </x:c>
      <x:c r="J53" s="115" t="str">
        <x:v>https://docs.aws.amazon.com/whitepapers/latest/aws-overview/amazon-web-services-cloud-platform.html</x:v>
      </x:c>
    </x:row>
    <x:row r="54">
      <x:c r="A54" s="116" t="str">
        <x:v>2. Foundation, Infrastructure &amp; Security</x:v>
      </x:c>
      <x:c r="B54" s="117" t="str">
        <x:v>05. Networking, Connectivity, DNS, Traffic &amp; Edge Delivery</x:v>
      </x:c>
      <x:c r="C54" s="115" t="str">
        <x:v>Connect users, workloads, clouds and data centres through secure and resilient traffic paths.</x:v>
      </x:c>
      <x:c r="D54" s="115" t="str">
        <x:v>Site-to-site and client VPN</x:v>
      </x:c>
      <x:c r="E54" s="115" t="str">
        <x:v>What outcome and non-functional requirements justify site-to-site and client vpn, and what is the simplest managed implementation?</x:v>
      </x:c>
      <x:c r="F54" s="115" t="str">
        <x:v>Ready &amp; Govern</x:v>
      </x:c>
      <x:c r="G54" s="115" t="str">
        <x:v>Networking and content delivery</x:v>
      </x:c>
      <x:c r="H54" s="115" t="str">
        <x:v>Networking</x:v>
      </x:c>
      <x:c r="I54" s="115" t="str">
        <x:v>Networking</x:v>
      </x:c>
      <x:c r="J54" s="115" t="str">
        <x:v>https://docs.aws.amazon.com/whitepapers/latest/aws-overview/amazon-web-services-cloud-platform.html</x:v>
      </x:c>
    </x:row>
    <x:row r="55">
      <x:c r="A55" s="116" t="str">
        <x:v>2. Foundation, Infrastructure &amp; Security</x:v>
      </x:c>
      <x:c r="B55" s="117" t="str">
        <x:v>05. Networking, Connectivity, DNS, Traffic &amp; Edge Delivery</x:v>
      </x:c>
      <x:c r="C55" s="115" t="str">
        <x:v>Connect users, workloads, clouds and data centres through secure and resilient traffic paths.</x:v>
      </x:c>
      <x:c r="D55" s="115" t="str">
        <x:v>Dedicated private connectivity</x:v>
      </x:c>
      <x:c r="E55" s="115" t="str">
        <x:v>What outcome and non-functional requirements justify dedicated private connectivity, and what is the simplest managed implementation?</x:v>
      </x:c>
      <x:c r="F55" s="115" t="str">
        <x:v>Ready &amp; Govern</x:v>
      </x:c>
      <x:c r="G55" s="115" t="str">
        <x:v>Networking and content delivery</x:v>
      </x:c>
      <x:c r="H55" s="115" t="str">
        <x:v>Networking</x:v>
      </x:c>
      <x:c r="I55" s="115" t="str">
        <x:v>Networking</x:v>
      </x:c>
      <x:c r="J55" s="115" t="str">
        <x:v>https://docs.aws.amazon.com/whitepapers/latest/aws-overview/amazon-web-services-cloud-platform.html</x:v>
      </x:c>
    </x:row>
    <x:row r="56">
      <x:c r="A56" s="116" t="str">
        <x:v>2. Foundation, Infrastructure &amp; Security</x:v>
      </x:c>
      <x:c r="B56" s="117" t="str">
        <x:v>05. Networking, Connectivity, DNS, Traffic &amp; Edge Delivery</x:v>
      </x:c>
      <x:c r="C56" s="115" t="str">
        <x:v>Connect users, workloads, clouds and data centres through secure and resilient traffic paths.</x:v>
      </x:c>
      <x:c r="D56" s="115" t="str">
        <x:v>Transit networks and cloud WAN</x:v>
      </x:c>
      <x:c r="E56" s="115" t="str">
        <x:v>What outcome and non-functional requirements justify transit networks and cloud wan, and what is the simplest managed implementation?</x:v>
      </x:c>
      <x:c r="F56" s="115" t="str">
        <x:v>Ready &amp; Govern</x:v>
      </x:c>
      <x:c r="G56" s="115" t="str">
        <x:v>Networking and content delivery</x:v>
      </x:c>
      <x:c r="H56" s="115" t="str">
        <x:v>Networking</x:v>
      </x:c>
      <x:c r="I56" s="115" t="str">
        <x:v>Networking</x:v>
      </x:c>
      <x:c r="J56" s="115" t="str">
        <x:v>https://docs.aws.amazon.com/whitepapers/latest/aws-overview/amazon-web-services-cloud-platform.html</x:v>
      </x:c>
    </x:row>
    <x:row r="57">
      <x:c r="A57" s="116" t="str">
        <x:v>2. Foundation, Infrastructure &amp; Security</x:v>
      </x:c>
      <x:c r="B57" s="117" t="str">
        <x:v>05. Networking, Connectivity, DNS, Traffic &amp; Edge Delivery</x:v>
      </x:c>
      <x:c r="C57" s="115" t="str">
        <x:v>Connect users, workloads, clouds and data centres through secure and resilient traffic paths.</x:v>
      </x:c>
      <x:c r="D57" s="115" t="str">
        <x:v>Private service endpoints and service connectivity</x:v>
      </x:c>
      <x:c r="E57" s="115" t="str">
        <x:v>What outcome and non-functional requirements justify private service endpoints and service connectivity, and what is the simplest managed implementation?</x:v>
      </x:c>
      <x:c r="F57" s="115" t="str">
        <x:v>Ready &amp; Govern</x:v>
      </x:c>
      <x:c r="G57" s="115" t="str">
        <x:v>Networking and content delivery</x:v>
      </x:c>
      <x:c r="H57" s="115" t="str">
        <x:v>Networking</x:v>
      </x:c>
      <x:c r="I57" s="115" t="str">
        <x:v>Networking</x:v>
      </x:c>
      <x:c r="J57" s="115" t="str">
        <x:v>https://docs.aws.amazon.com/whitepapers/latest/aws-overview/amazon-web-services-cloud-platform.html</x:v>
      </x:c>
    </x:row>
    <x:row r="58">
      <x:c r="A58" s="116" t="str">
        <x:v>2. Foundation, Infrastructure &amp; Security</x:v>
      </x:c>
      <x:c r="B58" s="117" t="str">
        <x:v>05. Networking, Connectivity, DNS, Traffic &amp; Edge Delivery</x:v>
      </x:c>
      <x:c r="C58" s="115" t="str">
        <x:v>Connect users, workloads, clouds and data centres through secure and resilient traffic paths.</x:v>
      </x:c>
      <x:c r="D58" s="115" t="str">
        <x:v>Service mesh, service discovery and east-west traffic</x:v>
      </x:c>
      <x:c r="E58" s="115" t="str">
        <x:v>What outcome and non-functional requirements justify service mesh, service discovery and east-west traffic, and what is the simplest managed implementation?</x:v>
      </x:c>
      <x:c r="F58" s="115" t="str">
        <x:v>Ready &amp; Govern</x:v>
      </x:c>
      <x:c r="G58" s="115" t="str">
        <x:v>Networking and content delivery</x:v>
      </x:c>
      <x:c r="H58" s="115" t="str">
        <x:v>Networking</x:v>
      </x:c>
      <x:c r="I58" s="115" t="str">
        <x:v>Networking</x:v>
      </x:c>
      <x:c r="J58" s="115" t="str">
        <x:v>https://docs.aws.amazon.com/whitepapers/latest/aws-overview/amazon-web-services-cloud-platform.html</x:v>
      </x:c>
    </x:row>
    <x:row r="59">
      <x:c r="A59" s="116" t="str">
        <x:v>2. Foundation, Infrastructure &amp; Security</x:v>
      </x:c>
      <x:c r="B59" s="117" t="str">
        <x:v>05. Networking, Connectivity, DNS, Traffic &amp; Edge Delivery</x:v>
      </x:c>
      <x:c r="C59" s="115" t="str">
        <x:v>Connect users, workloads, clouds and data centres through secure and resilient traffic paths.</x:v>
      </x:c>
      <x:c r="D59" s="115" t="str">
        <x:v>Network firewall, secure web gateway and SASE</x:v>
      </x:c>
      <x:c r="E59" s="115" t="str">
        <x:v>What outcome and non-functional requirements justify network firewall, secure web gateway and sase, and what is the simplest managed implementation?</x:v>
      </x:c>
      <x:c r="F59" s="115" t="str">
        <x:v>Ready &amp; Govern</x:v>
      </x:c>
      <x:c r="G59" s="115" t="str">
        <x:v>Networking and content delivery</x:v>
      </x:c>
      <x:c r="H59" s="115" t="str">
        <x:v>Networking</x:v>
      </x:c>
      <x:c r="I59" s="115" t="str">
        <x:v>Networking</x:v>
      </x:c>
      <x:c r="J59" s="115" t="str">
        <x:v>https://docs.aws.amazon.com/whitepapers/latest/aws-overview/amazon-web-services-cloud-platform.html</x:v>
      </x:c>
    </x:row>
    <x:row r="60">
      <x:c r="A60" s="116" t="str">
        <x:v>2. Foundation, Infrastructure &amp; Security</x:v>
      </x:c>
      <x:c r="B60" s="117" t="str">
        <x:v>05. Networking, Connectivity, DNS, Traffic &amp; Edge Delivery</x:v>
      </x:c>
      <x:c r="C60" s="115" t="str">
        <x:v>Connect users, workloads, clouds and data centres through secure and resilient traffic paths.</x:v>
      </x:c>
      <x:c r="D60" s="115" t="str">
        <x:v>Network observability, flow analysis and diagnostics</x:v>
      </x:c>
      <x:c r="E60" s="115" t="str">
        <x:v>What outcome and non-functional requirements justify network observability, flow analysis and diagnostics, and what is the simplest managed implementation?</x:v>
      </x:c>
      <x:c r="F60" s="115" t="str">
        <x:v>Ready &amp; Govern</x:v>
      </x:c>
      <x:c r="G60" s="115" t="str">
        <x:v>Networking and content delivery</x:v>
      </x:c>
      <x:c r="H60" s="115" t="str">
        <x:v>Networking</x:v>
      </x:c>
      <x:c r="I60" s="115" t="str">
        <x:v>Networking</x:v>
      </x:c>
      <x:c r="J60" s="115" t="str">
        <x:v>https://docs.aws.amazon.com/whitepapers/latest/aws-overview/amazon-web-services-cloud-platform.html</x:v>
      </x:c>
    </x:row>
    <x:row r="61">
      <x:c r="A61" s="116" t="str">
        <x:v>2. Foundation, Infrastructure &amp; Security</x:v>
      </x:c>
      <x:c r="B61" s="117" t="str">
        <x:v>05. Networking, Connectivity, DNS, Traffic &amp; Edge Delivery</x:v>
      </x:c>
      <x:c r="C61" s="115" t="str">
        <x:v>Connect users, workloads, clouds and data centres through secure and resilient traffic paths.</x:v>
      </x:c>
      <x:c r="D61" s="115" t="str">
        <x:v>Private wireless, 5G and telecom edge connectivity</x:v>
      </x:c>
      <x:c r="E61" s="115" t="str">
        <x:v>What outcome and non-functional requirements justify private wireless, 5g and telecom edge connectivity, and what is the simplest managed implementation?</x:v>
      </x:c>
      <x:c r="F61" s="115" t="str">
        <x:v>Ready &amp; Govern</x:v>
      </x:c>
      <x:c r="G61" s="115" t="str">
        <x:v>Networking and content delivery</x:v>
      </x:c>
      <x:c r="H61" s="115" t="str">
        <x:v>Networking</x:v>
      </x:c>
      <x:c r="I61" s="115" t="str">
        <x:v>Networking</x:v>
      </x:c>
      <x:c r="J61" s="115" t="str">
        <x:v>https://docs.aws.amazon.com/whitepapers/latest/aws-overview/amazon-web-services-cloud-platform.html</x:v>
      </x:c>
    </x:row>
    <x:row r="62">
      <x:c r="A62" s="116" t="str">
        <x:v>2. Foundation, Infrastructure &amp; Security</x:v>
      </x:c>
      <x:c r="B62" s="117" t="str">
        <x:v>06. Compute, Virtualisation, HPC &amp; Accelerators</x:v>
      </x:c>
      <x:c r="C62" s="115" t="str">
        <x:v>Provide infrastructure-level processing capacity where operating-system or hardware control is required.</x:v>
      </x:c>
      <x:c r="D62" s="115" t="str">
        <x:v>General-purpose virtual machines</x:v>
      </x:c>
      <x:c r="E62" s="115" t="str">
        <x:v>What outcome and non-functional requirements justify general-purpose virtual machines, and what is the simplest managed implementation?</x:v>
      </x:c>
      <x:c r="F62" s="115" t="str">
        <x:v>Adopt &amp; Build</x:v>
      </x:c>
      <x:c r="G62" s="115" t="str">
        <x:v>Compute</x:v>
      </x:c>
      <x:c r="H62" s="115" t="str">
        <x:v>Compute</x:v>
      </x:c>
      <x:c r="I62" s="115" t="str">
        <x:v>Compute</x:v>
      </x:c>
      <x:c r="J62" s="115" t="str">
        <x:v>https://azure.microsoft.com/en-us/products/category</x:v>
      </x:c>
    </x:row>
    <x:row r="63">
      <x:c r="A63" s="116" t="str">
        <x:v>2. Foundation, Infrastructure &amp; Security</x:v>
      </x:c>
      <x:c r="B63" s="117" t="str">
        <x:v>06. Compute, Virtualisation, HPC &amp; Accelerators</x:v>
      </x:c>
      <x:c r="C63" s="115" t="str">
        <x:v>Provide infrastructure-level processing capacity where operating-system or hardware control is required.</x:v>
      </x:c>
      <x:c r="D63" s="115" t="str">
        <x:v>Autoscaling virtual-machine groups</x:v>
      </x:c>
      <x:c r="E63" s="115" t="str">
        <x:v>What outcome and non-functional requirements justify autoscaling virtual-machine groups, and what is the simplest managed implementation?</x:v>
      </x:c>
      <x:c r="F63" s="115" t="str">
        <x:v>Adopt &amp; Build</x:v>
      </x:c>
      <x:c r="G63" s="115" t="str">
        <x:v>Compute</x:v>
      </x:c>
      <x:c r="H63" s="115" t="str">
        <x:v>Compute</x:v>
      </x:c>
      <x:c r="I63" s="115" t="str">
        <x:v>Compute</x:v>
      </x:c>
      <x:c r="J63" s="115" t="str">
        <x:v>https://azure.microsoft.com/en-us/products/category</x:v>
      </x:c>
    </x:row>
    <x:row r="64">
      <x:c r="A64" s="116" t="str">
        <x:v>2. Foundation, Infrastructure &amp; Security</x:v>
      </x:c>
      <x:c r="B64" s="117" t="str">
        <x:v>06. Compute, Virtualisation, HPC &amp; Accelerators</x:v>
      </x:c>
      <x:c r="C64" s="115" t="str">
        <x:v>Provide infrastructure-level processing capacity where operating-system or hardware control is required.</x:v>
      </x:c>
      <x:c r="D64" s="115" t="str">
        <x:v>Spot and interruptible compute</x:v>
      </x:c>
      <x:c r="E64" s="115" t="str">
        <x:v>What outcome and non-functional requirements justify spot and interruptible compute, and what is the simplest managed implementation?</x:v>
      </x:c>
      <x:c r="F64" s="115" t="str">
        <x:v>Adopt &amp; Build</x:v>
      </x:c>
      <x:c r="G64" s="115" t="str">
        <x:v>Compute</x:v>
      </x:c>
      <x:c r="H64" s="115" t="str">
        <x:v>Compute</x:v>
      </x:c>
      <x:c r="I64" s="115" t="str">
        <x:v>Compute</x:v>
      </x:c>
      <x:c r="J64" s="115" t="str">
        <x:v>https://azure.microsoft.com/en-us/products/category</x:v>
      </x:c>
    </x:row>
    <x:row r="65">
      <x:c r="A65" s="116" t="str">
        <x:v>2. Foundation, Infrastructure &amp; Security</x:v>
      </x:c>
      <x:c r="B65" s="117" t="str">
        <x:v>06. Compute, Virtualisation, HPC &amp; Accelerators</x:v>
      </x:c>
      <x:c r="C65" s="115" t="str">
        <x:v>Provide infrastructure-level processing capacity where operating-system or hardware control is required.</x:v>
      </x:c>
      <x:c r="D65" s="115" t="str">
        <x:v>Dedicated hosts, bare metal and sole tenancy</x:v>
      </x:c>
      <x:c r="E65" s="115" t="str">
        <x:v>What outcome and non-functional requirements justify dedicated hosts, bare metal and sole tenancy, and what is the simplest managed implementation?</x:v>
      </x:c>
      <x:c r="F65" s="115" t="str">
        <x:v>Adopt &amp; Build</x:v>
      </x:c>
      <x:c r="G65" s="115" t="str">
        <x:v>Compute</x:v>
      </x:c>
      <x:c r="H65" s="115" t="str">
        <x:v>Compute</x:v>
      </x:c>
      <x:c r="I65" s="115" t="str">
        <x:v>Compute</x:v>
      </x:c>
      <x:c r="J65" s="115" t="str">
        <x:v>https://azure.microsoft.com/en-us/products/category</x:v>
      </x:c>
    </x:row>
    <x:row r="66">
      <x:c r="A66" s="116" t="str">
        <x:v>2. Foundation, Infrastructure &amp; Security</x:v>
      </x:c>
      <x:c r="B66" s="117" t="str">
        <x:v>06. Compute, Virtualisation, HPC &amp; Accelerators</x:v>
      </x:c>
      <x:c r="C66" s="115" t="str">
        <x:v>Provide infrastructure-level processing capacity where operating-system or hardware control is required.</x:v>
      </x:c>
      <x:c r="D66" s="115" t="str">
        <x:v>Machine images and image factories</x:v>
      </x:c>
      <x:c r="E66" s="115" t="str">
        <x:v>What outcome and non-functional requirements justify machine images and image factories, and what is the simplest managed implementation?</x:v>
      </x:c>
      <x:c r="F66" s="115" t="str">
        <x:v>Adopt &amp; Build</x:v>
      </x:c>
      <x:c r="G66" s="115" t="str">
        <x:v>Compute</x:v>
      </x:c>
      <x:c r="H66" s="115" t="str">
        <x:v>Compute</x:v>
      </x:c>
      <x:c r="I66" s="115" t="str">
        <x:v>Compute</x:v>
      </x:c>
      <x:c r="J66" s="115" t="str">
        <x:v>https://azure.microsoft.com/en-us/products/category</x:v>
      </x:c>
    </x:row>
    <x:row r="67">
      <x:c r="A67" s="116" t="str">
        <x:v>2. Foundation, Infrastructure &amp; Security</x:v>
      </x:c>
      <x:c r="B67" s="117" t="str">
        <x:v>06. Compute, Virtualisation, HPC &amp; Accelerators</x:v>
      </x:c>
      <x:c r="C67" s="115" t="str">
        <x:v>Provide infrastructure-level processing capacity where operating-system or hardware control is required.</x:v>
      </x:c>
      <x:c r="D67" s="115" t="str">
        <x:v>Batch computing</x:v>
      </x:c>
      <x:c r="E67" s="115" t="str">
        <x:v>What outcome and non-functional requirements justify batch computing, and what is the simplest managed implementation?</x:v>
      </x:c>
      <x:c r="F67" s="115" t="str">
        <x:v>Adopt &amp; Build</x:v>
      </x:c>
      <x:c r="G67" s="115" t="str">
        <x:v>Compute</x:v>
      </x:c>
      <x:c r="H67" s="115" t="str">
        <x:v>Compute</x:v>
      </x:c>
      <x:c r="I67" s="115" t="str">
        <x:v>Compute</x:v>
      </x:c>
      <x:c r="J67" s="115" t="str">
        <x:v>https://azure.microsoft.com/en-us/products/category</x:v>
      </x:c>
    </x:row>
    <x:row r="68">
      <x:c r="A68" s="116" t="str">
        <x:v>2. Foundation, Infrastructure &amp; Security</x:v>
      </x:c>
      <x:c r="B68" s="117" t="str">
        <x:v>06. Compute, Virtualisation, HPC &amp; Accelerators</x:v>
      </x:c>
      <x:c r="C68" s="115" t="str">
        <x:v>Provide infrastructure-level processing capacity where operating-system or hardware control is required.</x:v>
      </x:c>
      <x:c r="D68" s="115" t="str">
        <x:v>High-performance and high-throughput computing</x:v>
      </x:c>
      <x:c r="E68" s="115" t="str">
        <x:v>What outcome and non-functional requirements justify high-performance and high-throughput computing, and what is the simplest managed implementation?</x:v>
      </x:c>
      <x:c r="F68" s="115" t="str">
        <x:v>Adopt &amp; Build</x:v>
      </x:c>
      <x:c r="G68" s="115" t="str">
        <x:v>Compute</x:v>
      </x:c>
      <x:c r="H68" s="115" t="str">
        <x:v>Compute</x:v>
      </x:c>
      <x:c r="I68" s="115" t="str">
        <x:v>Compute</x:v>
      </x:c>
      <x:c r="J68" s="115" t="str">
        <x:v>https://azure.microsoft.com/en-us/products/category</x:v>
      </x:c>
    </x:row>
    <x:row r="69">
      <x:c r="A69" s="116" t="str">
        <x:v>2. Foundation, Infrastructure &amp; Security</x:v>
      </x:c>
      <x:c r="B69" s="117" t="str">
        <x:v>06. Compute, Virtualisation, HPC &amp; Accelerators</x:v>
      </x:c>
      <x:c r="C69" s="115" t="str">
        <x:v>Provide infrastructure-level processing capacity where operating-system or hardware control is required.</x:v>
      </x:c>
      <x:c r="D69" s="115" t="str">
        <x:v>GPU, TPU, AI accelerator and custom silicon</x:v>
      </x:c>
      <x:c r="E69" s="115" t="str">
        <x:v>What outcome and non-functional requirements justify gpu, tpu, ai accelerator and custom silicon, and what is the simplest managed implementation?</x:v>
      </x:c>
      <x:c r="F69" s="115" t="str">
        <x:v>Adopt &amp; Build</x:v>
      </x:c>
      <x:c r="G69" s="115" t="str">
        <x:v>Compute</x:v>
      </x:c>
      <x:c r="H69" s="115" t="str">
        <x:v>Compute</x:v>
      </x:c>
      <x:c r="I69" s="115" t="str">
        <x:v>Compute</x:v>
      </x:c>
      <x:c r="J69" s="115" t="str">
        <x:v>https://azure.microsoft.com/en-us/products/category</x:v>
      </x:c>
    </x:row>
    <x:row r="70">
      <x:c r="A70" s="116" t="str">
        <x:v>2. Foundation, Infrastructure &amp; Security</x:v>
      </x:c>
      <x:c r="B70" s="117" t="str">
        <x:v>06. Compute, Virtualisation, HPC &amp; Accelerators</x:v>
      </x:c>
      <x:c r="C70" s="115" t="str">
        <x:v>Provide infrastructure-level processing capacity where operating-system or hardware control is required.</x:v>
      </x:c>
      <x:c r="D70" s="115" t="str">
        <x:v>Parallel clusters and schedulers</x:v>
      </x:c>
      <x:c r="E70" s="115" t="str">
        <x:v>What outcome and non-functional requirements justify parallel clusters and schedulers, and what is the simplest managed implementation?</x:v>
      </x:c>
      <x:c r="F70" s="115" t="str">
        <x:v>Adopt &amp; Build</x:v>
      </x:c>
      <x:c r="G70" s="115" t="str">
        <x:v>Compute</x:v>
      </x:c>
      <x:c r="H70" s="115" t="str">
        <x:v>Compute</x:v>
      </x:c>
      <x:c r="I70" s="115" t="str">
        <x:v>Compute</x:v>
      </x:c>
      <x:c r="J70" s="115" t="str">
        <x:v>https://azure.microsoft.com/en-us/products/category</x:v>
      </x:c>
    </x:row>
    <x:row r="71">
      <x:c r="A71" s="116" t="str">
        <x:v>2. Foundation, Infrastructure &amp; Security</x:v>
      </x:c>
      <x:c r="B71" s="117" t="str">
        <x:v>06. Compute, Virtualisation, HPC &amp; Accelerators</x:v>
      </x:c>
      <x:c r="C71" s="115" t="str">
        <x:v>Provide infrastructure-level processing capacity where operating-system or hardware control is required.</x:v>
      </x:c>
      <x:c r="D71" s="115" t="str">
        <x:v>VMware and virtualisation platforms</x:v>
      </x:c>
      <x:c r="E71" s="115" t="str">
        <x:v>What outcome and non-functional requirements justify vmware and virtualisation platforms, and what is the simplest managed implementation?</x:v>
      </x:c>
      <x:c r="F71" s="115" t="str">
        <x:v>Adopt &amp; Build</x:v>
      </x:c>
      <x:c r="G71" s="115" t="str">
        <x:v>Compute</x:v>
      </x:c>
      <x:c r="H71" s="115" t="str">
        <x:v>Compute</x:v>
      </x:c>
      <x:c r="I71" s="115" t="str">
        <x:v>Compute</x:v>
      </x:c>
      <x:c r="J71" s="115" t="str">
        <x:v>https://azure.microsoft.com/en-us/products/category</x:v>
      </x:c>
    </x:row>
    <x:row r="72">
      <x:c r="A72" s="116" t="str">
        <x:v>2. Foundation, Infrastructure &amp; Security</x:v>
      </x:c>
      <x:c r="B72" s="117" t="str">
        <x:v>06. Compute, Virtualisation, HPC &amp; Accelerators</x:v>
      </x:c>
      <x:c r="C72" s="115" t="str">
        <x:v>Provide infrastructure-level processing capacity where operating-system or hardware control is required.</x:v>
      </x:c>
      <x:c r="D72" s="115" t="str">
        <x:v>SAP, Oracle and enterprise workload compute</x:v>
      </x:c>
      <x:c r="E72" s="115" t="str">
        <x:v>What outcome and non-functional requirements justify sap, oracle and enterprise workload compute, and what is the simplest managed implementation?</x:v>
      </x:c>
      <x:c r="F72" s="115" t="str">
        <x:v>Adopt &amp; Build</x:v>
      </x:c>
      <x:c r="G72" s="115" t="str">
        <x:v>Compute</x:v>
      </x:c>
      <x:c r="H72" s="115" t="str">
        <x:v>Compute</x:v>
      </x:c>
      <x:c r="I72" s="115" t="str">
        <x:v>Compute</x:v>
      </x:c>
      <x:c r="J72" s="115" t="str">
        <x:v>https://azure.microsoft.com/en-us/products/category</x:v>
      </x:c>
    </x:row>
    <x:row r="73">
      <x:c r="A73" s="116" t="str">
        <x:v>2. Foundation, Infrastructure &amp; Security</x:v>
      </x:c>
      <x:c r="B73" s="117" t="str">
        <x:v>06. Compute, Virtualisation, HPC &amp; Accelerators</x:v>
      </x:c>
      <x:c r="C73" s="115" t="str">
        <x:v>Provide infrastructure-level processing capacity where operating-system or hardware control is required.</x:v>
      </x:c>
      <x:c r="D73" s="115" t="str">
        <x:v>Capacity planning and placement control</x:v>
      </x:c>
      <x:c r="E73" s="115" t="str">
        <x:v>What outcome and non-functional requirements justify capacity planning and placement control, and what is the simplest managed implementation?</x:v>
      </x:c>
      <x:c r="F73" s="115" t="str">
        <x:v>Adopt &amp; Build</x:v>
      </x:c>
      <x:c r="G73" s="115" t="str">
        <x:v>Compute</x:v>
      </x:c>
      <x:c r="H73" s="115" t="str">
        <x:v>Compute</x:v>
      </x:c>
      <x:c r="I73" s="115" t="str">
        <x:v>Compute</x:v>
      </x:c>
      <x:c r="J73" s="115" t="str">
        <x:v>https://azure.microsoft.com/en-us/products/category</x:v>
      </x:c>
    </x:row>
    <x:row r="74">
      <x:c r="A74" s="116" t="str">
        <x:v>2. Foundation, Infrastructure &amp; Security</x:v>
      </x:c>
      <x:c r="B74" s="117" t="str">
        <x:v>07. Containers, Kubernetes, Serverless &amp; Application Runtime</x:v>
      </x:c>
      <x:c r="C74" s="115" t="str">
        <x:v>Run applications on managed execution platforms with the minimum necessary operational burden.</x:v>
      </x:c>
      <x:c r="D74" s="115" t="str">
        <x:v>Managed Kubernetes</x:v>
      </x:c>
      <x:c r="E74" s="115" t="str">
        <x:v>What outcome and non-functional requirements justify managed kubernetes, and what is the simplest managed implementation?</x:v>
      </x:c>
      <x:c r="F74" s="115" t="str">
        <x:v>Adopt &amp; Build</x:v>
      </x:c>
      <x:c r="G74" s="115" t="str">
        <x:v>Containers / Compute / Front-end web and mobile</x:v>
      </x:c>
      <x:c r="H74" s="115" t="str">
        <x:v>Containers / Web / Compute</x:v>
      </x:c>
      <x:c r="I74" s="115" t="str">
        <x:v>Application hosting / Compute</x:v>
      </x:c>
      <x:c r="J74" s="115" t="str">
        <x:v>https://docs.cloud.google.com/docs/product-list</x:v>
      </x:c>
    </x:row>
    <x:row r="75">
      <x:c r="A75" s="116" t="str">
        <x:v>2. Foundation, Infrastructure &amp; Security</x:v>
      </x:c>
      <x:c r="B75" s="117" t="str">
        <x:v>07. Containers, Kubernetes, Serverless &amp; Application Runtime</x:v>
      </x:c>
      <x:c r="C75" s="115" t="str">
        <x:v>Run applications on managed execution platforms with the minimum necessary operational burden.</x:v>
      </x:c>
      <x:c r="D75" s="115" t="str">
        <x:v>Serverless container platforms</x:v>
      </x:c>
      <x:c r="E75" s="115" t="str">
        <x:v>What outcome and non-functional requirements justify serverless container platforms, and what is the simplest managed implementation?</x:v>
      </x:c>
      <x:c r="F75" s="115" t="str">
        <x:v>Adopt &amp; Build</x:v>
      </x:c>
      <x:c r="G75" s="115" t="str">
        <x:v>Containers / Compute / Front-end web and mobile</x:v>
      </x:c>
      <x:c r="H75" s="115" t="str">
        <x:v>Containers / Web / Compute</x:v>
      </x:c>
      <x:c r="I75" s="115" t="str">
        <x:v>Application hosting / Compute</x:v>
      </x:c>
      <x:c r="J75" s="115" t="str">
        <x:v>https://docs.cloud.google.com/docs/product-list</x:v>
      </x:c>
    </x:row>
    <x:row r="76">
      <x:c r="A76" s="116" t="str">
        <x:v>2. Foundation, Infrastructure &amp; Security</x:v>
      </x:c>
      <x:c r="B76" s="117" t="str">
        <x:v>07. Containers, Kubernetes, Serverless &amp; Application Runtime</x:v>
      </x:c>
      <x:c r="C76" s="115" t="str">
        <x:v>Run applications on managed execution platforms with the minimum necessary operational burden.</x:v>
      </x:c>
      <x:c r="D76" s="115" t="str">
        <x:v>Container instances and managed container schedulers</x:v>
      </x:c>
      <x:c r="E76" s="115" t="str">
        <x:v>What outcome and non-functional requirements justify container instances and managed container schedulers, and what is the simplest managed implementation?</x:v>
      </x:c>
      <x:c r="F76" s="115" t="str">
        <x:v>Adopt &amp; Build</x:v>
      </x:c>
      <x:c r="G76" s="115" t="str">
        <x:v>Containers / Compute / Front-end web and mobile</x:v>
      </x:c>
      <x:c r="H76" s="115" t="str">
        <x:v>Containers / Web / Compute</x:v>
      </x:c>
      <x:c r="I76" s="115" t="str">
        <x:v>Application hosting / Compute</x:v>
      </x:c>
      <x:c r="J76" s="115" t="str">
        <x:v>https://docs.cloud.google.com/docs/product-list</x:v>
      </x:c>
    </x:row>
    <x:row r="77">
      <x:c r="A77" s="116" t="str">
        <x:v>2. Foundation, Infrastructure &amp; Security</x:v>
      </x:c>
      <x:c r="B77" s="117" t="str">
        <x:v>07. Containers, Kubernetes, Serverless &amp; Application Runtime</x:v>
      </x:c>
      <x:c r="C77" s="115" t="str">
        <x:v>Run applications on managed execution platforms with the minimum necessary operational burden.</x:v>
      </x:c>
      <x:c r="D77" s="115" t="str">
        <x:v>Functions as a service</x:v>
      </x:c>
      <x:c r="E77" s="115" t="str">
        <x:v>What outcome and non-functional requirements justify functions as a service, and what is the simplest managed implementation?</x:v>
      </x:c>
      <x:c r="F77" s="115" t="str">
        <x:v>Adopt &amp; Build</x:v>
      </x:c>
      <x:c r="G77" s="115" t="str">
        <x:v>Containers / Compute / Front-end web and mobile</x:v>
      </x:c>
      <x:c r="H77" s="115" t="str">
        <x:v>Containers / Web / Compute</x:v>
      </x:c>
      <x:c r="I77" s="115" t="str">
        <x:v>Application hosting / Compute</x:v>
      </x:c>
      <x:c r="J77" s="115" t="str">
        <x:v>https://docs.cloud.google.com/docs/product-list</x:v>
      </x:c>
    </x:row>
    <x:row r="78">
      <x:c r="A78" s="116" t="str">
        <x:v>2. Foundation, Infrastructure &amp; Security</x:v>
      </x:c>
      <x:c r="B78" s="117" t="str">
        <x:v>07. Containers, Kubernetes, Serverless &amp; Application Runtime</x:v>
      </x:c>
      <x:c r="C78" s="115" t="str">
        <x:v>Run applications on managed execution platforms with the minimum necessary operational burden.</x:v>
      </x:c>
      <x:c r="D78" s="115" t="str">
        <x:v>Managed application PaaS</x:v>
      </x:c>
      <x:c r="E78" s="115" t="str">
        <x:v>What outcome and non-functional requirements justify managed application paas, and what is the simplest managed implementation?</x:v>
      </x:c>
      <x:c r="F78" s="115" t="str">
        <x:v>Adopt &amp; Build</x:v>
      </x:c>
      <x:c r="G78" s="115" t="str">
        <x:v>Containers / Compute / Front-end web and mobile</x:v>
      </x:c>
      <x:c r="H78" s="115" t="str">
        <x:v>Containers / Web / Compute</x:v>
      </x:c>
      <x:c r="I78" s="115" t="str">
        <x:v>Application hosting / Compute</x:v>
      </x:c>
      <x:c r="J78" s="115" t="str">
        <x:v>https://docs.cloud.google.com/docs/product-list</x:v>
      </x:c>
    </x:row>
    <x:row r="79">
      <x:c r="A79" s="116" t="str">
        <x:v>2. Foundation, Infrastructure &amp; Security</x:v>
      </x:c>
      <x:c r="B79" s="117" t="str">
        <x:v>07. Containers, Kubernetes, Serverless &amp; Application Runtime</x:v>
      </x:c>
      <x:c r="C79" s="115" t="str">
        <x:v>Run applications on managed execution platforms with the minimum necessary operational burden.</x:v>
      </x:c>
      <x:c r="D79" s="115" t="str">
        <x:v>Web application and API hosting</x:v>
      </x:c>
      <x:c r="E79" s="115" t="str">
        <x:v>What outcome and non-functional requirements justify web application and api hosting, and what is the simplest managed implementation?</x:v>
      </x:c>
      <x:c r="F79" s="115" t="str">
        <x:v>Adopt &amp; Build</x:v>
      </x:c>
      <x:c r="G79" s="115" t="str">
        <x:v>Containers / Compute / Front-end web and mobile</x:v>
      </x:c>
      <x:c r="H79" s="115" t="str">
        <x:v>Containers / Web / Compute</x:v>
      </x:c>
      <x:c r="I79" s="115" t="str">
        <x:v>Application hosting / Compute</x:v>
      </x:c>
      <x:c r="J79" s="115" t="str">
        <x:v>https://docs.cloud.google.com/docs/product-list</x:v>
      </x:c>
    </x:row>
    <x:row r="80">
      <x:c r="A80" s="116" t="str">
        <x:v>2. Foundation, Infrastructure &amp; Security</x:v>
      </x:c>
      <x:c r="B80" s="117" t="str">
        <x:v>07. Containers, Kubernetes, Serverless &amp; Application Runtime</x:v>
      </x:c>
      <x:c r="C80" s="115" t="str">
        <x:v>Run applications on managed execution platforms with the minimum necessary operational burden.</x:v>
      </x:c>
      <x:c r="D80" s="115" t="str">
        <x:v>Static web and edge application hosting</x:v>
      </x:c>
      <x:c r="E80" s="115" t="str">
        <x:v>What outcome and non-functional requirements justify static web and edge application hosting, and what is the simplest managed implementation?</x:v>
      </x:c>
      <x:c r="F80" s="115" t="str">
        <x:v>Adopt &amp; Build</x:v>
      </x:c>
      <x:c r="G80" s="115" t="str">
        <x:v>Containers / Compute / Front-end web and mobile</x:v>
      </x:c>
      <x:c r="H80" s="115" t="str">
        <x:v>Containers / Web / Compute</x:v>
      </x:c>
      <x:c r="I80" s="115" t="str">
        <x:v>Application hosting / Compute</x:v>
      </x:c>
      <x:c r="J80" s="115" t="str">
        <x:v>https://docs.cloud.google.com/docs/product-list</x:v>
      </x:c>
    </x:row>
    <x:row r="81">
      <x:c r="A81" s="116" t="str">
        <x:v>2. Foundation, Infrastructure &amp; Security</x:v>
      </x:c>
      <x:c r="B81" s="117" t="str">
        <x:v>07. Containers, Kubernetes, Serverless &amp; Application Runtime</x:v>
      </x:c>
      <x:c r="C81" s="115" t="str">
        <x:v>Run applications on managed execution platforms with the minimum necessary operational burden.</x:v>
      </x:c>
      <x:c r="D81" s="115" t="str">
        <x:v>Container and artifact registries</x:v>
      </x:c>
      <x:c r="E81" s="115" t="str">
        <x:v>What outcome and non-functional requirements justify container and artifact registries, and what is the simplest managed implementation?</x:v>
      </x:c>
      <x:c r="F81" s="115" t="str">
        <x:v>Adopt &amp; Build</x:v>
      </x:c>
      <x:c r="G81" s="115" t="str">
        <x:v>Containers / Compute / Front-end web and mobile</x:v>
      </x:c>
      <x:c r="H81" s="115" t="str">
        <x:v>Containers / Web / Compute</x:v>
      </x:c>
      <x:c r="I81" s="115" t="str">
        <x:v>Application hosting / Compute</x:v>
      </x:c>
      <x:c r="J81" s="115" t="str">
        <x:v>https://docs.cloud.google.com/docs/product-list</x:v>
      </x:c>
    </x:row>
    <x:row r="82">
      <x:c r="A82" s="116" t="str">
        <x:v>2. Foundation, Infrastructure &amp; Security</x:v>
      </x:c>
      <x:c r="B82" s="117" t="str">
        <x:v>07. Containers, Kubernetes, Serverless &amp; Application Runtime</x:v>
      </x:c>
      <x:c r="C82" s="115" t="str">
        <x:v>Run applications on managed execution platforms with the minimum necessary operational burden.</x:v>
      </x:c>
      <x:c r="D82" s="115" t="str">
        <x:v>Container security and image scanning</x:v>
      </x:c>
      <x:c r="E82" s="115" t="str">
        <x:v>What outcome and non-functional requirements justify container security and image scanning, and what is the simplest managed implementation?</x:v>
      </x:c>
      <x:c r="F82" s="115" t="str">
        <x:v>Adopt &amp; Build</x:v>
      </x:c>
      <x:c r="G82" s="115" t="str">
        <x:v>Containers / Compute / Front-end web and mobile</x:v>
      </x:c>
      <x:c r="H82" s="115" t="str">
        <x:v>Containers / Web / Compute</x:v>
      </x:c>
      <x:c r="I82" s="115" t="str">
        <x:v>Application hosting / Compute</x:v>
      </x:c>
      <x:c r="J82" s="115" t="str">
        <x:v>https://docs.cloud.google.com/docs/product-list</x:v>
      </x:c>
    </x:row>
    <x:row r="83">
      <x:c r="A83" s="116" t="str">
        <x:v>2. Foundation, Infrastructure &amp; Security</x:v>
      </x:c>
      <x:c r="B83" s="117" t="str">
        <x:v>07. Containers, Kubernetes, Serverless &amp; Application Runtime</x:v>
      </x:c>
      <x:c r="C83" s="115" t="str">
        <x:v>Run applications on managed execution platforms with the minimum necessary operational burden.</x:v>
      </x:c>
      <x:c r="D83" s="115" t="str">
        <x:v>Application runtime configuration and feature management</x:v>
      </x:c>
      <x:c r="E83" s="115" t="str">
        <x:v>What outcome and non-functional requirements justify application runtime configuration and feature management, and what is the simplest managed implementation?</x:v>
      </x:c>
      <x:c r="F83" s="115" t="str">
        <x:v>Adopt &amp; Build</x:v>
      </x:c>
      <x:c r="G83" s="115" t="str">
        <x:v>Containers / Compute / Front-end web and mobile</x:v>
      </x:c>
      <x:c r="H83" s="115" t="str">
        <x:v>Containers / Web / Compute</x:v>
      </x:c>
      <x:c r="I83" s="115" t="str">
        <x:v>Application hosting / Compute</x:v>
      </x:c>
      <x:c r="J83" s="115" t="str">
        <x:v>https://docs.cloud.google.com/docs/product-list</x:v>
      </x:c>
    </x:row>
    <x:row r="84">
      <x:c r="A84" s="116" t="str">
        <x:v>2. Foundation, Infrastructure &amp; Security</x:v>
      </x:c>
      <x:c r="B84" s="117" t="str">
        <x:v>07. Containers, Kubernetes, Serverless &amp; Application Runtime</x:v>
      </x:c>
      <x:c r="C84" s="115" t="str">
        <x:v>Run applications on managed execution platforms with the minimum necessary operational burden.</x:v>
      </x:c>
      <x:c r="D84" s="115" t="str">
        <x:v>Application containerisation and runtime modernisation</x:v>
      </x:c>
      <x:c r="E84" s="115" t="str">
        <x:v>What outcome and non-functional requirements justify application containerisation and runtime modernisation, and what is the simplest managed implementation?</x:v>
      </x:c>
      <x:c r="F84" s="115" t="str">
        <x:v>Adopt &amp; Build</x:v>
      </x:c>
      <x:c r="G84" s="115" t="str">
        <x:v>Containers / Compute / Front-end web and mobile</x:v>
      </x:c>
      <x:c r="H84" s="115" t="str">
        <x:v>Containers / Web / Compute</x:v>
      </x:c>
      <x:c r="I84" s="115" t="str">
        <x:v>Application hosting / Compute</x:v>
      </x:c>
      <x:c r="J84" s="115" t="str">
        <x:v>https://docs.cloud.google.com/docs/product-list</x:v>
      </x:c>
    </x:row>
    <x:row r="85">
      <x:c r="A85" s="116" t="str">
        <x:v>2. Foundation, Infrastructure &amp; Security</x:v>
      </x:c>
      <x:c r="B85" s="117" t="str">
        <x:v>07. Containers, Kubernetes, Serverless &amp; Application Runtime</x:v>
      </x:c>
      <x:c r="C85" s="115" t="str">
        <x:v>Run applications on managed execution platforms with the minimum necessary operational burden.</x:v>
      </x:c>
      <x:c r="D85" s="115" t="str">
        <x:v>OpenShift and enterprise Kubernetes distributions</x:v>
      </x:c>
      <x:c r="E85" s="115" t="str">
        <x:v>What outcome and non-functional requirements justify openshift and enterprise kubernetes distributions, and what is the simplest managed implementation?</x:v>
      </x:c>
      <x:c r="F85" s="115" t="str">
        <x:v>Adopt &amp; Build</x:v>
      </x:c>
      <x:c r="G85" s="115" t="str">
        <x:v>Containers / Compute / Front-end web and mobile</x:v>
      </x:c>
      <x:c r="H85" s="115" t="str">
        <x:v>Containers / Web / Compute</x:v>
      </x:c>
      <x:c r="I85" s="115" t="str">
        <x:v>Application hosting / Compute</x:v>
      </x:c>
      <x:c r="J85" s="115" t="str">
        <x:v>https://docs.cloud.google.com/docs/product-list</x:v>
      </x:c>
    </x:row>
    <x:row r="86">
      <x:c r="A86" s="116" t="str">
        <x:v>2. Foundation, Infrastructure &amp; Security</x:v>
      </x:c>
      <x:c r="B86" s="117" t="str">
        <x:v>08. Storage, Backup, Archive, DR &amp; Data Transfer</x:v>
      </x:c>
      <x:c r="C86" s="115" t="str">
        <x:v>Persist and protect data with the required durability, performance, lifecycle and recovery characteristics.</x:v>
      </x:c>
      <x:c r="D86" s="115" t="str">
        <x:v>Object storage and data-lake storage</x:v>
      </x:c>
      <x:c r="E86" s="115" t="str">
        <x:v>What outcome and non-functional requirements justify object storage and data-lake storage, and what is the simplest managed implementation?</x:v>
      </x:c>
      <x:c r="F86" s="115" t="str">
        <x:v>Adopt &amp; Build</x:v>
      </x:c>
      <x:c r="G86" s="115" t="str">
        <x:v>Storage / Migration and transfer</x:v>
      </x:c>
      <x:c r="H86" s="115" t="str">
        <x:v>Storage / Migration</x:v>
      </x:c>
      <x:c r="I86" s="115" t="str">
        <x:v>Storage / Migration</x:v>
      </x:c>
      <x:c r="J86" s="115" t="str">
        <x:v>https://docs.cloud.google.com/docs/product-list</x:v>
      </x:c>
    </x:row>
    <x:row r="87">
      <x:c r="A87" s="116" t="str">
        <x:v>2. Foundation, Infrastructure &amp; Security</x:v>
      </x:c>
      <x:c r="B87" s="117" t="str">
        <x:v>08. Storage, Backup, Archive, DR &amp; Data Transfer</x:v>
      </x:c>
      <x:c r="C87" s="115" t="str">
        <x:v>Persist and protect data with the required durability, performance, lifecycle and recovery characteristics.</x:v>
      </x:c>
      <x:c r="D87" s="115" t="str">
        <x:v>Archive and cold storage</x:v>
      </x:c>
      <x:c r="E87" s="115" t="str">
        <x:v>What outcome and non-functional requirements justify archive and cold storage, and what is the simplest managed implementation?</x:v>
      </x:c>
      <x:c r="F87" s="115" t="str">
        <x:v>Adopt &amp; Build</x:v>
      </x:c>
      <x:c r="G87" s="115" t="str">
        <x:v>Storage / Migration and transfer</x:v>
      </x:c>
      <x:c r="H87" s="115" t="str">
        <x:v>Storage / Migration</x:v>
      </x:c>
      <x:c r="I87" s="115" t="str">
        <x:v>Storage / Migration</x:v>
      </x:c>
      <x:c r="J87" s="115" t="str">
        <x:v>https://docs.cloud.google.com/docs/product-list</x:v>
      </x:c>
    </x:row>
    <x:row r="88">
      <x:c r="A88" s="116" t="str">
        <x:v>2. Foundation, Infrastructure &amp; Security</x:v>
      </x:c>
      <x:c r="B88" s="117" t="str">
        <x:v>08. Storage, Backup, Archive, DR &amp; Data Transfer</x:v>
      </x:c>
      <x:c r="C88" s="115" t="str">
        <x:v>Persist and protect data with the required durability, performance, lifecycle and recovery characteristics.</x:v>
      </x:c>
      <x:c r="D88" s="115" t="str">
        <x:v>Block, local and SAN storage</x:v>
      </x:c>
      <x:c r="E88" s="115" t="str">
        <x:v>What outcome and non-functional requirements justify block, local and san storage, and what is the simplest managed implementation?</x:v>
      </x:c>
      <x:c r="F88" s="115" t="str">
        <x:v>Adopt &amp; Build</x:v>
      </x:c>
      <x:c r="G88" s="115" t="str">
        <x:v>Storage / Migration and transfer</x:v>
      </x:c>
      <x:c r="H88" s="115" t="str">
        <x:v>Storage / Migration</x:v>
      </x:c>
      <x:c r="I88" s="115" t="str">
        <x:v>Storage / Migration</x:v>
      </x:c>
      <x:c r="J88" s="115" t="str">
        <x:v>https://docs.cloud.google.com/docs/product-list</x:v>
      </x:c>
    </x:row>
    <x:row r="89">
      <x:c r="A89" s="116" t="str">
        <x:v>2. Foundation, Infrastructure &amp; Security</x:v>
      </x:c>
      <x:c r="B89" s="117" t="str">
        <x:v>08. Storage, Backup, Archive, DR &amp; Data Transfer</x:v>
      </x:c>
      <x:c r="C89" s="115" t="str">
        <x:v>Persist and protect data with the required durability, performance, lifecycle and recovery characteristics.</x:v>
      </x:c>
      <x:c r="D89" s="115" t="str">
        <x:v>Managed file, SMB, NFS and enterprise NAS</x:v>
      </x:c>
      <x:c r="E89" s="115" t="str">
        <x:v>What outcome and non-functional requirements justify managed file, smb, nfs and enterprise nas, and what is the simplest managed implementation?</x:v>
      </x:c>
      <x:c r="F89" s="115" t="str">
        <x:v>Adopt &amp; Build</x:v>
      </x:c>
      <x:c r="G89" s="115" t="str">
        <x:v>Storage / Migration and transfer</x:v>
      </x:c>
      <x:c r="H89" s="115" t="str">
        <x:v>Storage / Migration</x:v>
      </x:c>
      <x:c r="I89" s="115" t="str">
        <x:v>Storage / Migration</x:v>
      </x:c>
      <x:c r="J89" s="115" t="str">
        <x:v>https://docs.cloud.google.com/docs/product-list</x:v>
      </x:c>
    </x:row>
    <x:row r="90">
      <x:c r="A90" s="116" t="str">
        <x:v>2. Foundation, Infrastructure &amp; Security</x:v>
      </x:c>
      <x:c r="B90" s="117" t="str">
        <x:v>08. Storage, Backup, Archive, DR &amp; Data Transfer</x:v>
      </x:c>
      <x:c r="C90" s="115" t="str">
        <x:v>Persist and protect data with the required durability, performance, lifecycle and recovery characteristics.</x:v>
      </x:c>
      <x:c r="D90" s="115" t="str">
        <x:v>High-performance parallel file systems</x:v>
      </x:c>
      <x:c r="E90" s="115" t="str">
        <x:v>What outcome and non-functional requirements justify high-performance parallel file systems, and what is the simplest managed implementation?</x:v>
      </x:c>
      <x:c r="F90" s="115" t="str">
        <x:v>Adopt &amp; Build</x:v>
      </x:c>
      <x:c r="G90" s="115" t="str">
        <x:v>Storage / Migration and transfer</x:v>
      </x:c>
      <x:c r="H90" s="115" t="str">
        <x:v>Storage / Migration</x:v>
      </x:c>
      <x:c r="I90" s="115" t="str">
        <x:v>Storage / Migration</x:v>
      </x:c>
      <x:c r="J90" s="115" t="str">
        <x:v>https://docs.cloud.google.com/docs/product-list</x:v>
      </x:c>
    </x:row>
    <x:row r="91">
      <x:c r="A91" s="116" t="str">
        <x:v>2. Foundation, Infrastructure &amp; Security</x:v>
      </x:c>
      <x:c r="B91" s="117" t="str">
        <x:v>08. Storage, Backup, Archive, DR &amp; Data Transfer</x:v>
      </x:c>
      <x:c r="C91" s="115" t="str">
        <x:v>Persist and protect data with the required durability, performance, lifecycle and recovery characteristics.</x:v>
      </x:c>
      <x:c r="D91" s="115" t="str">
        <x:v>Storage lifecycle, tiering and resource management</x:v>
      </x:c>
      <x:c r="E91" s="115" t="str">
        <x:v>What outcome and non-functional requirements justify storage lifecycle, tiering and resource management, and what is the simplest managed implementation?</x:v>
      </x:c>
      <x:c r="F91" s="115" t="str">
        <x:v>Adopt &amp; Build</x:v>
      </x:c>
      <x:c r="G91" s="115" t="str">
        <x:v>Storage / Migration and transfer</x:v>
      </x:c>
      <x:c r="H91" s="115" t="str">
        <x:v>Storage / Migration</x:v>
      </x:c>
      <x:c r="I91" s="115" t="str">
        <x:v>Storage / Migration</x:v>
      </x:c>
      <x:c r="J91" s="115" t="str">
        <x:v>https://docs.cloud.google.com/docs/product-list</x:v>
      </x:c>
    </x:row>
    <x:row r="92">
      <x:c r="A92" s="116" t="str">
        <x:v>2. Foundation, Infrastructure &amp; Security</x:v>
      </x:c>
      <x:c r="B92" s="117" t="str">
        <x:v>08. Storage, Backup, Archive, DR &amp; Data Transfer</x:v>
      </x:c>
      <x:c r="C92" s="115" t="str">
        <x:v>Persist and protect data with the required durability, performance, lifecycle and recovery characteristics.</x:v>
      </x:c>
      <x:c r="D92" s="115" t="str">
        <x:v>Central backup and policy management</x:v>
      </x:c>
      <x:c r="E92" s="115" t="str">
        <x:v>What outcome and non-functional requirements justify central backup and policy management, and what is the simplest managed implementation?</x:v>
      </x:c>
      <x:c r="F92" s="115" t="str">
        <x:v>Adopt &amp; Build</x:v>
      </x:c>
      <x:c r="G92" s="115" t="str">
        <x:v>Storage / Migration and transfer</x:v>
      </x:c>
      <x:c r="H92" s="115" t="str">
        <x:v>Storage / Migration</x:v>
      </x:c>
      <x:c r="I92" s="115" t="str">
        <x:v>Storage / Migration</x:v>
      </x:c>
      <x:c r="J92" s="115" t="str">
        <x:v>https://docs.cloud.google.com/docs/product-list</x:v>
      </x:c>
    </x:row>
    <x:row r="93">
      <x:c r="A93" s="116" t="str">
        <x:v>2. Foundation, Infrastructure &amp; Security</x:v>
      </x:c>
      <x:c r="B93" s="117" t="str">
        <x:v>08. Storage, Backup, Archive, DR &amp; Data Transfer</x:v>
      </x:c>
      <x:c r="C93" s="115" t="str">
        <x:v>Persist and protect data with the required durability, performance, lifecycle and recovery characteristics.</x:v>
      </x:c>
      <x:c r="D93" s="115" t="str">
        <x:v>Disaster recovery and workload replication</x:v>
      </x:c>
      <x:c r="E93" s="115" t="str">
        <x:v>What outcome and non-functional requirements justify disaster recovery and workload replication, and what is the simplest managed implementation?</x:v>
      </x:c>
      <x:c r="F93" s="115" t="str">
        <x:v>Adopt &amp; Build</x:v>
      </x:c>
      <x:c r="G93" s="115" t="str">
        <x:v>Storage / Migration and transfer</x:v>
      </x:c>
      <x:c r="H93" s="115" t="str">
        <x:v>Storage / Migration</x:v>
      </x:c>
      <x:c r="I93" s="115" t="str">
        <x:v>Storage / Migration</x:v>
      </x:c>
      <x:c r="J93" s="115" t="str">
        <x:v>https://docs.cloud.google.com/docs/product-list</x:v>
      </x:c>
    </x:row>
    <x:row r="94">
      <x:c r="A94" s="116" t="str">
        <x:v>2. Foundation, Infrastructure &amp; Security</x:v>
      </x:c>
      <x:c r="B94" s="117" t="str">
        <x:v>08. Storage, Backup, Archive, DR &amp; Data Transfer</x:v>
      </x:c>
      <x:c r="C94" s="115" t="str">
        <x:v>Persist and protect data with the required durability, performance, lifecycle and recovery characteristics.</x:v>
      </x:c>
      <x:c r="D94" s="115" t="str">
        <x:v>Hybrid storage gateways and caching</x:v>
      </x:c>
      <x:c r="E94" s="115" t="str">
        <x:v>What outcome and non-functional requirements justify hybrid storage gateways and caching, and what is the simplest managed implementation?</x:v>
      </x:c>
      <x:c r="F94" s="115" t="str">
        <x:v>Adopt &amp; Build</x:v>
      </x:c>
      <x:c r="G94" s="115" t="str">
        <x:v>Storage / Migration and transfer</x:v>
      </x:c>
      <x:c r="H94" s="115" t="str">
        <x:v>Storage / Migration</x:v>
      </x:c>
      <x:c r="I94" s="115" t="str">
        <x:v>Storage / Migration</x:v>
      </x:c>
      <x:c r="J94" s="115" t="str">
        <x:v>https://docs.cloud.google.com/docs/product-list</x:v>
      </x:c>
    </x:row>
    <x:row r="95">
      <x:c r="A95" s="116" t="str">
        <x:v>2. Foundation, Infrastructure &amp; Security</x:v>
      </x:c>
      <x:c r="B95" s="117" t="str">
        <x:v>08. Storage, Backup, Archive, DR &amp; Data Transfer</x:v>
      </x:c>
      <x:c r="C95" s="115" t="str">
        <x:v>Persist and protect data with the required durability, performance, lifecycle and recovery characteristics.</x:v>
      </x:c>
      <x:c r="D95" s="115" t="str">
        <x:v>Online data transfer and synchronisation</x:v>
      </x:c>
      <x:c r="E95" s="115" t="str">
        <x:v>What outcome and non-functional requirements justify online data transfer and synchronisation, and what is the simplest managed implementation?</x:v>
      </x:c>
      <x:c r="F95" s="115" t="str">
        <x:v>Adopt &amp; Build</x:v>
      </x:c>
      <x:c r="G95" s="115" t="str">
        <x:v>Storage / Migration and transfer</x:v>
      </x:c>
      <x:c r="H95" s="115" t="str">
        <x:v>Storage / Migration</x:v>
      </x:c>
      <x:c r="I95" s="115" t="str">
        <x:v>Storage / Migration</x:v>
      </x:c>
      <x:c r="J95" s="115" t="str">
        <x:v>https://docs.cloud.google.com/docs/product-list</x:v>
      </x:c>
    </x:row>
    <x:row r="96">
      <x:c r="A96" s="116" t="str">
        <x:v>2. Foundation, Infrastructure &amp; Security</x:v>
      </x:c>
      <x:c r="B96" s="117" t="str">
        <x:v>08. Storage, Backup, Archive, DR &amp; Data Transfer</x:v>
      </x:c>
      <x:c r="C96" s="115" t="str">
        <x:v>Persist and protect data with the required durability, performance, lifecycle and recovery characteristics.</x:v>
      </x:c>
      <x:c r="D96" s="115" t="str">
        <x:v>Managed file transfer and SFTP</x:v>
      </x:c>
      <x:c r="E96" s="115" t="str">
        <x:v>What outcome and non-functional requirements justify managed file transfer and sftp, and what is the simplest managed implementation?</x:v>
      </x:c>
      <x:c r="F96" s="115" t="str">
        <x:v>Adopt &amp; Build</x:v>
      </x:c>
      <x:c r="G96" s="115" t="str">
        <x:v>Storage / Migration and transfer</x:v>
      </x:c>
      <x:c r="H96" s="115" t="str">
        <x:v>Storage / Migration</x:v>
      </x:c>
      <x:c r="I96" s="115" t="str">
        <x:v>Storage / Migration</x:v>
      </x:c>
      <x:c r="J96" s="115" t="str">
        <x:v>https://docs.cloud.google.com/docs/product-list</x:v>
      </x:c>
    </x:row>
    <x:row r="97">
      <x:c r="A97" s="116" t="str">
        <x:v>2. Foundation, Infrastructure &amp; Security</x:v>
      </x:c>
      <x:c r="B97" s="117" t="str">
        <x:v>08. Storage, Backup, Archive, DR &amp; Data Transfer</x:v>
      </x:c>
      <x:c r="C97" s="115" t="str">
        <x:v>Persist and protect data with the required durability, performance, lifecycle and recovery characteristics.</x:v>
      </x:c>
      <x:c r="D97" s="115" t="str">
        <x:v>Offline transfer appliances</x:v>
      </x:c>
      <x:c r="E97" s="115" t="str">
        <x:v>What outcome and non-functional requirements justify offline transfer appliances, and what is the simplest managed implementation?</x:v>
      </x:c>
      <x:c r="F97" s="115" t="str">
        <x:v>Adopt &amp; Build</x:v>
      </x:c>
      <x:c r="G97" s="115" t="str">
        <x:v>Storage / Migration and transfer</x:v>
      </x:c>
      <x:c r="H97" s="115" t="str">
        <x:v>Storage / Migration</x:v>
      </x:c>
      <x:c r="I97" s="115" t="str">
        <x:v>Storage / Migration</x:v>
      </x:c>
      <x:c r="J97" s="115" t="str">
        <x:v>https://docs.cloud.google.com/docs/product-list</x:v>
      </x:c>
    </x:row>
    <x:row r="98">
      <x:c r="A98" s="116" t="str">
        <x:v>2. Foundation, Infrastructure &amp; Security</x:v>
      </x:c>
      <x:c r="B98" s="117" t="str">
        <x:v>08. Storage, Backup, Archive, DR &amp; Data Transfer</x:v>
      </x:c>
      <x:c r="C98" s="115" t="str">
        <x:v>Persist and protect data with the required durability, performance, lifecycle and recovery characteristics.</x:v>
      </x:c>
      <x:c r="D98" s="115" t="str">
        <x:v>Ransomware protection and immutable backup</x:v>
      </x:c>
      <x:c r="E98" s="115" t="str">
        <x:v>What outcome and non-functional requirements justify ransomware protection and immutable backup, and what is the simplest managed implementation?</x:v>
      </x:c>
      <x:c r="F98" s="115" t="str">
        <x:v>Adopt &amp; Build</x:v>
      </x:c>
      <x:c r="G98" s="115" t="str">
        <x:v>Storage / Migration and transfer</x:v>
      </x:c>
      <x:c r="H98" s="115" t="str">
        <x:v>Storage / Migration</x:v>
      </x:c>
      <x:c r="I98" s="115" t="str">
        <x:v>Storage / Migration</x:v>
      </x:c>
      <x:c r="J98" s="115" t="str">
        <x:v>https://docs.cloud.google.com/docs/product-list</x:v>
      </x:c>
    </x:row>
    <x:row r="99">
      <x:c r="A99" s="116" t="str">
        <x:v>2. Foundation, Infrastructure &amp; Security</x:v>
      </x:c>
      <x:c r="B99" s="117" t="str">
        <x:v>09. Databases, Caching, Search &amp; Ledger</x:v>
      </x:c>
      <x:c r="C99" s="115" t="str">
        <x:v>Select operational data stores from access patterns, consistency, latency, engine and scale requirements.</x:v>
      </x:c>
      <x:c r="D99" s="115" t="str">
        <x:v>Managed relational databases</x:v>
      </x:c>
      <x:c r="E99" s="115" t="str">
        <x:v>What outcome and non-functional requirements justify managed relational databases, and what is the simplest managed implementation?</x:v>
      </x:c>
      <x:c r="F99" s="115" t="str">
        <x:v>Adopt &amp; Build</x:v>
      </x:c>
      <x:c r="G99" s="115" t="str">
        <x:v>Databases / Blockchain</x:v>
      </x:c>
      <x:c r="H99" s="115" t="str">
        <x:v>Databases</x:v>
      </x:c>
      <x:c r="I99" s="115" t="str">
        <x:v>Databases / App hosting</x:v>
      </x:c>
      <x:c r="J99" s="115" t="str">
        <x:v>https://docs.aws.amazon.com/whitepapers/latest/aws-overview/database.html</x:v>
      </x:c>
    </x:row>
    <x:row r="100">
      <x:c r="A100" s="116" t="str">
        <x:v>2. Foundation, Infrastructure &amp; Security</x:v>
      </x:c>
      <x:c r="B100" s="117" t="str">
        <x:v>09. Databases, Caching, Search &amp; Ledger</x:v>
      </x:c>
      <x:c r="C100" s="115" t="str">
        <x:v>Select operational data stores from access patterns, consistency, latency, engine and scale requirements.</x:v>
      </x:c>
      <x:c r="D100" s="115" t="str">
        <x:v>Cloud-native and distributed SQL</x:v>
      </x:c>
      <x:c r="E100" s="115" t="str">
        <x:v>What outcome and non-functional requirements justify cloud-native and distributed sql, and what is the simplest managed implementation?</x:v>
      </x:c>
      <x:c r="F100" s="115" t="str">
        <x:v>Adopt &amp; Build</x:v>
      </x:c>
      <x:c r="G100" s="115" t="str">
        <x:v>Databases / Blockchain</x:v>
      </x:c>
      <x:c r="H100" s="115" t="str">
        <x:v>Databases</x:v>
      </x:c>
      <x:c r="I100" s="115" t="str">
        <x:v>Databases / App hosting</x:v>
      </x:c>
      <x:c r="J100" s="115" t="str">
        <x:v>https://docs.aws.amazon.com/whitepapers/latest/aws-overview/database.html</x:v>
      </x:c>
    </x:row>
    <x:row r="101">
      <x:c r="A101" s="116" t="str">
        <x:v>2. Foundation, Infrastructure &amp; Security</x:v>
      </x:c>
      <x:c r="B101" s="117" t="str">
        <x:v>09. Databases, Caching, Search &amp; Ledger</x:v>
      </x:c>
      <x:c r="C101" s="115" t="str">
        <x:v>Select operational data stores from access patterns, consistency, latency, engine and scale requirements.</x:v>
      </x:c>
      <x:c r="D101" s="115" t="str">
        <x:v>PostgreSQL, MySQL, SQL Server, Oracle and Db2</x:v>
      </x:c>
      <x:c r="E101" s="115" t="str">
        <x:v>What outcome and non-functional requirements justify postgresql, mysql, sql server, oracle and db2, and what is the simplest managed implementation?</x:v>
      </x:c>
      <x:c r="F101" s="115" t="str">
        <x:v>Adopt &amp; Build</x:v>
      </x:c>
      <x:c r="G101" s="115" t="str">
        <x:v>Databases / Blockchain</x:v>
      </x:c>
      <x:c r="H101" s="115" t="str">
        <x:v>Databases</x:v>
      </x:c>
      <x:c r="I101" s="115" t="str">
        <x:v>Databases / App hosting</x:v>
      </x:c>
      <x:c r="J101" s="115" t="str">
        <x:v>https://docs.aws.amazon.com/whitepapers/latest/aws-overview/database.html</x:v>
      </x:c>
    </x:row>
    <x:row r="102">
      <x:c r="A102" s="116" t="str">
        <x:v>2. Foundation, Infrastructure &amp; Security</x:v>
      </x:c>
      <x:c r="B102" s="117" t="str">
        <x:v>09. Databases, Caching, Search &amp; Ledger</x:v>
      </x:c>
      <x:c r="C102" s="115" t="str">
        <x:v>Select operational data stores from access patterns, consistency, latency, engine and scale requirements.</x:v>
      </x:c>
      <x:c r="D102" s="115" t="str">
        <x:v>Key-value databases</x:v>
      </x:c>
      <x:c r="E102" s="115" t="str">
        <x:v>What outcome and non-functional requirements justify key-value databases, and what is the simplest managed implementation?</x:v>
      </x:c>
      <x:c r="F102" s="115" t="str">
        <x:v>Adopt &amp; Build</x:v>
      </x:c>
      <x:c r="G102" s="115" t="str">
        <x:v>Databases / Blockchain</x:v>
      </x:c>
      <x:c r="H102" s="115" t="str">
        <x:v>Databases</x:v>
      </x:c>
      <x:c r="I102" s="115" t="str">
        <x:v>Databases / App hosting</x:v>
      </x:c>
      <x:c r="J102" s="115" t="str">
        <x:v>https://docs.aws.amazon.com/whitepapers/latest/aws-overview/database.html</x:v>
      </x:c>
    </x:row>
    <x:row r="103">
      <x:c r="A103" s="116" t="str">
        <x:v>2. Foundation, Infrastructure &amp; Security</x:v>
      </x:c>
      <x:c r="B103" s="117" t="str">
        <x:v>09. Databases, Caching, Search &amp; Ledger</x:v>
      </x:c>
      <x:c r="C103" s="115" t="str">
        <x:v>Select operational data stores from access patterns, consistency, latency, engine and scale requirements.</x:v>
      </x:c>
      <x:c r="D103" s="115" t="str">
        <x:v>Document and MongoDB-compatible databases</x:v>
      </x:c>
      <x:c r="E103" s="115" t="str">
        <x:v>What outcome and non-functional requirements justify document and mongodb-compatible databases, and what is the simplest managed implementation?</x:v>
      </x:c>
      <x:c r="F103" s="115" t="str">
        <x:v>Adopt &amp; Build</x:v>
      </x:c>
      <x:c r="G103" s="115" t="str">
        <x:v>Databases / Blockchain</x:v>
      </x:c>
      <x:c r="H103" s="115" t="str">
        <x:v>Databases</x:v>
      </x:c>
      <x:c r="I103" s="115" t="str">
        <x:v>Databases / App hosting</x:v>
      </x:c>
      <x:c r="J103" s="115" t="str">
        <x:v>https://docs.aws.amazon.com/whitepapers/latest/aws-overview/database.html</x:v>
      </x:c>
    </x:row>
    <x:row r="104">
      <x:c r="A104" s="116" t="str">
        <x:v>2. Foundation, Infrastructure &amp; Security</x:v>
      </x:c>
      <x:c r="B104" s="117" t="str">
        <x:v>09. Databases, Caching, Search &amp; Ledger</x:v>
      </x:c>
      <x:c r="C104" s="115" t="str">
        <x:v>Select operational data stores from access patterns, consistency, latency, engine and scale requirements.</x:v>
      </x:c>
      <x:c r="D104" s="115" t="str">
        <x:v>Wide-column and Cassandra-compatible databases</x:v>
      </x:c>
      <x:c r="E104" s="115" t="str">
        <x:v>What outcome and non-functional requirements justify wide-column and cassandra-compatible databases, and what is the simplest managed implementation?</x:v>
      </x:c>
      <x:c r="F104" s="115" t="str">
        <x:v>Adopt &amp; Build</x:v>
      </x:c>
      <x:c r="G104" s="115" t="str">
        <x:v>Databases / Blockchain</x:v>
      </x:c>
      <x:c r="H104" s="115" t="str">
        <x:v>Databases</x:v>
      </x:c>
      <x:c r="I104" s="115" t="str">
        <x:v>Databases / App hosting</x:v>
      </x:c>
      <x:c r="J104" s="115" t="str">
        <x:v>https://docs.aws.amazon.com/whitepapers/latest/aws-overview/database.html</x:v>
      </x:c>
    </x:row>
    <x:row r="105">
      <x:c r="A105" s="116" t="str">
        <x:v>2. Foundation, Infrastructure &amp; Security</x:v>
      </x:c>
      <x:c r="B105" s="117" t="str">
        <x:v>09. Databases, Caching, Search &amp; Ledger</x:v>
      </x:c>
      <x:c r="C105" s="115" t="str">
        <x:v>Select operational data stores from access patterns, consistency, latency, engine and scale requirements.</x:v>
      </x:c>
      <x:c r="D105" s="115" t="str">
        <x:v>Graph databases and knowledge graphs</x:v>
      </x:c>
      <x:c r="E105" s="115" t="str">
        <x:v>What outcome and non-functional requirements justify graph databases and knowledge graphs, and what is the simplest managed implementation?</x:v>
      </x:c>
      <x:c r="F105" s="115" t="str">
        <x:v>Adopt &amp; Build</x:v>
      </x:c>
      <x:c r="G105" s="115" t="str">
        <x:v>Databases / Blockchain</x:v>
      </x:c>
      <x:c r="H105" s="115" t="str">
        <x:v>Databases</x:v>
      </x:c>
      <x:c r="I105" s="115" t="str">
        <x:v>Databases / App hosting</x:v>
      </x:c>
      <x:c r="J105" s="115" t="str">
        <x:v>https://docs.aws.amazon.com/whitepapers/latest/aws-overview/database.html</x:v>
      </x:c>
    </x:row>
    <x:row r="106">
      <x:c r="A106" s="116" t="str">
        <x:v>2. Foundation, Infrastructure &amp; Security</x:v>
      </x:c>
      <x:c r="B106" s="117" t="str">
        <x:v>09. Databases, Caching, Search &amp; Ledger</x:v>
      </x:c>
      <x:c r="C106" s="115" t="str">
        <x:v>Select operational data stores from access patterns, consistency, latency, engine and scale requirements.</x:v>
      </x:c>
      <x:c r="D106" s="115" t="str">
        <x:v>Time-series databases</x:v>
      </x:c>
      <x:c r="E106" s="115" t="str">
        <x:v>What outcome and non-functional requirements justify time-series databases, and what is the simplest managed implementation?</x:v>
      </x:c>
      <x:c r="F106" s="115" t="str">
        <x:v>Adopt &amp; Build</x:v>
      </x:c>
      <x:c r="G106" s="115" t="str">
        <x:v>Databases / Blockchain</x:v>
      </x:c>
      <x:c r="H106" s="115" t="str">
        <x:v>Databases</x:v>
      </x:c>
      <x:c r="I106" s="115" t="str">
        <x:v>Databases / App hosting</x:v>
      </x:c>
      <x:c r="J106" s="115" t="str">
        <x:v>https://docs.aws.amazon.com/whitepapers/latest/aws-overview/database.html</x:v>
      </x:c>
    </x:row>
    <x:row r="107">
      <x:c r="A107" s="116" t="str">
        <x:v>2. Foundation, Infrastructure &amp; Security</x:v>
      </x:c>
      <x:c r="B107" s="117" t="str">
        <x:v>09. Databases, Caching, Search &amp; Ledger</x:v>
      </x:c>
      <x:c r="C107" s="115" t="str">
        <x:v>Select operational data stores from access patterns, consistency, latency, engine and scale requirements.</x:v>
      </x:c>
      <x:c r="D107" s="115" t="str">
        <x:v>Vector databases and vector search</x:v>
      </x:c>
      <x:c r="E107" s="115" t="str">
        <x:v>What outcome and non-functional requirements justify vector databases and vector search, and what is the simplest managed implementation?</x:v>
      </x:c>
      <x:c r="F107" s="115" t="str">
        <x:v>Adopt &amp; Build</x:v>
      </x:c>
      <x:c r="G107" s="115" t="str">
        <x:v>Databases / Blockchain</x:v>
      </x:c>
      <x:c r="H107" s="115" t="str">
        <x:v>Databases</x:v>
      </x:c>
      <x:c r="I107" s="115" t="str">
        <x:v>Databases / App hosting</x:v>
      </x:c>
      <x:c r="J107" s="115" t="str">
        <x:v>https://docs.aws.amazon.com/whitepapers/latest/aws-overview/database.html</x:v>
      </x:c>
    </x:row>
    <x:row r="108">
      <x:c r="A108" s="116" t="str">
        <x:v>2. Foundation, Infrastructure &amp; Security</x:v>
      </x:c>
      <x:c r="B108" s="117" t="str">
        <x:v>09. Databases, Caching, Search &amp; Ledger</x:v>
      </x:c>
      <x:c r="C108" s="115" t="str">
        <x:v>Select operational data stores from access patterns, consistency, latency, engine and scale requirements.</x:v>
      </x:c>
      <x:c r="D108" s="115" t="str">
        <x:v>Managed search and indexing</x:v>
      </x:c>
      <x:c r="E108" s="115" t="str">
        <x:v>What outcome and non-functional requirements justify managed search and indexing, and what is the simplest managed implementation?</x:v>
      </x:c>
      <x:c r="F108" s="115" t="str">
        <x:v>Adopt &amp; Build</x:v>
      </x:c>
      <x:c r="G108" s="115" t="str">
        <x:v>Databases / Blockchain</x:v>
      </x:c>
      <x:c r="H108" s="115" t="str">
        <x:v>Databases</x:v>
      </x:c>
      <x:c r="I108" s="115" t="str">
        <x:v>Databases / App hosting</x:v>
      </x:c>
      <x:c r="J108" s="115" t="str">
        <x:v>https://docs.aws.amazon.com/whitepapers/latest/aws-overview/database.html</x:v>
      </x:c>
    </x:row>
    <x:row r="109">
      <x:c r="A109" s="116" t="str">
        <x:v>2. Foundation, Infrastructure &amp; Security</x:v>
      </x:c>
      <x:c r="B109" s="117" t="str">
        <x:v>09. Databases, Caching, Search &amp; Ledger</x:v>
      </x:c>
      <x:c r="C109" s="115" t="str">
        <x:v>Select operational data stores from access patterns, consistency, latency, engine and scale requirements.</x:v>
      </x:c>
      <x:c r="D109" s="115" t="str">
        <x:v>In-memory cache, Redis, Valkey and Memcached</x:v>
      </x:c>
      <x:c r="E109" s="115" t="str">
        <x:v>What outcome and non-functional requirements justify in-memory cache, redis, valkey and memcached, and what is the simplest managed implementation?</x:v>
      </x:c>
      <x:c r="F109" s="115" t="str">
        <x:v>Adopt &amp; Build</x:v>
      </x:c>
      <x:c r="G109" s="115" t="str">
        <x:v>Databases / Blockchain</x:v>
      </x:c>
      <x:c r="H109" s="115" t="str">
        <x:v>Databases</x:v>
      </x:c>
      <x:c r="I109" s="115" t="str">
        <x:v>Databases / App hosting</x:v>
      </x:c>
      <x:c r="J109" s="115" t="str">
        <x:v>https://docs.aws.amazon.com/whitepapers/latest/aws-overview/database.html</x:v>
      </x:c>
    </x:row>
    <x:row r="110">
      <x:c r="A110" s="116" t="str">
        <x:v>2. Foundation, Infrastructure &amp; Security</x:v>
      </x:c>
      <x:c r="B110" s="117" t="str">
        <x:v>09. Databases, Caching, Search &amp; Ledger</x:v>
      </x:c>
      <x:c r="C110" s="115" t="str">
        <x:v>Select operational data stores from access patterns, consistency, latency, engine and scale requirements.</x:v>
      </x:c>
      <x:c r="D110" s="115" t="str">
        <x:v>Ledger, immutable data and blockchain data stores</x:v>
      </x:c>
      <x:c r="E110" s="115" t="str">
        <x:v>What outcome and non-functional requirements justify ledger, immutable data and blockchain data stores, and what is the simplest managed implementation?</x:v>
      </x:c>
      <x:c r="F110" s="115" t="str">
        <x:v>Adopt &amp; Build</x:v>
      </x:c>
      <x:c r="G110" s="115" t="str">
        <x:v>Databases / Blockchain</x:v>
      </x:c>
      <x:c r="H110" s="115" t="str">
        <x:v>Databases</x:v>
      </x:c>
      <x:c r="I110" s="115" t="str">
        <x:v>Databases / App hosting</x:v>
      </x:c>
      <x:c r="J110" s="115" t="str">
        <x:v>https://docs.aws.amazon.com/whitepapers/latest/aws-overview/database.html</x:v>
      </x:c>
    </x:row>
    <x:row r="111">
      <x:c r="A111" s="116" t="str">
        <x:v>2. Foundation, Infrastructure &amp; Security</x:v>
      </x:c>
      <x:c r="B111" s="117" t="str">
        <x:v>09. Databases, Caching, Search &amp; Ledger</x:v>
      </x:c>
      <x:c r="C111" s="115" t="str">
        <x:v>Select operational data stores from access patterns, consistency, latency, engine and scale requirements.</x:v>
      </x:c>
      <x:c r="D111" s="115" t="str">
        <x:v>Database migration and schema conversion</x:v>
      </x:c>
      <x:c r="E111" s="115" t="str">
        <x:v>What outcome and non-functional requirements justify database migration and schema conversion, and what is the simplest managed implementation?</x:v>
      </x:c>
      <x:c r="F111" s="115" t="str">
        <x:v>Adopt &amp; Build</x:v>
      </x:c>
      <x:c r="G111" s="115" t="str">
        <x:v>Databases / Blockchain</x:v>
      </x:c>
      <x:c r="H111" s="115" t="str">
        <x:v>Databases</x:v>
      </x:c>
      <x:c r="I111" s="115" t="str">
        <x:v>Databases / App hosting</x:v>
      </x:c>
      <x:c r="J111" s="115" t="str">
        <x:v>https://docs.aws.amazon.com/whitepapers/latest/aws-overview/database.html</x:v>
      </x:c>
    </x:row>
    <x:row r="112">
      <x:c r="A112" s="116" t="str">
        <x:v>2. Foundation, Infrastructure &amp; Security</x:v>
      </x:c>
      <x:c r="B112" s="117" t="str">
        <x:v>09. Databases, Caching, Search &amp; Ledger</x:v>
      </x:c>
      <x:c r="C112" s="115" t="str">
        <x:v>Select operational data stores from access patterns, consistency, latency, engine and scale requirements.</x:v>
      </x:c>
      <x:c r="D112" s="115" t="str">
        <x:v>Database fleet and estate management</x:v>
      </x:c>
      <x:c r="E112" s="115" t="str">
        <x:v>What outcome and non-functional requirements justify database fleet and estate management, and what is the simplest managed implementation?</x:v>
      </x:c>
      <x:c r="F112" s="115" t="str">
        <x:v>Adopt &amp; Build</x:v>
      </x:c>
      <x:c r="G112" s="115" t="str">
        <x:v>Databases / Blockchain</x:v>
      </x:c>
      <x:c r="H112" s="115" t="str">
        <x:v>Databases</x:v>
      </x:c>
      <x:c r="I112" s="115" t="str">
        <x:v>Databases / App hosting</x:v>
      </x:c>
      <x:c r="J112" s="115" t="str">
        <x:v>https://docs.aws.amazon.com/whitepapers/latest/aws-overview/database.html</x:v>
      </x:c>
    </x:row>
    <x:row r="113">
      <x:c r="A113" s="116" t="str">
        <x:v>3. Data &amp; Intelligence</x:v>
      </x:c>
      <x:c r="B113" s="117" t="str">
        <x:v>10. Data Integration, ETL/ELT, Messaging &amp; Streaming</x:v>
      </x:c>
      <x:c r="C113" s="115" t="str">
        <x:v>Move, transform and distribute data and events reliably across systems.</x:v>
      </x:c>
      <x:c r="D113" s="115" t="str">
        <x:v>Batch ETL and data integration</x:v>
      </x:c>
      <x:c r="E113" s="115" t="str">
        <x:v>What outcome and non-functional requirements justify batch etl and data integration, and what is the simplest managed implementation?</x:v>
      </x:c>
      <x:c r="F113" s="115" t="str">
        <x:v>Adopt &amp; Build</x:v>
      </x:c>
      <x:c r="G113" s="115" t="str">
        <x:v>Analytics / Application integration</x:v>
      </x:c>
      <x:c r="H113" s="115" t="str">
        <x:v>Analytics / Integration</x:v>
      </x:c>
      <x:c r="I113" s="115" t="str">
        <x:v>Data analytics and pipelines / App development</x:v>
      </x:c>
      <x:c r="J113" s="115" t="str">
        <x:v>https://docs.cloud.google.com/docs/product-list</x:v>
      </x:c>
    </x:row>
    <x:row r="114">
      <x:c r="A114" s="116" t="str">
        <x:v>3. Data &amp; Intelligence</x:v>
      </x:c>
      <x:c r="B114" s="117" t="str">
        <x:v>10. Data Integration, ETL/ELT, Messaging &amp; Streaming</x:v>
      </x:c>
      <x:c r="C114" s="115" t="str">
        <x:v>Move, transform and distribute data and events reliably across systems.</x:v>
      </x:c>
      <x:c r="D114" s="115" t="str">
        <x:v>ELT and SQL transformation</x:v>
      </x:c>
      <x:c r="E114" s="115" t="str">
        <x:v>What outcome and non-functional requirements justify elt and sql transformation, and what is the simplest managed implementation?</x:v>
      </x:c>
      <x:c r="F114" s="115" t="str">
        <x:v>Adopt &amp; Build</x:v>
      </x:c>
      <x:c r="G114" s="115" t="str">
        <x:v>Analytics / Application integration</x:v>
      </x:c>
      <x:c r="H114" s="115" t="str">
        <x:v>Analytics / Integration</x:v>
      </x:c>
      <x:c r="I114" s="115" t="str">
        <x:v>Data analytics and pipelines / App development</x:v>
      </x:c>
      <x:c r="J114" s="115" t="str">
        <x:v>https://docs.cloud.google.com/docs/product-list</x:v>
      </x:c>
    </x:row>
    <x:row r="115">
      <x:c r="A115" s="116" t="str">
        <x:v>3. Data &amp; Intelligence</x:v>
      </x:c>
      <x:c r="B115" s="117" t="str">
        <x:v>10. Data Integration, ETL/ELT, Messaging &amp; Streaming</x:v>
      </x:c>
      <x:c r="C115" s="115" t="str">
        <x:v>Move, transform and distribute data and events reliably across systems.</x:v>
      </x:c>
      <x:c r="D115" s="115" t="str">
        <x:v>Change data capture and replication</x:v>
      </x:c>
      <x:c r="E115" s="115" t="str">
        <x:v>What outcome and non-functional requirements justify change data capture and replication, and what is the simplest managed implementation?</x:v>
      </x:c>
      <x:c r="F115" s="115" t="str">
        <x:v>Adopt &amp; Build</x:v>
      </x:c>
      <x:c r="G115" s="115" t="str">
        <x:v>Analytics / Application integration</x:v>
      </x:c>
      <x:c r="H115" s="115" t="str">
        <x:v>Analytics / Integration</x:v>
      </x:c>
      <x:c r="I115" s="115" t="str">
        <x:v>Data analytics and pipelines / App development</x:v>
      </x:c>
      <x:c r="J115" s="115" t="str">
        <x:v>https://docs.cloud.google.com/docs/product-list</x:v>
      </x:c>
    </x:row>
    <x:row r="116">
      <x:c r="A116" s="116" t="str">
        <x:v>3. Data &amp; Intelligence</x:v>
      </x:c>
      <x:c r="B116" s="117" t="str">
        <x:v>10. Data Integration, ETL/ELT, Messaging &amp; Streaming</x:v>
      </x:c>
      <x:c r="C116" s="115" t="str">
        <x:v>Move, transform and distribute data and events reliably across systems.</x:v>
      </x:c>
      <x:c r="D116" s="115" t="str">
        <x:v>Distributed Spark and Hadoop processing</x:v>
      </x:c>
      <x:c r="E116" s="115" t="str">
        <x:v>What outcome and non-functional requirements justify distributed spark and hadoop processing, and what is the simplest managed implementation?</x:v>
      </x:c>
      <x:c r="F116" s="115" t="str">
        <x:v>Adopt &amp; Build</x:v>
      </x:c>
      <x:c r="G116" s="115" t="str">
        <x:v>Analytics / Application integration</x:v>
      </x:c>
      <x:c r="H116" s="115" t="str">
        <x:v>Analytics / Integration</x:v>
      </x:c>
      <x:c r="I116" s="115" t="str">
        <x:v>Data analytics and pipelines / App development</x:v>
      </x:c>
      <x:c r="J116" s="115" t="str">
        <x:v>https://docs.cloud.google.com/docs/product-list</x:v>
      </x:c>
    </x:row>
    <x:row r="117">
      <x:c r="A117" s="116" t="str">
        <x:v>3. Data &amp; Intelligence</x:v>
      </x:c>
      <x:c r="B117" s="117" t="str">
        <x:v>10. Data Integration, ETL/ELT, Messaging &amp; Streaming</x:v>
      </x:c>
      <x:c r="C117" s="115" t="str">
        <x:v>Move, transform and distribute data and events reliably across systems.</x:v>
      </x:c>
      <x:c r="D117" s="115" t="str">
        <x:v>Data pipeline orchestration and scheduling</x:v>
      </x:c>
      <x:c r="E117" s="115" t="str">
        <x:v>What outcome and non-functional requirements justify data pipeline orchestration and scheduling, and what is the simplest managed implementation?</x:v>
      </x:c>
      <x:c r="F117" s="115" t="str">
        <x:v>Adopt &amp; Build</x:v>
      </x:c>
      <x:c r="G117" s="115" t="str">
        <x:v>Analytics / Application integration</x:v>
      </x:c>
      <x:c r="H117" s="115" t="str">
        <x:v>Analytics / Integration</x:v>
      </x:c>
      <x:c r="I117" s="115" t="str">
        <x:v>Data analytics and pipelines / App development</x:v>
      </x:c>
      <x:c r="J117" s="115" t="str">
        <x:v>https://docs.cloud.google.com/docs/product-list</x:v>
      </x:c>
    </x:row>
    <x:row r="118">
      <x:c r="A118" s="116" t="str">
        <x:v>3. Data &amp; Intelligence</x:v>
      </x:c>
      <x:c r="B118" s="117" t="str">
        <x:v>10. Data Integration, ETL/ELT, Messaging &amp; Streaming</x:v>
      </x:c>
      <x:c r="C118" s="115" t="str">
        <x:v>Move, transform and distribute data and events reliably across systems.</x:v>
      </x:c>
      <x:c r="D118" s="115" t="str">
        <x:v>Queues and asynchronous tasks</x:v>
      </x:c>
      <x:c r="E118" s="115" t="str">
        <x:v>What outcome and non-functional requirements justify queues and asynchronous tasks, and what is the simplest managed implementation?</x:v>
      </x:c>
      <x:c r="F118" s="115" t="str">
        <x:v>Adopt &amp; Build</x:v>
      </x:c>
      <x:c r="G118" s="115" t="str">
        <x:v>Analytics / Application integration</x:v>
      </x:c>
      <x:c r="H118" s="115" t="str">
        <x:v>Analytics / Integration</x:v>
      </x:c>
      <x:c r="I118" s="115" t="str">
        <x:v>Data analytics and pipelines / App development</x:v>
      </x:c>
      <x:c r="J118" s="115" t="str">
        <x:v>https://docs.cloud.google.com/docs/product-list</x:v>
      </x:c>
    </x:row>
    <x:row r="119">
      <x:c r="A119" s="116" t="str">
        <x:v>3. Data &amp; Intelligence</x:v>
      </x:c>
      <x:c r="B119" s="117" t="str">
        <x:v>10. Data Integration, ETL/ELT, Messaging &amp; Streaming</x:v>
      </x:c>
      <x:c r="C119" s="115" t="str">
        <x:v>Move, transform and distribute data and events reliably across systems.</x:v>
      </x:c>
      <x:c r="D119" s="115" t="str">
        <x:v>Publish-subscribe messaging</x:v>
      </x:c>
      <x:c r="E119" s="115" t="str">
        <x:v>What outcome and non-functional requirements justify publish-subscribe messaging, and what is the simplest managed implementation?</x:v>
      </x:c>
      <x:c r="F119" s="115" t="str">
        <x:v>Adopt &amp; Build</x:v>
      </x:c>
      <x:c r="G119" s="115" t="str">
        <x:v>Analytics / Application integration</x:v>
      </x:c>
      <x:c r="H119" s="115" t="str">
        <x:v>Analytics / Integration</x:v>
      </x:c>
      <x:c r="I119" s="115" t="str">
        <x:v>Data analytics and pipelines / App development</x:v>
      </x:c>
      <x:c r="J119" s="115" t="str">
        <x:v>https://docs.cloud.google.com/docs/product-list</x:v>
      </x:c>
    </x:row>
    <x:row r="120">
      <x:c r="A120" s="116" t="str">
        <x:v>3. Data &amp; Intelligence</x:v>
      </x:c>
      <x:c r="B120" s="117" t="str">
        <x:v>10. Data Integration, ETL/ELT, Messaging &amp; Streaming</x:v>
      </x:c>
      <x:c r="C120" s="115" t="str">
        <x:v>Move, transform and distribute data and events reliably across systems.</x:v>
      </x:c>
      <x:c r="D120" s="115" t="str">
        <x:v>Application and cloud event buses</x:v>
      </x:c>
      <x:c r="E120" s="115" t="str">
        <x:v>What outcome and non-functional requirements justify application and cloud event buses, and what is the simplest managed implementation?</x:v>
      </x:c>
      <x:c r="F120" s="115" t="str">
        <x:v>Adopt &amp; Build</x:v>
      </x:c>
      <x:c r="G120" s="115" t="str">
        <x:v>Analytics / Application integration</x:v>
      </x:c>
      <x:c r="H120" s="115" t="str">
        <x:v>Analytics / Integration</x:v>
      </x:c>
      <x:c r="I120" s="115" t="str">
        <x:v>Data analytics and pipelines / App development</x:v>
      </x:c>
      <x:c r="J120" s="115" t="str">
        <x:v>https://docs.cloud.google.com/docs/product-list</x:v>
      </x:c>
    </x:row>
    <x:row r="121">
      <x:c r="A121" s="116" t="str">
        <x:v>3. Data &amp; Intelligence</x:v>
      </x:c>
      <x:c r="B121" s="117" t="str">
        <x:v>10. Data Integration, ETL/ELT, Messaging &amp; Streaming</x:v>
      </x:c>
      <x:c r="C121" s="115" t="str">
        <x:v>Move, transform and distribute data and events reliably across systems.</x:v>
      </x:c>
      <x:c r="D121" s="115" t="str">
        <x:v>Streaming ingestion and event streaming</x:v>
      </x:c>
      <x:c r="E121" s="115" t="str">
        <x:v>What outcome and non-functional requirements justify streaming ingestion and event streaming, and what is the simplest managed implementation?</x:v>
      </x:c>
      <x:c r="F121" s="115" t="str">
        <x:v>Adopt &amp; Build</x:v>
      </x:c>
      <x:c r="G121" s="115" t="str">
        <x:v>Analytics / Application integration</x:v>
      </x:c>
      <x:c r="H121" s="115" t="str">
        <x:v>Analytics / Integration</x:v>
      </x:c>
      <x:c r="I121" s="115" t="str">
        <x:v>Data analytics and pipelines / App development</x:v>
      </x:c>
      <x:c r="J121" s="115" t="str">
        <x:v>https://docs.cloud.google.com/docs/product-list</x:v>
      </x:c>
    </x:row>
    <x:row r="122">
      <x:c r="A122" s="116" t="str">
        <x:v>3. Data &amp; Intelligence</x:v>
      </x:c>
      <x:c r="B122" s="117" t="str">
        <x:v>10. Data Integration, ETL/ELT, Messaging &amp; Streaming</x:v>
      </x:c>
      <x:c r="C122" s="115" t="str">
        <x:v>Move, transform and distribute data and events reliably across systems.</x:v>
      </x:c>
      <x:c r="D122" s="115" t="str">
        <x:v>Stream processing and complex event processing</x:v>
      </x:c>
      <x:c r="E122" s="115" t="str">
        <x:v>What outcome and non-functional requirements justify stream processing and complex event processing, and what is the simplest managed implementation?</x:v>
      </x:c>
      <x:c r="F122" s="115" t="str">
        <x:v>Adopt &amp; Build</x:v>
      </x:c>
      <x:c r="G122" s="115" t="str">
        <x:v>Analytics / Application integration</x:v>
      </x:c>
      <x:c r="H122" s="115" t="str">
        <x:v>Analytics / Integration</x:v>
      </x:c>
      <x:c r="I122" s="115" t="str">
        <x:v>Data analytics and pipelines / App development</x:v>
      </x:c>
      <x:c r="J122" s="115" t="str">
        <x:v>https://docs.cloud.google.com/docs/product-list</x:v>
      </x:c>
    </x:row>
    <x:row r="123">
      <x:c r="A123" s="116" t="str">
        <x:v>3. Data &amp; Intelligence</x:v>
      </x:c>
      <x:c r="B123" s="117" t="str">
        <x:v>10. Data Integration, ETL/ELT, Messaging &amp; Streaming</x:v>
      </x:c>
      <x:c r="C123" s="115" t="str">
        <x:v>Move, transform and distribute data and events reliably across systems.</x:v>
      </x:c>
      <x:c r="D123" s="115" t="str">
        <x:v>Managed Kafka</x:v>
      </x:c>
      <x:c r="E123" s="115" t="str">
        <x:v>What outcome and non-functional requirements justify managed kafka, and what is the simplest managed implementation?</x:v>
      </x:c>
      <x:c r="F123" s="115" t="str">
        <x:v>Adopt &amp; Build</x:v>
      </x:c>
      <x:c r="G123" s="115" t="str">
        <x:v>Analytics / Application integration</x:v>
      </x:c>
      <x:c r="H123" s="115" t="str">
        <x:v>Analytics / Integration</x:v>
      </x:c>
      <x:c r="I123" s="115" t="str">
        <x:v>Data analytics and pipelines / App development</x:v>
      </x:c>
      <x:c r="J123" s="115" t="str">
        <x:v>https://docs.cloud.google.com/docs/product-list</x:v>
      </x:c>
    </x:row>
    <x:row r="124">
      <x:c r="A124" s="116" t="str">
        <x:v>3. Data &amp; Intelligence</x:v>
      </x:c>
      <x:c r="B124" s="117" t="str">
        <x:v>10. Data Integration, ETL/ELT, Messaging &amp; Streaming</x:v>
      </x:c>
      <x:c r="C124" s="115" t="str">
        <x:v>Move, transform and distribute data and events reliably across systems.</x:v>
      </x:c>
      <x:c r="D124" s="115" t="str">
        <x:v>B2B, EDI and partner integration</x:v>
      </x:c>
      <x:c r="E124" s="115" t="str">
        <x:v>What outcome and non-functional requirements justify b2b, edi and partner integration, and what is the simplest managed implementation?</x:v>
      </x:c>
      <x:c r="F124" s="115" t="str">
        <x:v>Adopt &amp; Build</x:v>
      </x:c>
      <x:c r="G124" s="115" t="str">
        <x:v>Analytics / Application integration</x:v>
      </x:c>
      <x:c r="H124" s="115" t="str">
        <x:v>Analytics / Integration</x:v>
      </x:c>
      <x:c r="I124" s="115" t="str">
        <x:v>Data analytics and pipelines / App development</x:v>
      </x:c>
      <x:c r="J124" s="115" t="str">
        <x:v>https://docs.cloud.google.com/docs/product-list</x:v>
      </x:c>
    </x:row>
    <x:row r="125">
      <x:c r="A125" s="116" t="str">
        <x:v>3. Data &amp; Intelligence</x:v>
      </x:c>
      <x:c r="B125" s="117" t="str">
        <x:v>10. Data Integration, ETL/ELT, Messaging &amp; Streaming</x:v>
      </x:c>
      <x:c r="C125" s="115" t="str">
        <x:v>Move, transform and distribute data and events reliably across systems.</x:v>
      </x:c>
      <x:c r="D125" s="115" t="str">
        <x:v>Managed file transfer</x:v>
      </x:c>
      <x:c r="E125" s="115" t="str">
        <x:v>What outcome and non-functional requirements justify managed file transfer, and what is the simplest managed implementation?</x:v>
      </x:c>
      <x:c r="F125" s="115" t="str">
        <x:v>Adopt &amp; Build</x:v>
      </x:c>
      <x:c r="G125" s="115" t="str">
        <x:v>Analytics / Application integration</x:v>
      </x:c>
      <x:c r="H125" s="115" t="str">
        <x:v>Analytics / Integration</x:v>
      </x:c>
      <x:c r="I125" s="115" t="str">
        <x:v>Data analytics and pipelines / App development</x:v>
      </x:c>
      <x:c r="J125" s="115" t="str">
        <x:v>https://docs.cloud.google.com/docs/product-list</x:v>
      </x:c>
    </x:row>
    <x:row r="126">
      <x:c r="A126" s="116" t="str">
        <x:v>3. Data &amp; Intelligence</x:v>
      </x:c>
      <x:c r="B126" s="117" t="str">
        <x:v>10. Data Integration, ETL/ELT, Messaging &amp; Streaming</x:v>
      </x:c>
      <x:c r="C126" s="115" t="str">
        <x:v>Move, transform and distribute data and events reliably across systems.</x:v>
      </x:c>
      <x:c r="D126" s="115" t="str">
        <x:v>Data APIs and operational data serving</x:v>
      </x:c>
      <x:c r="E126" s="115" t="str">
        <x:v>What outcome and non-functional requirements justify data apis and operational data serving, and what is the simplest managed implementation?</x:v>
      </x:c>
      <x:c r="F126" s="115" t="str">
        <x:v>Adopt &amp; Build</x:v>
      </x:c>
      <x:c r="G126" s="115" t="str">
        <x:v>Analytics / Application integration</x:v>
      </x:c>
      <x:c r="H126" s="115" t="str">
        <x:v>Analytics / Integration</x:v>
      </x:c>
      <x:c r="I126" s="115" t="str">
        <x:v>Data analytics and pipelines / App development</x:v>
      </x:c>
      <x:c r="J126" s="115" t="str">
        <x:v>https://docs.cloud.google.com/docs/product-list</x:v>
      </x:c>
    </x:row>
    <x:row r="127">
      <x:c r="A127" s="116" t="str">
        <x:v>3. Data &amp; Intelligence</x:v>
      </x:c>
      <x:c r="B127" s="117" t="str">
        <x:v>11. Data Lake, Warehouse, Lakehouse, Analytics &amp; BI</x:v>
      </x:c>
      <x:c r="C127" s="115" t="str">
        <x:v>Convert governed data into analytical products, insight and business decisions.</x:v>
      </x:c>
      <x:c r="D127" s="115" t="str">
        <x:v>Enterprise data lake</x:v>
      </x:c>
      <x:c r="E127" s="115" t="str">
        <x:v>What outcome and non-functional requirements justify enterprise data lake, and what is the simplest managed implementation?</x:v>
      </x:c>
      <x:c r="F127" s="115" t="str">
        <x:v>Adopt &amp; Build</x:v>
      </x:c>
      <x:c r="G127" s="115" t="str">
        <x:v>Analytics</x:v>
      </x:c>
      <x:c r="H127" s="115" t="str">
        <x:v>Analytics</x:v>
      </x:c>
      <x:c r="I127" s="115" t="str">
        <x:v>Data analytics and pipelines</x:v>
      </x:c>
      <x:c r="J127" s="115" t="str">
        <x:v>https://azure.microsoft.com/en-us/products/category</x:v>
      </x:c>
    </x:row>
    <x:row r="128">
      <x:c r="A128" s="116" t="str">
        <x:v>3. Data &amp; Intelligence</x:v>
      </x:c>
      <x:c r="B128" s="117" t="str">
        <x:v>11. Data Lake, Warehouse, Lakehouse, Analytics &amp; BI</x:v>
      </x:c>
      <x:c r="C128" s="115" t="str">
        <x:v>Convert governed data into analytical products, insight and business decisions.</x:v>
      </x:c>
      <x:c r="D128" s="115" t="str">
        <x:v>Cloud data warehouse</x:v>
      </x:c>
      <x:c r="E128" s="115" t="str">
        <x:v>What outcome and non-functional requirements justify cloud data warehouse, and what is the simplest managed implementation?</x:v>
      </x:c>
      <x:c r="F128" s="115" t="str">
        <x:v>Adopt &amp; Build</x:v>
      </x:c>
      <x:c r="G128" s="115" t="str">
        <x:v>Analytics</x:v>
      </x:c>
      <x:c r="H128" s="115" t="str">
        <x:v>Analytics</x:v>
      </x:c>
      <x:c r="I128" s="115" t="str">
        <x:v>Data analytics and pipelines</x:v>
      </x:c>
      <x:c r="J128" s="115" t="str">
        <x:v>https://azure.microsoft.com/en-us/products/category</x:v>
      </x:c>
    </x:row>
    <x:row r="129">
      <x:c r="A129" s="116" t="str">
        <x:v>3. Data &amp; Intelligence</x:v>
      </x:c>
      <x:c r="B129" s="117" t="str">
        <x:v>11. Data Lake, Warehouse, Lakehouse, Analytics &amp; BI</x:v>
      </x:c>
      <x:c r="C129" s="115" t="str">
        <x:v>Convert governed data into analytical products, insight and business decisions.</x:v>
      </x:c>
      <x:c r="D129" s="115" t="str">
        <x:v>Open and managed lakehouse</x:v>
      </x:c>
      <x:c r="E129" s="115" t="str">
        <x:v>What outcome and non-functional requirements justify open and managed lakehouse, and what is the simplest managed implementation?</x:v>
      </x:c>
      <x:c r="F129" s="115" t="str">
        <x:v>Adopt &amp; Build</x:v>
      </x:c>
      <x:c r="G129" s="115" t="str">
        <x:v>Analytics</x:v>
      </x:c>
      <x:c r="H129" s="115" t="str">
        <x:v>Analytics</x:v>
      </x:c>
      <x:c r="I129" s="115" t="str">
        <x:v>Data analytics and pipelines</x:v>
      </x:c>
      <x:c r="J129" s="115" t="str">
        <x:v>https://azure.microsoft.com/en-us/products/category</x:v>
      </x:c>
    </x:row>
    <x:row r="130">
      <x:c r="A130" s="116" t="str">
        <x:v>3. Data &amp; Intelligence</x:v>
      </x:c>
      <x:c r="B130" s="117" t="str">
        <x:v>11. Data Lake, Warehouse, Lakehouse, Analytics &amp; BI</x:v>
      </x:c>
      <x:c r="C130" s="115" t="str">
        <x:v>Convert governed data into analytical products, insight and business decisions.</x:v>
      </x:c>
      <x:c r="D130" s="115" t="str">
        <x:v>Serverless SQL over object storage</x:v>
      </x:c>
      <x:c r="E130" s="115" t="str">
        <x:v>What outcome and non-functional requirements justify serverless sql over object storage, and what is the simplest managed implementation?</x:v>
      </x:c>
      <x:c r="F130" s="115" t="str">
        <x:v>Adopt &amp; Build</x:v>
      </x:c>
      <x:c r="G130" s="115" t="str">
        <x:v>Analytics</x:v>
      </x:c>
      <x:c r="H130" s="115" t="str">
        <x:v>Analytics</x:v>
      </x:c>
      <x:c r="I130" s="115" t="str">
        <x:v>Data analytics and pipelines</x:v>
      </x:c>
      <x:c r="J130" s="115" t="str">
        <x:v>https://azure.microsoft.com/en-us/products/category</x:v>
      </x:c>
    </x:row>
    <x:row r="131">
      <x:c r="A131" s="116" t="str">
        <x:v>3. Data &amp; Intelligence</x:v>
      </x:c>
      <x:c r="B131" s="117" t="str">
        <x:v>11. Data Lake, Warehouse, Lakehouse, Analytics &amp; BI</x:v>
      </x:c>
      <x:c r="C131" s="115" t="str">
        <x:v>Convert governed data into analytical products, insight and business decisions.</x:v>
      </x:c>
      <x:c r="D131" s="115" t="str">
        <x:v>Big-data and distributed analytics</x:v>
      </x:c>
      <x:c r="E131" s="115" t="str">
        <x:v>What outcome and non-functional requirements justify big-data and distributed analytics, and what is the simplest managed implementation?</x:v>
      </x:c>
      <x:c r="F131" s="115" t="str">
        <x:v>Adopt &amp; Build</x:v>
      </x:c>
      <x:c r="G131" s="115" t="str">
        <x:v>Analytics</x:v>
      </x:c>
      <x:c r="H131" s="115" t="str">
        <x:v>Analytics</x:v>
      </x:c>
      <x:c r="I131" s="115" t="str">
        <x:v>Data analytics and pipelines</x:v>
      </x:c>
      <x:c r="J131" s="115" t="str">
        <x:v>https://azure.microsoft.com/en-us/products/category</x:v>
      </x:c>
    </x:row>
    <x:row r="132">
      <x:c r="A132" s="116" t="str">
        <x:v>3. Data &amp; Intelligence</x:v>
      </x:c>
      <x:c r="B132" s="117" t="str">
        <x:v>11. Data Lake, Warehouse, Lakehouse, Analytics &amp; BI</x:v>
      </x:c>
      <x:c r="C132" s="115" t="str">
        <x:v>Convert governed data into analytical products, insight and business decisions.</x:v>
      </x:c>
      <x:c r="D132" s="115" t="str">
        <x:v>Real-time and operational analytics</x:v>
      </x:c>
      <x:c r="E132" s="115" t="str">
        <x:v>What outcome and non-functional requirements justify real-time and operational analytics, and what is the simplest managed implementation?</x:v>
      </x:c>
      <x:c r="F132" s="115" t="str">
        <x:v>Adopt &amp; Build</x:v>
      </x:c>
      <x:c r="G132" s="115" t="str">
        <x:v>Analytics</x:v>
      </x:c>
      <x:c r="H132" s="115" t="str">
        <x:v>Analytics</x:v>
      </x:c>
      <x:c r="I132" s="115" t="str">
        <x:v>Data analytics and pipelines</x:v>
      </x:c>
      <x:c r="J132" s="115" t="str">
        <x:v>https://azure.microsoft.com/en-us/products/category</x:v>
      </x:c>
    </x:row>
    <x:row r="133">
      <x:c r="A133" s="116" t="str">
        <x:v>3. Data &amp; Intelligence</x:v>
      </x:c>
      <x:c r="B133" s="117" t="str">
        <x:v>11. Data Lake, Warehouse, Lakehouse, Analytics &amp; BI</x:v>
      </x:c>
      <x:c r="C133" s="115" t="str">
        <x:v>Convert governed data into analytical products, insight and business decisions.</x:v>
      </x:c>
      <x:c r="D133" s="115" t="str">
        <x:v>Semantic models and metrics layers</x:v>
      </x:c>
      <x:c r="E133" s="115" t="str">
        <x:v>What outcome and non-functional requirements justify semantic models and metrics layers, and what is the simplest managed implementation?</x:v>
      </x:c>
      <x:c r="F133" s="115" t="str">
        <x:v>Adopt &amp; Build</x:v>
      </x:c>
      <x:c r="G133" s="115" t="str">
        <x:v>Analytics</x:v>
      </x:c>
      <x:c r="H133" s="115" t="str">
        <x:v>Analytics</x:v>
      </x:c>
      <x:c r="I133" s="115" t="str">
        <x:v>Data analytics and pipelines</x:v>
      </x:c>
      <x:c r="J133" s="115" t="str">
        <x:v>https://azure.microsoft.com/en-us/products/category</x:v>
      </x:c>
    </x:row>
    <x:row r="134">
      <x:c r="A134" s="116" t="str">
        <x:v>3. Data &amp; Intelligence</x:v>
      </x:c>
      <x:c r="B134" s="117" t="str">
        <x:v>11. Data Lake, Warehouse, Lakehouse, Analytics &amp; BI</x:v>
      </x:c>
      <x:c r="C134" s="115" t="str">
        <x:v>Convert governed data into analytical products, insight and business decisions.</x:v>
      </x:c>
      <x:c r="D134" s="115" t="str">
        <x:v>Business intelligence and dashboards</x:v>
      </x:c>
      <x:c r="E134" s="115" t="str">
        <x:v>What outcome and non-functional requirements justify business intelligence and dashboards, and what is the simplest managed implementation?</x:v>
      </x:c>
      <x:c r="F134" s="115" t="str">
        <x:v>Adopt &amp; Build</x:v>
      </x:c>
      <x:c r="G134" s="115" t="str">
        <x:v>Analytics</x:v>
      </x:c>
      <x:c r="H134" s="115" t="str">
        <x:v>Analytics</x:v>
      </x:c>
      <x:c r="I134" s="115" t="str">
        <x:v>Data analytics and pipelines</x:v>
      </x:c>
      <x:c r="J134" s="115" t="str">
        <x:v>https://azure.microsoft.com/en-us/products/category</x:v>
      </x:c>
    </x:row>
    <x:row r="135">
      <x:c r="A135" s="116" t="str">
        <x:v>3. Data &amp; Intelligence</x:v>
      </x:c>
      <x:c r="B135" s="117" t="str">
        <x:v>11. Data Lake, Warehouse, Lakehouse, Analytics &amp; BI</x:v>
      </x:c>
      <x:c r="C135" s="115" t="str">
        <x:v>Convert governed data into analytical products, insight and business decisions.</x:v>
      </x:c>
      <x:c r="D135" s="115" t="str">
        <x:v>Embedded and customer-facing analytics</x:v>
      </x:c>
      <x:c r="E135" s="115" t="str">
        <x:v>What outcome and non-functional requirements justify embedded and customer-facing analytics, and what is the simplest managed implementation?</x:v>
      </x:c>
      <x:c r="F135" s="115" t="str">
        <x:v>Adopt &amp; Build</x:v>
      </x:c>
      <x:c r="G135" s="115" t="str">
        <x:v>Analytics</x:v>
      </x:c>
      <x:c r="H135" s="115" t="str">
        <x:v>Analytics</x:v>
      </x:c>
      <x:c r="I135" s="115" t="str">
        <x:v>Data analytics and pipelines</x:v>
      </x:c>
      <x:c r="J135" s="115" t="str">
        <x:v>https://azure.microsoft.com/en-us/products/category</x:v>
      </x:c>
    </x:row>
    <x:row r="136">
      <x:c r="A136" s="116" t="str">
        <x:v>3. Data &amp; Intelligence</x:v>
      </x:c>
      <x:c r="B136" s="117" t="str">
        <x:v>11. Data Lake, Warehouse, Lakehouse, Analytics &amp; BI</x:v>
      </x:c>
      <x:c r="C136" s="115" t="str">
        <x:v>Convert governed data into analytical products, insight and business decisions.</x:v>
      </x:c>
      <x:c r="D136" s="115" t="str">
        <x:v>Search, log and text analytics</x:v>
      </x:c>
      <x:c r="E136" s="115" t="str">
        <x:v>What outcome and non-functional requirements justify search, log and text analytics, and what is the simplest managed implementation?</x:v>
      </x:c>
      <x:c r="F136" s="115" t="str">
        <x:v>Adopt &amp; Build</x:v>
      </x:c>
      <x:c r="G136" s="115" t="str">
        <x:v>Analytics</x:v>
      </x:c>
      <x:c r="H136" s="115" t="str">
        <x:v>Analytics</x:v>
      </x:c>
      <x:c r="I136" s="115" t="str">
        <x:v>Data analytics and pipelines</x:v>
      </x:c>
      <x:c r="J136" s="115" t="str">
        <x:v>https://azure.microsoft.com/en-us/products/category</x:v>
      </x:c>
    </x:row>
    <x:row r="137">
      <x:c r="A137" s="116" t="str">
        <x:v>3. Data &amp; Intelligence</x:v>
      </x:c>
      <x:c r="B137" s="117" t="str">
        <x:v>11. Data Lake, Warehouse, Lakehouse, Analytics &amp; BI</x:v>
      </x:c>
      <x:c r="C137" s="115" t="str">
        <x:v>Convert governed data into analytical products, insight and business decisions.</x:v>
      </x:c>
      <x:c r="D137" s="115" t="str">
        <x:v>Geospatial and location analytics</x:v>
      </x:c>
      <x:c r="E137" s="115" t="str">
        <x:v>What outcome and non-functional requirements justify geospatial and location analytics, and what is the simplest managed implementation?</x:v>
      </x:c>
      <x:c r="F137" s="115" t="str">
        <x:v>Adopt &amp; Build</x:v>
      </x:c>
      <x:c r="G137" s="115" t="str">
        <x:v>Analytics</x:v>
      </x:c>
      <x:c r="H137" s="115" t="str">
        <x:v>Analytics</x:v>
      </x:c>
      <x:c r="I137" s="115" t="str">
        <x:v>Data analytics and pipelines</x:v>
      </x:c>
      <x:c r="J137" s="115" t="str">
        <x:v>https://azure.microsoft.com/en-us/products/category</x:v>
      </x:c>
    </x:row>
    <x:row r="138">
      <x:c r="A138" s="116" t="str">
        <x:v>3. Data &amp; Intelligence</x:v>
      </x:c>
      <x:c r="B138" s="117" t="str">
        <x:v>11. Data Lake, Warehouse, Lakehouse, Analytics &amp; BI</x:v>
      </x:c>
      <x:c r="C138" s="115" t="str">
        <x:v>Convert governed data into analytical products, insight and business decisions.</x:v>
      </x:c>
      <x:c r="D138" s="115" t="str">
        <x:v>Financial-services and specialist analytics</x:v>
      </x:c>
      <x:c r="E138" s="115" t="str">
        <x:v>What outcome and non-functional requirements justify financial-services and specialist analytics, and what is the simplest managed implementation?</x:v>
      </x:c>
      <x:c r="F138" s="115" t="str">
        <x:v>Adopt &amp; Build</x:v>
      </x:c>
      <x:c r="G138" s="115" t="str">
        <x:v>Analytics</x:v>
      </x:c>
      <x:c r="H138" s="115" t="str">
        <x:v>Analytics</x:v>
      </x:c>
      <x:c r="I138" s="115" t="str">
        <x:v>Data analytics and pipelines</x:v>
      </x:c>
      <x:c r="J138" s="115" t="str">
        <x:v>https://azure.microsoft.com/en-us/products/category</x:v>
      </x:c>
    </x:row>
    <x:row r="139">
      <x:c r="A139" s="116" t="str">
        <x:v>3. Data &amp; Intelligence</x:v>
      </x:c>
      <x:c r="B139" s="117" t="str">
        <x:v>11. Data Lake, Warehouse, Lakehouse, Analytics &amp; BI</x:v>
      </x:c>
      <x:c r="C139" s="115" t="str">
        <x:v>Convert governed data into analytical products, insight and business decisions.</x:v>
      </x:c>
      <x:c r="D139" s="115" t="str">
        <x:v>Data science and statistical analytics</x:v>
      </x:c>
      <x:c r="E139" s="115" t="str">
        <x:v>What outcome and non-functional requirements justify data science and statistical analytics, and what is the simplest managed implementation?</x:v>
      </x:c>
      <x:c r="F139" s="115" t="str">
        <x:v>Adopt &amp; Build</x:v>
      </x:c>
      <x:c r="G139" s="115" t="str">
        <x:v>Analytics</x:v>
      </x:c>
      <x:c r="H139" s="115" t="str">
        <x:v>Analytics</x:v>
      </x:c>
      <x:c r="I139" s="115" t="str">
        <x:v>Data analytics and pipelines</x:v>
      </x:c>
      <x:c r="J139" s="115" t="str">
        <x:v>https://azure.microsoft.com/en-us/products/category</x:v>
      </x:c>
    </x:row>
    <x:row r="140">
      <x:c r="A140" s="116" t="str">
        <x:v>3. Data &amp; Intelligence</x:v>
      </x:c>
      <x:c r="B140" s="117" t="str">
        <x:v>12. Data Governance, Quality, Catalogue, MDM, Sharing &amp; Clean Rooms</x:v>
      </x:c>
      <x:c r="C140" s="115" t="str">
        <x:v>Make data discoverable, trustworthy, owned, protected and reusable.</x:v>
      </x:c>
      <x:c r="D140" s="115" t="str">
        <x:v>Data catalogue, metadata and business glossary</x:v>
      </x:c>
      <x:c r="E140" s="115" t="str">
        <x:v>What outcome and non-functional requirements justify data catalogue, metadata and business glossary, and what is the simplest managed implementation?</x:v>
      </x:c>
      <x:c r="F140" s="115" t="str">
        <x:v>Adopt &amp; Build</x:v>
      </x:c>
      <x:c r="G140" s="115" t="str">
        <x:v>Analytics / Security, identity, and compliance</x:v>
      </x:c>
      <x:c r="H140" s="115" t="str">
        <x:v>Analytics / Management and Governance / Security</x:v>
      </x:c>
      <x:c r="I140" s="115" t="str">
        <x:v>Data analytics and pipelines / Security</x:v>
      </x:c>
      <x:c r="J140" s="115" t="str">
        <x:v>https://docs.cloud.google.com/docs/product-list</x:v>
      </x:c>
    </x:row>
    <x:row r="141">
      <x:c r="A141" s="116" t="str">
        <x:v>3. Data &amp; Intelligence</x:v>
      </x:c>
      <x:c r="B141" s="117" t="str">
        <x:v>12. Data Governance, Quality, Catalogue, MDM, Sharing &amp; Clean Rooms</x:v>
      </x:c>
      <x:c r="C141" s="115" t="str">
        <x:v>Make data discoverable, trustworthy, owned, protected and reusable.</x:v>
      </x:c>
      <x:c r="D141" s="115" t="str">
        <x:v>Automated lineage and impact analysis</x:v>
      </x:c>
      <x:c r="E141" s="115" t="str">
        <x:v>What outcome and non-functional requirements justify automated lineage and impact analysis, and what is the simplest managed implementation?</x:v>
      </x:c>
      <x:c r="F141" s="115" t="str">
        <x:v>Adopt &amp; Build</x:v>
      </x:c>
      <x:c r="G141" s="115" t="str">
        <x:v>Analytics / Security, identity, and compliance</x:v>
      </x:c>
      <x:c r="H141" s="115" t="str">
        <x:v>Analytics / Management and Governance / Security</x:v>
      </x:c>
      <x:c r="I141" s="115" t="str">
        <x:v>Data analytics and pipelines / Security</x:v>
      </x:c>
      <x:c r="J141" s="115" t="str">
        <x:v>https://docs.cloud.google.com/docs/product-list</x:v>
      </x:c>
    </x:row>
    <x:row r="142">
      <x:c r="A142" s="116" t="str">
        <x:v>3. Data &amp; Intelligence</x:v>
      </x:c>
      <x:c r="B142" s="117" t="str">
        <x:v>12. Data Governance, Quality, Catalogue, MDM, Sharing &amp; Clean Rooms</x:v>
      </x:c>
      <x:c r="C142" s="115" t="str">
        <x:v>Make data discoverable, trustworthy, owned, protected and reusable.</x:v>
      </x:c>
      <x:c r="D142" s="115" t="str">
        <x:v>Data quality rules, profiling and remediation</x:v>
      </x:c>
      <x:c r="E142" s="115" t="str">
        <x:v>What outcome and non-functional requirements justify data quality rules, profiling and remediation, and what is the simplest managed implementation?</x:v>
      </x:c>
      <x:c r="F142" s="115" t="str">
        <x:v>Adopt &amp; Build</x:v>
      </x:c>
      <x:c r="G142" s="115" t="str">
        <x:v>Analytics / Security, identity, and compliance</x:v>
      </x:c>
      <x:c r="H142" s="115" t="str">
        <x:v>Analytics / Management and Governance / Security</x:v>
      </x:c>
      <x:c r="I142" s="115" t="str">
        <x:v>Data analytics and pipelines / Security</x:v>
      </x:c>
      <x:c r="J142" s="115" t="str">
        <x:v>https://docs.cloud.google.com/docs/product-list</x:v>
      </x:c>
    </x:row>
    <x:row r="143">
      <x:c r="A143" s="116" t="str">
        <x:v>3. Data &amp; Intelligence</x:v>
      </x:c>
      <x:c r="B143" s="117" t="str">
        <x:v>12. Data Governance, Quality, Catalogue, MDM, Sharing &amp; Clean Rooms</x:v>
      </x:c>
      <x:c r="C143" s="115" t="str">
        <x:v>Make data discoverable, trustworthy, owned, protected and reusable.</x:v>
      </x:c>
      <x:c r="D143" s="115" t="str">
        <x:v>Data observability and pipeline trust</x:v>
      </x:c>
      <x:c r="E143" s="115" t="str">
        <x:v>What outcome and non-functional requirements justify data observability and pipeline trust, and what is the simplest managed implementation?</x:v>
      </x:c>
      <x:c r="F143" s="115" t="str">
        <x:v>Adopt &amp; Build</x:v>
      </x:c>
      <x:c r="G143" s="115" t="str">
        <x:v>Analytics / Security, identity, and compliance</x:v>
      </x:c>
      <x:c r="H143" s="115" t="str">
        <x:v>Analytics / Management and Governance / Security</x:v>
      </x:c>
      <x:c r="I143" s="115" t="str">
        <x:v>Data analytics and pipelines / Security</x:v>
      </x:c>
      <x:c r="J143" s="115" t="str">
        <x:v>https://docs.cloud.google.com/docs/product-list</x:v>
      </x:c>
    </x:row>
    <x:row r="144">
      <x:c r="A144" s="116" t="str">
        <x:v>3. Data &amp; Intelligence</x:v>
      </x:c>
      <x:c r="B144" s="117" t="str">
        <x:v>12. Data Governance, Quality, Catalogue, MDM, Sharing &amp; Clean Rooms</x:v>
      </x:c>
      <x:c r="C144" s="115" t="str">
        <x:v>Make data discoverable, trustworthy, owned, protected and reusable.</x:v>
      </x:c>
      <x:c r="D144" s="115" t="str">
        <x:v>Master and reference data management</x:v>
      </x:c>
      <x:c r="E144" s="115" t="str">
        <x:v>What outcome and non-functional requirements justify master and reference data management, and what is the simplest managed implementation?</x:v>
      </x:c>
      <x:c r="F144" s="115" t="str">
        <x:v>Adopt &amp; Build</x:v>
      </x:c>
      <x:c r="G144" s="115" t="str">
        <x:v>Analytics / Security, identity, and compliance</x:v>
      </x:c>
      <x:c r="H144" s="115" t="str">
        <x:v>Analytics / Management and Governance / Security</x:v>
      </x:c>
      <x:c r="I144" s="115" t="str">
        <x:v>Data analytics and pipelines / Security</x:v>
      </x:c>
      <x:c r="J144" s="115" t="str">
        <x:v>https://docs.cloud.google.com/docs/product-list</x:v>
      </x:c>
    </x:row>
    <x:row r="145">
      <x:c r="A145" s="116" t="str">
        <x:v>3. Data &amp; Intelligence</x:v>
      </x:c>
      <x:c r="B145" s="117" t="str">
        <x:v>12. Data Governance, Quality, Catalogue, MDM, Sharing &amp; Clean Rooms</x:v>
      </x:c>
      <x:c r="C145" s="115" t="str">
        <x:v>Make data discoverable, trustworthy, owned, protected and reusable.</x:v>
      </x:c>
      <x:c r="D145" s="115" t="str">
        <x:v>Data ownership, stewardship and operating model</x:v>
      </x:c>
      <x:c r="E145" s="115" t="str">
        <x:v>What outcome and non-functional requirements justify data ownership, stewardship and operating model, and what is the simplest managed implementation?</x:v>
      </x:c>
      <x:c r="F145" s="115" t="str">
        <x:v>Adopt &amp; Build</x:v>
      </x:c>
      <x:c r="G145" s="115" t="str">
        <x:v>Analytics / Security, identity, and compliance</x:v>
      </x:c>
      <x:c r="H145" s="115" t="str">
        <x:v>Analytics / Management and Governance / Security</x:v>
      </x:c>
      <x:c r="I145" s="115" t="str">
        <x:v>Data analytics and pipelines / Security</x:v>
      </x:c>
      <x:c r="J145" s="115" t="str">
        <x:v>https://docs.cloud.google.com/docs/product-list</x:v>
      </x:c>
    </x:row>
    <x:row r="146">
      <x:c r="A146" s="116" t="str">
        <x:v>3. Data &amp; Intelligence</x:v>
      </x:c>
      <x:c r="B146" s="117" t="str">
        <x:v>12. Data Governance, Quality, Catalogue, MDM, Sharing &amp; Clean Rooms</x:v>
      </x:c>
      <x:c r="C146" s="115" t="str">
        <x:v>Make data discoverable, trustworthy, owned, protected and reusable.</x:v>
      </x:c>
      <x:c r="D146" s="115" t="str">
        <x:v>Data access policy and entitlement management</x:v>
      </x:c>
      <x:c r="E146" s="115" t="str">
        <x:v>What outcome and non-functional requirements justify data access policy and entitlement management, and what is the simplest managed implementation?</x:v>
      </x:c>
      <x:c r="F146" s="115" t="str">
        <x:v>Adopt &amp; Build</x:v>
      </x:c>
      <x:c r="G146" s="115" t="str">
        <x:v>Analytics / Security, identity, and compliance</x:v>
      </x:c>
      <x:c r="H146" s="115" t="str">
        <x:v>Analytics / Management and Governance / Security</x:v>
      </x:c>
      <x:c r="I146" s="115" t="str">
        <x:v>Data analytics and pipelines / Security</x:v>
      </x:c>
      <x:c r="J146" s="115" t="str">
        <x:v>https://docs.cloud.google.com/docs/product-list</x:v>
      </x:c>
    </x:row>
    <x:row r="147">
      <x:c r="A147" s="116" t="str">
        <x:v>3. Data &amp; Intelligence</x:v>
      </x:c>
      <x:c r="B147" s="117" t="str">
        <x:v>12. Data Governance, Quality, Catalogue, MDM, Sharing &amp; Clean Rooms</x:v>
      </x:c>
      <x:c r="C147" s="115" t="str">
        <x:v>Make data discoverable, trustworthy, owned, protected and reusable.</x:v>
      </x:c>
      <x:c r="D147" s="115" t="str">
        <x:v>Data sharing, exchanges and marketplaces</x:v>
      </x:c>
      <x:c r="E147" s="115" t="str">
        <x:v>What outcome and non-functional requirements justify data sharing, exchanges and marketplaces, and what is the simplest managed implementation?</x:v>
      </x:c>
      <x:c r="F147" s="115" t="str">
        <x:v>Adopt &amp; Build</x:v>
      </x:c>
      <x:c r="G147" s="115" t="str">
        <x:v>Analytics / Security, identity, and compliance</x:v>
      </x:c>
      <x:c r="H147" s="115" t="str">
        <x:v>Analytics / Management and Governance / Security</x:v>
      </x:c>
      <x:c r="I147" s="115" t="str">
        <x:v>Data analytics and pipelines / Security</x:v>
      </x:c>
      <x:c r="J147" s="115" t="str">
        <x:v>https://docs.cloud.google.com/docs/product-list</x:v>
      </x:c>
    </x:row>
    <x:row r="148">
      <x:c r="A148" s="116" t="str">
        <x:v>3. Data &amp; Intelligence</x:v>
      </x:c>
      <x:c r="B148" s="117" t="str">
        <x:v>12. Data Governance, Quality, Catalogue, MDM, Sharing &amp; Clean Rooms</x:v>
      </x:c>
      <x:c r="C148" s="115" t="str">
        <x:v>Make data discoverable, trustworthy, owned, protected and reusable.</x:v>
      </x:c>
      <x:c r="D148" s="115" t="str">
        <x:v>Data clean rooms and privacy-preserving collaboration</x:v>
      </x:c>
      <x:c r="E148" s="115" t="str">
        <x:v>What outcome and non-functional requirements justify data clean rooms and privacy-preserving collaboration, and what is the simplest managed implementation?</x:v>
      </x:c>
      <x:c r="F148" s="115" t="str">
        <x:v>Adopt &amp; Build</x:v>
      </x:c>
      <x:c r="G148" s="115" t="str">
        <x:v>Analytics / Security, identity, and compliance</x:v>
      </x:c>
      <x:c r="H148" s="115" t="str">
        <x:v>Analytics / Management and Governance / Security</x:v>
      </x:c>
      <x:c r="I148" s="115" t="str">
        <x:v>Data analytics and pipelines / Security</x:v>
      </x:c>
      <x:c r="J148" s="115" t="str">
        <x:v>https://docs.cloud.google.com/docs/product-list</x:v>
      </x:c>
    </x:row>
    <x:row r="149">
      <x:c r="A149" s="116" t="str">
        <x:v>3. Data &amp; Intelligence</x:v>
      </x:c>
      <x:c r="B149" s="117" t="str">
        <x:v>12. Data Governance, Quality, Catalogue, MDM, Sharing &amp; Clean Rooms</x:v>
      </x:c>
      <x:c r="C149" s="115" t="str">
        <x:v>Make data discoverable, trustworthy, owned, protected and reusable.</x:v>
      </x:c>
      <x:c r="D149" s="115" t="str">
        <x:v>Consent, retention, deletion and privacy operations</x:v>
      </x:c>
      <x:c r="E149" s="115" t="str">
        <x:v>What outcome and non-functional requirements justify consent, retention, deletion and privacy operations, and what is the simplest managed implementation?</x:v>
      </x:c>
      <x:c r="F149" s="115" t="str">
        <x:v>Adopt &amp; Build</x:v>
      </x:c>
      <x:c r="G149" s="115" t="str">
        <x:v>Analytics / Security, identity, and compliance</x:v>
      </x:c>
      <x:c r="H149" s="115" t="str">
        <x:v>Analytics / Management and Governance / Security</x:v>
      </x:c>
      <x:c r="I149" s="115" t="str">
        <x:v>Data analytics and pipelines / Security</x:v>
      </x:c>
      <x:c r="J149" s="115" t="str">
        <x:v>https://docs.cloud.google.com/docs/product-list</x:v>
      </x:c>
    </x:row>
    <x:row r="150">
      <x:c r="A150" s="116" t="str">
        <x:v>3. Data &amp; Intelligence</x:v>
      </x:c>
      <x:c r="B150" s="117" t="str">
        <x:v>12. Data Governance, Quality, Catalogue, MDM, Sharing &amp; Clean Rooms</x:v>
      </x:c>
      <x:c r="C150" s="115" t="str">
        <x:v>Make data discoverable, trustworthy, owned, protected and reusable.</x:v>
      </x:c>
      <x:c r="D150" s="115" t="str">
        <x:v>Entity resolution and identity matching</x:v>
      </x:c>
      <x:c r="E150" s="115" t="str">
        <x:v>What outcome and non-functional requirements justify entity resolution and identity matching, and what is the simplest managed implementation?</x:v>
      </x:c>
      <x:c r="F150" s="115" t="str">
        <x:v>Adopt &amp; Build</x:v>
      </x:c>
      <x:c r="G150" s="115" t="str">
        <x:v>Analytics / Security, identity, and compliance</x:v>
      </x:c>
      <x:c r="H150" s="115" t="str">
        <x:v>Analytics / Management and Governance / Security</x:v>
      </x:c>
      <x:c r="I150" s="115" t="str">
        <x:v>Data analytics and pipelines / Security</x:v>
      </x:c>
      <x:c r="J150" s="115" t="str">
        <x:v>https://docs.cloud.google.com/docs/product-list</x:v>
      </x:c>
    </x:row>
    <x:row r="151">
      <x:c r="A151" s="116" t="str">
        <x:v>3. Data &amp; Intelligence</x:v>
      </x:c>
      <x:c r="B151" s="117" t="str">
        <x:v>12. Data Governance, Quality, Catalogue, MDM, Sharing &amp; Clean Rooms</x:v>
      </x:c>
      <x:c r="C151" s="115" t="str">
        <x:v>Make data discoverable, trustworthy, owned, protected and reusable.</x:v>
      </x:c>
      <x:c r="D151" s="115" t="str">
        <x:v>Data products, domains and data mesh enablement</x:v>
      </x:c>
      <x:c r="E151" s="115" t="str">
        <x:v>What outcome and non-functional requirements justify data products, domains and data mesh enablement, and what is the simplest managed implementation?</x:v>
      </x:c>
      <x:c r="F151" s="115" t="str">
        <x:v>Adopt &amp; Build</x:v>
      </x:c>
      <x:c r="G151" s="115" t="str">
        <x:v>Analytics / Security, identity, and compliance</x:v>
      </x:c>
      <x:c r="H151" s="115" t="str">
        <x:v>Analytics / Management and Governance / Security</x:v>
      </x:c>
      <x:c r="I151" s="115" t="str">
        <x:v>Data analytics and pipelines / Security</x:v>
      </x:c>
      <x:c r="J151" s="115" t="str">
        <x:v>https://docs.cloud.google.com/docs/product-list</x:v>
      </x:c>
    </x:row>
    <x:row r="152">
      <x:c r="A152" s="116" t="str">
        <x:v>3. Data &amp; Intelligence</x:v>
      </x:c>
      <x:c r="B152" s="117" t="str">
        <x:v>12. Data Governance, Quality, Catalogue, MDM, Sharing &amp; Clean Rooms</x:v>
      </x:c>
      <x:c r="C152" s="115" t="str">
        <x:v>Make data discoverable, trustworthy, owned, protected and reusable.</x:v>
      </x:c>
      <x:c r="D152" s="115" t="str">
        <x:v>Schema registry and contract management</x:v>
      </x:c>
      <x:c r="E152" s="115" t="str">
        <x:v>What outcome and non-functional requirements justify schema registry and contract management, and what is the simplest managed implementation?</x:v>
      </x:c>
      <x:c r="F152" s="115" t="str">
        <x:v>Adopt &amp; Build</x:v>
      </x:c>
      <x:c r="G152" s="115" t="str">
        <x:v>Analytics / Security, identity, and compliance</x:v>
      </x:c>
      <x:c r="H152" s="115" t="str">
        <x:v>Analytics / Management and Governance / Security</x:v>
      </x:c>
      <x:c r="I152" s="115" t="str">
        <x:v>Data analytics and pipelines / Security</x:v>
      </x:c>
      <x:c r="J152" s="115" t="str">
        <x:v>https://docs.cloud.google.com/docs/product-list</x:v>
      </x:c>
    </x:row>
    <x:row r="153">
      <x:c r="A153" s="116" t="str">
        <x:v>3. Data &amp; Intelligence</x:v>
      </x:c>
      <x:c r="B153" s="117" t="str">
        <x:v>13. Traditional AI/ML, MLOps &amp; Cognitive APIs</x:v>
      </x:c>
      <x:c r="C153" s="115" t="str">
        <x:v>Build, deploy and operate predictive models and consume prebuilt AI capabilities.</x:v>
      </x:c>
      <x:c r="D153" s="115" t="str">
        <x:v>Unified machine-learning platform</x:v>
      </x:c>
      <x:c r="E153" s="115" t="str">
        <x:v>What outcome and non-functional requirements justify unified machine-learning platform, and what is the simplest managed implementation?</x:v>
      </x:c>
      <x:c r="F153" s="115" t="str">
        <x:v>Adopt &amp; Build</x:v>
      </x:c>
      <x:c r="G153" s="115" t="str">
        <x:v>Machine Learning and Artificial Intelligence</x:v>
      </x:c>
      <x:c r="H153" s="115" t="str">
        <x:v>AI + Machine Learning</x:v>
      </x:c>
      <x:c r="I153" s="115" t="str">
        <x:v>AI and ML</x:v>
      </x:c>
      <x:c r="J153" s="115" t="str">
        <x:v>https://docs.cloud.google.com/docs/product-list</x:v>
      </x:c>
    </x:row>
    <x:row r="154">
      <x:c r="A154" s="116" t="str">
        <x:v>3. Data &amp; Intelligence</x:v>
      </x:c>
      <x:c r="B154" s="117" t="str">
        <x:v>13. Traditional AI/ML, MLOps &amp; Cognitive APIs</x:v>
      </x:c>
      <x:c r="C154" s="115" t="str">
        <x:v>Build, deploy and operate predictive models and consume prebuilt AI capabilities.</x:v>
      </x:c>
      <x:c r="D154" s="115" t="str">
        <x:v>Managed notebooks and data-science workbenches</x:v>
      </x:c>
      <x:c r="E154" s="115" t="str">
        <x:v>What outcome and non-functional requirements justify managed notebooks and data-science workbenches, and what is the simplest managed implementation?</x:v>
      </x:c>
      <x:c r="F154" s="115" t="str">
        <x:v>Adopt &amp; Build</x:v>
      </x:c>
      <x:c r="G154" s="115" t="str">
        <x:v>Machine Learning and Artificial Intelligence</x:v>
      </x:c>
      <x:c r="H154" s="115" t="str">
        <x:v>AI + Machine Learning</x:v>
      </x:c>
      <x:c r="I154" s="115" t="str">
        <x:v>AI and ML</x:v>
      </x:c>
      <x:c r="J154" s="115" t="str">
        <x:v>https://docs.cloud.google.com/docs/product-list</x:v>
      </x:c>
    </x:row>
    <x:row r="155">
      <x:c r="A155" s="116" t="str">
        <x:v>3. Data &amp; Intelligence</x:v>
      </x:c>
      <x:c r="B155" s="117" t="str">
        <x:v>13. Traditional AI/ML, MLOps &amp; Cognitive APIs</x:v>
      </x:c>
      <x:c r="C155" s="115" t="str">
        <x:v>Build, deploy and operate predictive models and consume prebuilt AI capabilities.</x:v>
      </x:c>
      <x:c r="D155" s="115" t="str">
        <x:v>Managed model training and distributed training</x:v>
      </x:c>
      <x:c r="E155" s="115" t="str">
        <x:v>What outcome and non-functional requirements justify managed model training and distributed training, and what is the simplest managed implementation?</x:v>
      </x:c>
      <x:c r="F155" s="115" t="str">
        <x:v>Adopt &amp; Build</x:v>
      </x:c>
      <x:c r="G155" s="115" t="str">
        <x:v>Machine Learning and Artificial Intelligence</x:v>
      </x:c>
      <x:c r="H155" s="115" t="str">
        <x:v>AI + Machine Learning</x:v>
      </x:c>
      <x:c r="I155" s="115" t="str">
        <x:v>AI and ML</x:v>
      </x:c>
      <x:c r="J155" s="115" t="str">
        <x:v>https://docs.cloud.google.com/docs/product-list</x:v>
      </x:c>
    </x:row>
    <x:row r="156">
      <x:c r="A156" s="116" t="str">
        <x:v>3. Data &amp; Intelligence</x:v>
      </x:c>
      <x:c r="B156" s="117" t="str">
        <x:v>13. Traditional AI/ML, MLOps &amp; Cognitive APIs</x:v>
      </x:c>
      <x:c r="C156" s="115" t="str">
        <x:v>Build, deploy and operate predictive models and consume prebuilt AI capabilities.</x:v>
      </x:c>
      <x:c r="D156" s="115" t="str">
        <x:v>Automated machine learning</x:v>
      </x:c>
      <x:c r="E156" s="115" t="str">
        <x:v>What outcome and non-functional requirements justify automated machine learning, and what is the simplest managed implementation?</x:v>
      </x:c>
      <x:c r="F156" s="115" t="str">
        <x:v>Adopt &amp; Build</x:v>
      </x:c>
      <x:c r="G156" s="115" t="str">
        <x:v>Machine Learning and Artificial Intelligence</x:v>
      </x:c>
      <x:c r="H156" s="115" t="str">
        <x:v>AI + Machine Learning</x:v>
      </x:c>
      <x:c r="I156" s="115" t="str">
        <x:v>AI and ML</x:v>
      </x:c>
      <x:c r="J156" s="115" t="str">
        <x:v>https://docs.cloud.google.com/docs/product-list</x:v>
      </x:c>
    </x:row>
    <x:row r="157">
      <x:c r="A157" s="116" t="str">
        <x:v>3. Data &amp; Intelligence</x:v>
      </x:c>
      <x:c r="B157" s="117" t="str">
        <x:v>13. Traditional AI/ML, MLOps &amp; Cognitive APIs</x:v>
      </x:c>
      <x:c r="C157" s="115" t="str">
        <x:v>Build, deploy and operate predictive models and consume prebuilt AI capabilities.</x:v>
      </x:c>
      <x:c r="D157" s="115" t="str">
        <x:v>ML pipelines and experiment management</x:v>
      </x:c>
      <x:c r="E157" s="115" t="str">
        <x:v>What outcome and non-functional requirements justify ml pipelines and experiment management, and what is the simplest managed implementation?</x:v>
      </x:c>
      <x:c r="F157" s="115" t="str">
        <x:v>Adopt &amp; Build</x:v>
      </x:c>
      <x:c r="G157" s="115" t="str">
        <x:v>Machine Learning and Artificial Intelligence</x:v>
      </x:c>
      <x:c r="H157" s="115" t="str">
        <x:v>AI + Machine Learning</x:v>
      </x:c>
      <x:c r="I157" s="115" t="str">
        <x:v>AI and ML</x:v>
      </x:c>
      <x:c r="J157" s="115" t="str">
        <x:v>https://docs.cloud.google.com/docs/product-list</x:v>
      </x:c>
    </x:row>
    <x:row r="158">
      <x:c r="A158" s="116" t="str">
        <x:v>3. Data &amp; Intelligence</x:v>
      </x:c>
      <x:c r="B158" s="117" t="str">
        <x:v>13. Traditional AI/ML, MLOps &amp; Cognitive APIs</x:v>
      </x:c>
      <x:c r="C158" s="115" t="str">
        <x:v>Build, deploy and operate predictive models and consume prebuilt AI capabilities.</x:v>
      </x:c>
      <x:c r="D158" s="115" t="str">
        <x:v>Model registry and model lifecycle</x:v>
      </x:c>
      <x:c r="E158" s="115" t="str">
        <x:v>What outcome and non-functional requirements justify model registry and model lifecycle, and what is the simplest managed implementation?</x:v>
      </x:c>
      <x:c r="F158" s="115" t="str">
        <x:v>Adopt &amp; Build</x:v>
      </x:c>
      <x:c r="G158" s="115" t="str">
        <x:v>Machine Learning and Artificial Intelligence</x:v>
      </x:c>
      <x:c r="H158" s="115" t="str">
        <x:v>AI + Machine Learning</x:v>
      </x:c>
      <x:c r="I158" s="115" t="str">
        <x:v>AI and ML</x:v>
      </x:c>
      <x:c r="J158" s="115" t="str">
        <x:v>https://docs.cloud.google.com/docs/product-list</x:v>
      </x:c>
    </x:row>
    <x:row r="159">
      <x:c r="A159" s="116" t="str">
        <x:v>3. Data &amp; Intelligence</x:v>
      </x:c>
      <x:c r="B159" s="117" t="str">
        <x:v>13. Traditional AI/ML, MLOps &amp; Cognitive APIs</x:v>
      </x:c>
      <x:c r="C159" s="115" t="str">
        <x:v>Build, deploy and operate predictive models and consume prebuilt AI capabilities.</x:v>
      </x:c>
      <x:c r="D159" s="115" t="str">
        <x:v>Feature stores</x:v>
      </x:c>
      <x:c r="E159" s="115" t="str">
        <x:v>What outcome and non-functional requirements justify feature stores, and what is the simplest managed implementation?</x:v>
      </x:c>
      <x:c r="F159" s="115" t="str">
        <x:v>Adopt &amp; Build</x:v>
      </x:c>
      <x:c r="G159" s="115" t="str">
        <x:v>Machine Learning and Artificial Intelligence</x:v>
      </x:c>
      <x:c r="H159" s="115" t="str">
        <x:v>AI + Machine Learning</x:v>
      </x:c>
      <x:c r="I159" s="115" t="str">
        <x:v>AI and ML</x:v>
      </x:c>
      <x:c r="J159" s="115" t="str">
        <x:v>https://docs.cloud.google.com/docs/product-list</x:v>
      </x:c>
    </x:row>
    <x:row r="160">
      <x:c r="A160" s="116" t="str">
        <x:v>3. Data &amp; Intelligence</x:v>
      </x:c>
      <x:c r="B160" s="117" t="str">
        <x:v>13. Traditional AI/ML, MLOps &amp; Cognitive APIs</x:v>
      </x:c>
      <x:c r="C160" s="115" t="str">
        <x:v>Build, deploy and operate predictive models and consume prebuilt AI capabilities.</x:v>
      </x:c>
      <x:c r="D160" s="115" t="str">
        <x:v>Online, serverless and batch inference</x:v>
      </x:c>
      <x:c r="E160" s="115" t="str">
        <x:v>What outcome and non-functional requirements justify online, serverless and batch inference, and what is the simplest managed implementation?</x:v>
      </x:c>
      <x:c r="F160" s="115" t="str">
        <x:v>Adopt &amp; Build</x:v>
      </x:c>
      <x:c r="G160" s="115" t="str">
        <x:v>Machine Learning and Artificial Intelligence</x:v>
      </x:c>
      <x:c r="H160" s="115" t="str">
        <x:v>AI + Machine Learning</x:v>
      </x:c>
      <x:c r="I160" s="115" t="str">
        <x:v>AI and ML</x:v>
      </x:c>
      <x:c r="J160" s="115" t="str">
        <x:v>https://docs.cloud.google.com/docs/product-list</x:v>
      </x:c>
    </x:row>
    <x:row r="161">
      <x:c r="A161" s="116" t="str">
        <x:v>3. Data &amp; Intelligence</x:v>
      </x:c>
      <x:c r="B161" s="117" t="str">
        <x:v>13. Traditional AI/ML, MLOps &amp; Cognitive APIs</x:v>
      </x:c>
      <x:c r="C161" s="115" t="str">
        <x:v>Build, deploy and operate predictive models and consume prebuilt AI capabilities.</x:v>
      </x:c>
      <x:c r="D161" s="115" t="str">
        <x:v>Model monitoring, drift and explainability</x:v>
      </x:c>
      <x:c r="E161" s="115" t="str">
        <x:v>What outcome and non-functional requirements justify model monitoring, drift and explainability, and what is the simplest managed implementation?</x:v>
      </x:c>
      <x:c r="F161" s="115" t="str">
        <x:v>Adopt &amp; Build</x:v>
      </x:c>
      <x:c r="G161" s="115" t="str">
        <x:v>Machine Learning and Artificial Intelligence</x:v>
      </x:c>
      <x:c r="H161" s="115" t="str">
        <x:v>AI + Machine Learning</x:v>
      </x:c>
      <x:c r="I161" s="115" t="str">
        <x:v>AI and ML</x:v>
      </x:c>
      <x:c r="J161" s="115" t="str">
        <x:v>https://docs.cloud.google.com/docs/product-list</x:v>
      </x:c>
    </x:row>
    <x:row r="162">
      <x:c r="A162" s="116" t="str">
        <x:v>3. Data &amp; Intelligence</x:v>
      </x:c>
      <x:c r="B162" s="117" t="str">
        <x:v>13. Traditional AI/ML, MLOps &amp; Cognitive APIs</x:v>
      </x:c>
      <x:c r="C162" s="115" t="str">
        <x:v>Build, deploy and operate predictive models and consume prebuilt AI capabilities.</x:v>
      </x:c>
      <x:c r="D162" s="115" t="str">
        <x:v>Recommendations and personalisation</x:v>
      </x:c>
      <x:c r="E162" s="115" t="str">
        <x:v>What outcome and non-functional requirements justify recommendations and personalisation, and what is the simplest managed implementation?</x:v>
      </x:c>
      <x:c r="F162" s="115" t="str">
        <x:v>Adopt &amp; Build</x:v>
      </x:c>
      <x:c r="G162" s="115" t="str">
        <x:v>Machine Learning and Artificial Intelligence</x:v>
      </x:c>
      <x:c r="H162" s="115" t="str">
        <x:v>AI + Machine Learning</x:v>
      </x:c>
      <x:c r="I162" s="115" t="str">
        <x:v>AI and ML</x:v>
      </x:c>
      <x:c r="J162" s="115" t="str">
        <x:v>https://docs.cloud.google.com/docs/product-list</x:v>
      </x:c>
    </x:row>
    <x:row r="163">
      <x:c r="A163" s="116" t="str">
        <x:v>3. Data &amp; Intelligence</x:v>
      </x:c>
      <x:c r="B163" s="117" t="str">
        <x:v>13. Traditional AI/ML, MLOps &amp; Cognitive APIs</x:v>
      </x:c>
      <x:c r="C163" s="115" t="str">
        <x:v>Build, deploy and operate predictive models and consume prebuilt AI capabilities.</x:v>
      </x:c>
      <x:c r="D163" s="115" t="str">
        <x:v>Forecasting, anomaly and fraud detection</x:v>
      </x:c>
      <x:c r="E163" s="115" t="str">
        <x:v>What outcome and non-functional requirements justify forecasting, anomaly and fraud detection, and what is the simplest managed implementation?</x:v>
      </x:c>
      <x:c r="F163" s="115" t="str">
        <x:v>Adopt &amp; Build</x:v>
      </x:c>
      <x:c r="G163" s="115" t="str">
        <x:v>Machine Learning and Artificial Intelligence</x:v>
      </x:c>
      <x:c r="H163" s="115" t="str">
        <x:v>AI + Machine Learning</x:v>
      </x:c>
      <x:c r="I163" s="115" t="str">
        <x:v>AI and ML</x:v>
      </x:c>
      <x:c r="J163" s="115" t="str">
        <x:v>https://docs.cloud.google.com/docs/product-list</x:v>
      </x:c>
    </x:row>
    <x:row r="164">
      <x:c r="A164" s="116" t="str">
        <x:v>3. Data &amp; Intelligence</x:v>
      </x:c>
      <x:c r="B164" s="117" t="str">
        <x:v>13. Traditional AI/ML, MLOps &amp; Cognitive APIs</x:v>
      </x:c>
      <x:c r="C164" s="115" t="str">
        <x:v>Build, deploy and operate predictive models and consume prebuilt AI capabilities.</x:v>
      </x:c>
      <x:c r="D164" s="115" t="str">
        <x:v>Natural-language processing and translation</x:v>
      </x:c>
      <x:c r="E164" s="115" t="str">
        <x:v>What outcome and non-functional requirements justify natural-language processing and translation, and what is the simplest managed implementation?</x:v>
      </x:c>
      <x:c r="F164" s="115" t="str">
        <x:v>Adopt &amp; Build</x:v>
      </x:c>
      <x:c r="G164" s="115" t="str">
        <x:v>Machine Learning and Artificial Intelligence</x:v>
      </x:c>
      <x:c r="H164" s="115" t="str">
        <x:v>AI + Machine Learning</x:v>
      </x:c>
      <x:c r="I164" s="115" t="str">
        <x:v>AI and ML</x:v>
      </x:c>
      <x:c r="J164" s="115" t="str">
        <x:v>https://docs.cloud.google.com/docs/product-list</x:v>
      </x:c>
    </x:row>
    <x:row r="165">
      <x:c r="A165" s="116" t="str">
        <x:v>3. Data &amp; Intelligence</x:v>
      </x:c>
      <x:c r="B165" s="117" t="str">
        <x:v>13. Traditional AI/ML, MLOps &amp; Cognitive APIs</x:v>
      </x:c>
      <x:c r="C165" s="115" t="str">
        <x:v>Build, deploy and operate predictive models and consume prebuilt AI capabilities.</x:v>
      </x:c>
      <x:c r="D165" s="115" t="str">
        <x:v>Speech recognition and synthesis</x:v>
      </x:c>
      <x:c r="E165" s="115" t="str">
        <x:v>What outcome and non-functional requirements justify speech recognition and synthesis, and what is the simplest managed implementation?</x:v>
      </x:c>
      <x:c r="F165" s="115" t="str">
        <x:v>Adopt &amp; Build</x:v>
      </x:c>
      <x:c r="G165" s="115" t="str">
        <x:v>Machine Learning and Artificial Intelligence</x:v>
      </x:c>
      <x:c r="H165" s="115" t="str">
        <x:v>AI + Machine Learning</x:v>
      </x:c>
      <x:c r="I165" s="115" t="str">
        <x:v>AI and ML</x:v>
      </x:c>
      <x:c r="J165" s="115" t="str">
        <x:v>https://docs.cloud.google.com/docs/product-list</x:v>
      </x:c>
    </x:row>
    <x:row r="166">
      <x:c r="A166" s="116" t="str">
        <x:v>3. Data &amp; Intelligence</x:v>
      </x:c>
      <x:c r="B166" s="117" t="str">
        <x:v>13. Traditional AI/ML, MLOps &amp; Cognitive APIs</x:v>
      </x:c>
      <x:c r="C166" s="115" t="str">
        <x:v>Build, deploy and operate predictive models and consume prebuilt AI capabilities.</x:v>
      </x:c>
      <x:c r="D166" s="115" t="str">
        <x:v>Image, video and document intelligence</x:v>
      </x:c>
      <x:c r="E166" s="115" t="str">
        <x:v>What outcome and non-functional requirements justify image, video and document intelligence, and what is the simplest managed implementation?</x:v>
      </x:c>
      <x:c r="F166" s="115" t="str">
        <x:v>Adopt &amp; Build</x:v>
      </x:c>
      <x:c r="G166" s="115" t="str">
        <x:v>Machine Learning and Artificial Intelligence</x:v>
      </x:c>
      <x:c r="H166" s="115" t="str">
        <x:v>AI + Machine Learning</x:v>
      </x:c>
      <x:c r="I166" s="115" t="str">
        <x:v>AI and ML</x:v>
      </x:c>
      <x:c r="J166" s="115" t="str">
        <x:v>https://docs.cloud.google.com/docs/product-list</x:v>
      </x:c>
    </x:row>
    <x:row r="167">
      <x:c r="A167" s="116" t="str">
        <x:v>3. Data &amp; Intelligence</x:v>
      </x:c>
      <x:c r="B167" s="117" t="str">
        <x:v>13. Traditional AI/ML, MLOps &amp; Cognitive APIs</x:v>
      </x:c>
      <x:c r="C167" s="115" t="str">
        <x:v>Build, deploy and operate predictive models and consume prebuilt AI capabilities.</x:v>
      </x:c>
      <x:c r="D167" s="115" t="str">
        <x:v>Conversational bots and contact-centre AI</x:v>
      </x:c>
      <x:c r="E167" s="115" t="str">
        <x:v>What outcome and non-functional requirements justify conversational bots and contact-centre ai, and what is the simplest managed implementation?</x:v>
      </x:c>
      <x:c r="F167" s="115" t="str">
        <x:v>Adopt &amp; Build</x:v>
      </x:c>
      <x:c r="G167" s="115" t="str">
        <x:v>Machine Learning and Artificial Intelligence</x:v>
      </x:c>
      <x:c r="H167" s="115" t="str">
        <x:v>AI + Machine Learning</x:v>
      </x:c>
      <x:c r="I167" s="115" t="str">
        <x:v>AI and ML</x:v>
      </x:c>
      <x:c r="J167" s="115" t="str">
        <x:v>https://docs.cloud.google.com/docs/product-list</x:v>
      </x:c>
    </x:row>
    <x:row r="168">
      <x:c r="A168" s="116" t="str">
        <x:v>3. Data &amp; Intelligence</x:v>
      </x:c>
      <x:c r="B168" s="117" t="str">
        <x:v>13. Traditional AI/ML, MLOps &amp; Cognitive APIs</x:v>
      </x:c>
      <x:c r="C168" s="115" t="str">
        <x:v>Build, deploy and operate predictive models and consume prebuilt AI capabilities.</x:v>
      </x:c>
      <x:c r="D168" s="115" t="str">
        <x:v>Healthcare and industry-specific ML</x:v>
      </x:c>
      <x:c r="E168" s="115" t="str">
        <x:v>What outcome and non-functional requirements justify healthcare and industry-specific ml, and what is the simplest managed implementation?</x:v>
      </x:c>
      <x:c r="F168" s="115" t="str">
        <x:v>Adopt &amp; Build</x:v>
      </x:c>
      <x:c r="G168" s="115" t="str">
        <x:v>Machine Learning and Artificial Intelligence</x:v>
      </x:c>
      <x:c r="H168" s="115" t="str">
        <x:v>AI + Machine Learning</x:v>
      </x:c>
      <x:c r="I168" s="115" t="str">
        <x:v>AI and ML</x:v>
      </x:c>
      <x:c r="J168" s="115" t="str">
        <x:v>https://docs.cloud.google.com/docs/product-list</x:v>
      </x:c>
    </x:row>
    <x:row r="169">
      <x:c r="A169" s="116" t="str">
        <x:v>3. Data &amp; Intelligence</x:v>
      </x:c>
      <x:c r="B169" s="117" t="str">
        <x:v>14. Generative AI, Agents, RAG, AI Safety &amp; Governance</x:v>
      </x:c>
      <x:c r="C169" s="115" t="str">
        <x:v>Build grounded and governed generative-AI systems, agents and intelligent enterprise experiences.</x:v>
      </x:c>
      <x:c r="D169" s="115" t="str">
        <x:v>Managed foundation-model platform</x:v>
      </x:c>
      <x:c r="E169" s="115" t="str">
        <x:v>What outcome and non-functional requirements justify managed foundation-model platform, and what is the simplest managed implementation?</x:v>
      </x:c>
      <x:c r="F169" s="115" t="str">
        <x:v>Adopt &amp; Build</x:v>
      </x:c>
      <x:c r="G169" s="115" t="str">
        <x:v>Machine Learning and Artificial Intelligence</x:v>
      </x:c>
      <x:c r="H169" s="115" t="str">
        <x:v>AI + Machine Learning</x:v>
      </x:c>
      <x:c r="I169" s="115" t="str">
        <x:v>AI and ML</x:v>
      </x:c>
      <x:c r="J169" s="115" t="str">
        <x:v>https://docs.cloud.google.com/docs/product-list</x:v>
      </x:c>
    </x:row>
    <x:row r="170">
      <x:c r="A170" s="116" t="str">
        <x:v>3. Data &amp; Intelligence</x:v>
      </x:c>
      <x:c r="B170" s="117" t="str">
        <x:v>14. Generative AI, Agents, RAG, AI Safety &amp; Governance</x:v>
      </x:c>
      <x:c r="C170" s="115" t="str">
        <x:v>Build grounded and governed generative-AI systems, agents and intelligent enterprise experiences.</x:v>
      </x:c>
      <x:c r="D170" s="115" t="str">
        <x:v>Provider foundation models and model catalogue</x:v>
      </x:c>
      <x:c r="E170" s="115" t="str">
        <x:v>What outcome and non-functional requirements justify provider foundation models and model catalogue, and what is the simplest managed implementation?</x:v>
      </x:c>
      <x:c r="F170" s="115" t="str">
        <x:v>Adopt &amp; Build</x:v>
      </x:c>
      <x:c r="G170" s="115" t="str">
        <x:v>Machine Learning and Artificial Intelligence</x:v>
      </x:c>
      <x:c r="H170" s="115" t="str">
        <x:v>AI + Machine Learning</x:v>
      </x:c>
      <x:c r="I170" s="115" t="str">
        <x:v>AI and ML</x:v>
      </x:c>
      <x:c r="J170" s="115" t="str">
        <x:v>https://docs.cloud.google.com/docs/product-list</x:v>
      </x:c>
    </x:row>
    <x:row r="171">
      <x:c r="A171" s="116" t="str">
        <x:v>3. Data &amp; Intelligence</x:v>
      </x:c>
      <x:c r="B171" s="117" t="str">
        <x:v>14. Generative AI, Agents, RAG, AI Safety &amp; Governance</x:v>
      </x:c>
      <x:c r="C171" s="115" t="str">
        <x:v>Build grounded and governed generative-AI systems, agents and intelligent enterprise experiences.</x:v>
      </x:c>
      <x:c r="D171" s="115" t="str">
        <x:v>Model routing, serving and inference optimisation</x:v>
      </x:c>
      <x:c r="E171" s="115" t="str">
        <x:v>What outcome and non-functional requirements justify model routing, serving and inference optimisation, and what is the simplest managed implementation?</x:v>
      </x:c>
      <x:c r="F171" s="115" t="str">
        <x:v>Adopt &amp; Build</x:v>
      </x:c>
      <x:c r="G171" s="115" t="str">
        <x:v>Machine Learning and Artificial Intelligence</x:v>
      </x:c>
      <x:c r="H171" s="115" t="str">
        <x:v>AI + Machine Learning</x:v>
      </x:c>
      <x:c r="I171" s="115" t="str">
        <x:v>AI and ML</x:v>
      </x:c>
      <x:c r="J171" s="115" t="str">
        <x:v>https://docs.cloud.google.com/docs/product-list</x:v>
      </x:c>
    </x:row>
    <x:row r="172">
      <x:c r="A172" s="116" t="str">
        <x:v>3. Data &amp; Intelligence</x:v>
      </x:c>
      <x:c r="B172" s="117" t="str">
        <x:v>14. Generative AI, Agents, RAG, AI Safety &amp; Governance</x:v>
      </x:c>
      <x:c r="C172" s="115" t="str">
        <x:v>Build grounded and governed generative-AI systems, agents and intelligent enterprise experiences.</x:v>
      </x:c>
      <x:c r="D172" s="115" t="str">
        <x:v>Fine-tuning, adaptation and custom models</x:v>
      </x:c>
      <x:c r="E172" s="115" t="str">
        <x:v>What outcome and non-functional requirements justify fine-tuning, adaptation and custom models, and what is the simplest managed implementation?</x:v>
      </x:c>
      <x:c r="F172" s="115" t="str">
        <x:v>Adopt &amp; Build</x:v>
      </x:c>
      <x:c r="G172" s="115" t="str">
        <x:v>Machine Learning and Artificial Intelligence</x:v>
      </x:c>
      <x:c r="H172" s="115" t="str">
        <x:v>AI + Machine Learning</x:v>
      </x:c>
      <x:c r="I172" s="115" t="str">
        <x:v>AI and ML</x:v>
      </x:c>
      <x:c r="J172" s="115" t="str">
        <x:v>https://docs.cloud.google.com/docs/product-list</x:v>
      </x:c>
    </x:row>
    <x:row r="173">
      <x:c r="A173" s="116" t="str">
        <x:v>3. Data &amp; Intelligence</x:v>
      </x:c>
      <x:c r="B173" s="117" t="str">
        <x:v>14. Generative AI, Agents, RAG, AI Safety &amp; Governance</x:v>
      </x:c>
      <x:c r="C173" s="115" t="str">
        <x:v>Build grounded and governed generative-AI systems, agents and intelligent enterprise experiences.</x:v>
      </x:c>
      <x:c r="D173" s="115" t="str">
        <x:v>Prompt development, versioning and orchestration</x:v>
      </x:c>
      <x:c r="E173" s="115" t="str">
        <x:v>What outcome and non-functional requirements justify prompt development, versioning and orchestration, and what is the simplest managed implementation?</x:v>
      </x:c>
      <x:c r="F173" s="115" t="str">
        <x:v>Adopt &amp; Build</x:v>
      </x:c>
      <x:c r="G173" s="115" t="str">
        <x:v>Machine Learning and Artificial Intelligence</x:v>
      </x:c>
      <x:c r="H173" s="115" t="str">
        <x:v>AI + Machine Learning</x:v>
      </x:c>
      <x:c r="I173" s="115" t="str">
        <x:v>AI and ML</x:v>
      </x:c>
      <x:c r="J173" s="115" t="str">
        <x:v>https://docs.cloud.google.com/docs/product-list</x:v>
      </x:c>
    </x:row>
    <x:row r="174">
      <x:c r="A174" s="116" t="str">
        <x:v>3. Data &amp; Intelligence</x:v>
      </x:c>
      <x:c r="B174" s="117" t="str">
        <x:v>14. Generative AI, Agents, RAG, AI Safety &amp; Governance</x:v>
      </x:c>
      <x:c r="C174" s="115" t="str">
        <x:v>Build grounded and governed generative-AI systems, agents and intelligent enterprise experiences.</x:v>
      </x:c>
      <x:c r="D174" s="115" t="str">
        <x:v>Knowledge bases and retrieval-augmented generation</x:v>
      </x:c>
      <x:c r="E174" s="115" t="str">
        <x:v>What outcome and non-functional requirements justify knowledge bases and retrieval-augmented generation, and what is the simplest managed implementation?</x:v>
      </x:c>
      <x:c r="F174" s="115" t="str">
        <x:v>Adopt &amp; Build</x:v>
      </x:c>
      <x:c r="G174" s="115" t="str">
        <x:v>Machine Learning and Artificial Intelligence</x:v>
      </x:c>
      <x:c r="H174" s="115" t="str">
        <x:v>AI + Machine Learning</x:v>
      </x:c>
      <x:c r="I174" s="115" t="str">
        <x:v>AI and ML</x:v>
      </x:c>
      <x:c r="J174" s="115" t="str">
        <x:v>https://docs.cloud.google.com/docs/product-list</x:v>
      </x:c>
    </x:row>
    <x:row r="175">
      <x:c r="A175" s="116" t="str">
        <x:v>3. Data &amp; Intelligence</x:v>
      </x:c>
      <x:c r="B175" s="117" t="str">
        <x:v>14. Generative AI, Agents, RAG, AI Safety &amp; Governance</x:v>
      </x:c>
      <x:c r="C175" s="115" t="str">
        <x:v>Build grounded and governed generative-AI systems, agents and intelligent enterprise experiences.</x:v>
      </x:c>
      <x:c r="D175" s="115" t="str">
        <x:v>Enterprise search and grounding</x:v>
      </x:c>
      <x:c r="E175" s="115" t="str">
        <x:v>What outcome and non-functional requirements justify enterprise search and grounding, and what is the simplest managed implementation?</x:v>
      </x:c>
      <x:c r="F175" s="115" t="str">
        <x:v>Adopt &amp; Build</x:v>
      </x:c>
      <x:c r="G175" s="115" t="str">
        <x:v>Machine Learning and Artificial Intelligence</x:v>
      </x:c>
      <x:c r="H175" s="115" t="str">
        <x:v>AI + Machine Learning</x:v>
      </x:c>
      <x:c r="I175" s="115" t="str">
        <x:v>AI and ML</x:v>
      </x:c>
      <x:c r="J175" s="115" t="str">
        <x:v>https://docs.cloud.google.com/docs/product-list</x:v>
      </x:c>
    </x:row>
    <x:row r="176">
      <x:c r="A176" s="116" t="str">
        <x:v>3. Data &amp; Intelligence</x:v>
      </x:c>
      <x:c r="B176" s="117" t="str">
        <x:v>14. Generative AI, Agents, RAG, AI Safety &amp; Governance</x:v>
      </x:c>
      <x:c r="C176" s="115" t="str">
        <x:v>Build grounded and governed generative-AI systems, agents and intelligent enterprise experiences.</x:v>
      </x:c>
      <x:c r="D176" s="115" t="str">
        <x:v>Vector search and embedding infrastructure</x:v>
      </x:c>
      <x:c r="E176" s="115" t="str">
        <x:v>What outcome and non-functional requirements justify vector search and embedding infrastructure, and what is the simplest managed implementation?</x:v>
      </x:c>
      <x:c r="F176" s="115" t="str">
        <x:v>Adopt &amp; Build</x:v>
      </x:c>
      <x:c r="G176" s="115" t="str">
        <x:v>Machine Learning and Artificial Intelligence</x:v>
      </x:c>
      <x:c r="H176" s="115" t="str">
        <x:v>AI + Machine Learning</x:v>
      </x:c>
      <x:c r="I176" s="115" t="str">
        <x:v>AI and ML</x:v>
      </x:c>
      <x:c r="J176" s="115" t="str">
        <x:v>https://docs.cloud.google.com/docs/product-list</x:v>
      </x:c>
    </x:row>
    <x:row r="177">
      <x:c r="A177" s="116" t="str">
        <x:v>3. Data &amp; Intelligence</x:v>
      </x:c>
      <x:c r="B177" s="117" t="str">
        <x:v>14. Generative AI, Agents, RAG, AI Safety &amp; Governance</x:v>
      </x:c>
      <x:c r="C177" s="115" t="str">
        <x:v>Build grounded and governed generative-AI systems, agents and intelligent enterprise experiences.</x:v>
      </x:c>
      <x:c r="D177" s="115" t="str">
        <x:v>Agent development, runtime and tool calling</x:v>
      </x:c>
      <x:c r="E177" s="115" t="str">
        <x:v>What outcome and non-functional requirements justify agent development, runtime and tool calling, and what is the simplest managed implementation?</x:v>
      </x:c>
      <x:c r="F177" s="115" t="str">
        <x:v>Adopt &amp; Build</x:v>
      </x:c>
      <x:c r="G177" s="115" t="str">
        <x:v>Machine Learning and Artificial Intelligence</x:v>
      </x:c>
      <x:c r="H177" s="115" t="str">
        <x:v>AI + Machine Learning</x:v>
      </x:c>
      <x:c r="I177" s="115" t="str">
        <x:v>AI and ML</x:v>
      </x:c>
      <x:c r="J177" s="115" t="str">
        <x:v>https://docs.cloud.google.com/docs/product-list</x:v>
      </x:c>
    </x:row>
    <x:row r="178">
      <x:c r="A178" s="116" t="str">
        <x:v>3. Data &amp; Intelligence</x:v>
      </x:c>
      <x:c r="B178" s="117" t="str">
        <x:v>14. Generative AI, Agents, RAG, AI Safety &amp; Governance</x:v>
      </x:c>
      <x:c r="C178" s="115" t="str">
        <x:v>Build grounded and governed generative-AI systems, agents and intelligent enterprise experiences.</x:v>
      </x:c>
      <x:c r="D178" s="115" t="str">
        <x:v>Multi-agent orchestration and agent gateways</x:v>
      </x:c>
      <x:c r="E178" s="115" t="str">
        <x:v>What outcome and non-functional requirements justify multi-agent orchestration and agent gateways, and what is the simplest managed implementation?</x:v>
      </x:c>
      <x:c r="F178" s="115" t="str">
        <x:v>Adopt &amp; Build</x:v>
      </x:c>
      <x:c r="G178" s="115" t="str">
        <x:v>Machine Learning and Artificial Intelligence</x:v>
      </x:c>
      <x:c r="H178" s="115" t="str">
        <x:v>AI + Machine Learning</x:v>
      </x:c>
      <x:c r="I178" s="115" t="str">
        <x:v>AI and ML</x:v>
      </x:c>
      <x:c r="J178" s="115" t="str">
        <x:v>https://docs.cloud.google.com/docs/product-list</x:v>
      </x:c>
    </x:row>
    <x:row r="179">
      <x:c r="A179" s="116" t="str">
        <x:v>3. Data &amp; Intelligence</x:v>
      </x:c>
      <x:c r="B179" s="117" t="str">
        <x:v>14. Generative AI, Agents, RAG, AI Safety &amp; Governance</x:v>
      </x:c>
      <x:c r="C179" s="115" t="str">
        <x:v>Build grounded and governed generative-AI systems, agents and intelligent enterprise experiences.</x:v>
      </x:c>
      <x:c r="D179" s="115" t="str">
        <x:v>Agent memory, identity and permissions</x:v>
      </x:c>
      <x:c r="E179" s="115" t="str">
        <x:v>What outcome and non-functional requirements justify agent memory, identity and permissions, and what is the simplest managed implementation?</x:v>
      </x:c>
      <x:c r="F179" s="115" t="str">
        <x:v>Adopt &amp; Build</x:v>
      </x:c>
      <x:c r="G179" s="115" t="str">
        <x:v>Machine Learning and Artificial Intelligence</x:v>
      </x:c>
      <x:c r="H179" s="115" t="str">
        <x:v>AI + Machine Learning</x:v>
      </x:c>
      <x:c r="I179" s="115" t="str">
        <x:v>AI and ML</x:v>
      </x:c>
      <x:c r="J179" s="115" t="str">
        <x:v>https://docs.cloud.google.com/docs/product-list</x:v>
      </x:c>
    </x:row>
    <x:row r="180">
      <x:c r="A180" s="116" t="str">
        <x:v>3. Data &amp; Intelligence</x:v>
      </x:c>
      <x:c r="B180" s="117" t="str">
        <x:v>14. Generative AI, Agents, RAG, AI Safety &amp; Governance</x:v>
      </x:c>
      <x:c r="C180" s="115" t="str">
        <x:v>Build grounded and governed generative-AI systems, agents and intelligent enterprise experiences.</x:v>
      </x:c>
      <x:c r="D180" s="115" t="str">
        <x:v>AI evaluation, benchmarking and red teaming</x:v>
      </x:c>
      <x:c r="E180" s="115" t="str">
        <x:v>What outcome and non-functional requirements justify ai evaluation, benchmarking and red teaming, and what is the simplest managed implementation?</x:v>
      </x:c>
      <x:c r="F180" s="115" t="str">
        <x:v>Adopt &amp; Build</x:v>
      </x:c>
      <x:c r="G180" s="115" t="str">
        <x:v>Machine Learning and Artificial Intelligence</x:v>
      </x:c>
      <x:c r="H180" s="115" t="str">
        <x:v>AI + Machine Learning</x:v>
      </x:c>
      <x:c r="I180" s="115" t="str">
        <x:v>AI and ML</x:v>
      </x:c>
      <x:c r="J180" s="115" t="str">
        <x:v>https://docs.cloud.google.com/docs/product-list</x:v>
      </x:c>
    </x:row>
    <x:row r="181">
      <x:c r="A181" s="116" t="str">
        <x:v>3. Data &amp; Intelligence</x:v>
      </x:c>
      <x:c r="B181" s="117" t="str">
        <x:v>14. Generative AI, Agents, RAG, AI Safety &amp; Governance</x:v>
      </x:c>
      <x:c r="C181" s="115" t="str">
        <x:v>Build grounded and governed generative-AI systems, agents and intelligent enterprise experiences.</x:v>
      </x:c>
      <x:c r="D181" s="115" t="str">
        <x:v>Guardrails, content safety and policy enforcement</x:v>
      </x:c>
      <x:c r="E181" s="115" t="str">
        <x:v>What outcome and non-functional requirements justify guardrails, content safety and policy enforcement, and what is the simplest managed implementation?</x:v>
      </x:c>
      <x:c r="F181" s="115" t="str">
        <x:v>Adopt &amp; Build</x:v>
      </x:c>
      <x:c r="G181" s="115" t="str">
        <x:v>Machine Learning and Artificial Intelligence</x:v>
      </x:c>
      <x:c r="H181" s="115" t="str">
        <x:v>AI + Machine Learning</x:v>
      </x:c>
      <x:c r="I181" s="115" t="str">
        <x:v>AI and ML</x:v>
      </x:c>
      <x:c r="J181" s="115" t="str">
        <x:v>https://docs.cloud.google.com/docs/product-list</x:v>
      </x:c>
    </x:row>
    <x:row r="182">
      <x:c r="A182" s="116" t="str">
        <x:v>3. Data &amp; Intelligence</x:v>
      </x:c>
      <x:c r="B182" s="117" t="str">
        <x:v>14. Generative AI, Agents, RAG, AI Safety &amp; Governance</x:v>
      </x:c>
      <x:c r="C182" s="115" t="str">
        <x:v>Build grounded and governed generative-AI systems, agents and intelligent enterprise experiences.</x:v>
      </x:c>
      <x:c r="D182" s="115" t="str">
        <x:v>Prompt-injection and jailbreak protection</x:v>
      </x:c>
      <x:c r="E182" s="115" t="str">
        <x:v>What outcome and non-functional requirements justify prompt-injection and jailbreak protection, and what is the simplest managed implementation?</x:v>
      </x:c>
      <x:c r="F182" s="115" t="str">
        <x:v>Adopt &amp; Build</x:v>
      </x:c>
      <x:c r="G182" s="115" t="str">
        <x:v>Machine Learning and Artificial Intelligence</x:v>
      </x:c>
      <x:c r="H182" s="115" t="str">
        <x:v>AI + Machine Learning</x:v>
      </x:c>
      <x:c r="I182" s="115" t="str">
        <x:v>AI and ML</x:v>
      </x:c>
      <x:c r="J182" s="115" t="str">
        <x:v>https://docs.cloud.google.com/docs/product-list</x:v>
      </x:c>
    </x:row>
    <x:row r="183">
      <x:c r="A183" s="116" t="str">
        <x:v>3. Data &amp; Intelligence</x:v>
      </x:c>
      <x:c r="B183" s="117" t="str">
        <x:v>14. Generative AI, Agents, RAG, AI Safety &amp; Governance</x:v>
      </x:c>
      <x:c r="C183" s="115" t="str">
        <x:v>Build grounded and governed generative-AI systems, agents and intelligent enterprise experiences.</x:v>
      </x:c>
      <x:c r="D183" s="115" t="str">
        <x:v>AI observability, tracing and token economics</x:v>
      </x:c>
      <x:c r="E183" s="115" t="str">
        <x:v>What outcome and non-functional requirements justify ai observability, tracing and token economics, and what is the simplest managed implementation?</x:v>
      </x:c>
      <x:c r="F183" s="115" t="str">
        <x:v>Adopt &amp; Build</x:v>
      </x:c>
      <x:c r="G183" s="115" t="str">
        <x:v>Machine Learning and Artificial Intelligence</x:v>
      </x:c>
      <x:c r="H183" s="115" t="str">
        <x:v>AI + Machine Learning</x:v>
      </x:c>
      <x:c r="I183" s="115" t="str">
        <x:v>AI and ML</x:v>
      </x:c>
      <x:c r="J183" s="115" t="str">
        <x:v>https://docs.cloud.google.com/docs/product-list</x:v>
      </x:c>
    </x:row>
    <x:row r="184">
      <x:c r="A184" s="116" t="str">
        <x:v>3. Data &amp; Intelligence</x:v>
      </x:c>
      <x:c r="B184" s="117" t="str">
        <x:v>14. Generative AI, Agents, RAG, AI Safety &amp; Governance</x:v>
      </x:c>
      <x:c r="C184" s="115" t="str">
        <x:v>Build grounded and governed generative-AI systems, agents and intelligent enterprise experiences.</x:v>
      </x:c>
      <x:c r="D184" s="115" t="str">
        <x:v>AI governance, inventory and model risk</x:v>
      </x:c>
      <x:c r="E184" s="115" t="str">
        <x:v>What outcome and non-functional requirements justify ai governance, inventory and model risk, and what is the simplest managed implementation?</x:v>
      </x:c>
      <x:c r="F184" s="115" t="str">
        <x:v>Adopt &amp; Build</x:v>
      </x:c>
      <x:c r="G184" s="115" t="str">
        <x:v>Machine Learning and Artificial Intelligence</x:v>
      </x:c>
      <x:c r="H184" s="115" t="str">
        <x:v>AI + Machine Learning</x:v>
      </x:c>
      <x:c r="I184" s="115" t="str">
        <x:v>AI and ML</x:v>
      </x:c>
      <x:c r="J184" s="115" t="str">
        <x:v>https://docs.cloud.google.com/docs/product-list</x:v>
      </x:c>
    </x:row>
    <x:row r="185">
      <x:c r="A185" s="116" t="str">
        <x:v>3. Data &amp; Intelligence</x:v>
      </x:c>
      <x:c r="B185" s="117" t="str">
        <x:v>14. Generative AI, Agents, RAG, AI Safety &amp; Governance</x:v>
      </x:c>
      <x:c r="C185" s="115" t="str">
        <x:v>Build grounded and governed generative-AI systems, agents and intelligent enterprise experiences.</x:v>
      </x:c>
      <x:c r="D185" s="115" t="str">
        <x:v>Responsible AI, fairness and explainability</x:v>
      </x:c>
      <x:c r="E185" s="115" t="str">
        <x:v>What outcome and non-functional requirements justify responsible ai, fairness and explainability, and what is the simplest managed implementation?</x:v>
      </x:c>
      <x:c r="F185" s="115" t="str">
        <x:v>Adopt &amp; Build</x:v>
      </x:c>
      <x:c r="G185" s="115" t="str">
        <x:v>Machine Learning and Artificial Intelligence</x:v>
      </x:c>
      <x:c r="H185" s="115" t="str">
        <x:v>AI + Machine Learning</x:v>
      </x:c>
      <x:c r="I185" s="115" t="str">
        <x:v>AI and ML</x:v>
      </x:c>
      <x:c r="J185" s="115" t="str">
        <x:v>https://docs.cloud.google.com/docs/product-list</x:v>
      </x:c>
    </x:row>
    <x:row r="186">
      <x:c r="A186" s="116" t="str">
        <x:v>3. Data &amp; Intelligence</x:v>
      </x:c>
      <x:c r="B186" s="117" t="str">
        <x:v>14. Generative AI, Agents, RAG, AI Safety &amp; Governance</x:v>
      </x:c>
      <x:c r="C186" s="115" t="str">
        <x:v>Build grounded and governed generative-AI systems, agents and intelligent enterprise experiences.</x:v>
      </x:c>
      <x:c r="D186" s="115" t="str">
        <x:v>Synthetic data, image, video and speech generation</x:v>
      </x:c>
      <x:c r="E186" s="115" t="str">
        <x:v>What outcome and non-functional requirements justify synthetic data, image, video and speech generation, and what is the simplest managed implementation?</x:v>
      </x:c>
      <x:c r="F186" s="115" t="str">
        <x:v>Adopt &amp; Build</x:v>
      </x:c>
      <x:c r="G186" s="115" t="str">
        <x:v>Machine Learning and Artificial Intelligence</x:v>
      </x:c>
      <x:c r="H186" s="115" t="str">
        <x:v>AI + Machine Learning</x:v>
      </x:c>
      <x:c r="I186" s="115" t="str">
        <x:v>AI and ML</x:v>
      </x:c>
      <x:c r="J186" s="115" t="str">
        <x:v>https://docs.cloud.google.com/docs/product-list</x:v>
      </x:c>
    </x:row>
    <x:row r="187">
      <x:c r="A187" s="116" t="str">
        <x:v>3. Data &amp; Intelligence</x:v>
      </x:c>
      <x:c r="B187" s="117" t="str">
        <x:v>14. Generative AI, Agents, RAG, AI Safety &amp; Governance</x:v>
      </x:c>
      <x:c r="C187" s="115" t="str">
        <x:v>Build grounded and governed generative-AI systems, agents and intelligent enterprise experiences.</x:v>
      </x:c>
      <x:c r="D187" s="115" t="str">
        <x:v>AI coding assistants and enterprise copilots</x:v>
      </x:c>
      <x:c r="E187" s="115" t="str">
        <x:v>What outcome and non-functional requirements justify ai coding assistants and enterprise copilots, and what is the simplest managed implementation?</x:v>
      </x:c>
      <x:c r="F187" s="115" t="str">
        <x:v>Adopt &amp; Build</x:v>
      </x:c>
      <x:c r="G187" s="115" t="str">
        <x:v>Machine Learning and Artificial Intelligence</x:v>
      </x:c>
      <x:c r="H187" s="115" t="str">
        <x:v>AI + Machine Learning</x:v>
      </x:c>
      <x:c r="I187" s="115" t="str">
        <x:v>AI and ML</x:v>
      </x:c>
      <x:c r="J187" s="115" t="str">
        <x:v>https://docs.cloud.google.com/docs/product-list</x:v>
      </x:c>
    </x:row>
    <x:row r="188">
      <x:c r="A188" s="116" t="str">
        <x:v>4. Applications &amp; Experience</x:v>
      </x:c>
      <x:c r="B188" s="117" t="str">
        <x:v>15. Application Development, Web, Mobile, Frontend &amp; Low-Code</x:v>
      </x:c>
      <x:c r="C188" s="115" t="str">
        <x:v>Create user-facing and internal applications with suitable developer control and delivery speed.</x:v>
      </x:c>
      <x:c r="D188" s="115" t="str">
        <x:v>Web application development and hosting</x:v>
      </x:c>
      <x:c r="E188" s="115" t="str">
        <x:v>What outcome and non-functional requirements justify web application development and hosting, and what is the simplest managed implementation?</x:v>
      </x:c>
      <x:c r="F188" s="115" t="str">
        <x:v>Adopt &amp; Build</x:v>
      </x:c>
      <x:c r="G188" s="115" t="str">
        <x:v>Front-end web and mobile / Business applications</x:v>
      </x:c>
      <x:c r="H188" s="115" t="str">
        <x:v>Web / Mobile / Developer Tools</x:v>
      </x:c>
      <x:c r="I188" s="115" t="str">
        <x:v>Application development / Application hosting</x:v>
      </x:c>
      <x:c r="J188" s="115" t="str">
        <x:v>https://aws.amazon.com/appstudio/</x:v>
      </x:c>
    </x:row>
    <x:row r="189">
      <x:c r="A189" s="116" t="str">
        <x:v>4. Applications &amp; Experience</x:v>
      </x:c>
      <x:c r="B189" s="117" t="str">
        <x:v>15. Application Development, Web, Mobile, Frontend &amp; Low-Code</x:v>
      </x:c>
      <x:c r="C189" s="115" t="str">
        <x:v>Create user-facing and internal applications with suitable developer control and delivery speed.</x:v>
      </x:c>
      <x:c r="D189" s="115" t="str">
        <x:v>Mobile application development and backend services</x:v>
      </x:c>
      <x:c r="E189" s="115" t="str">
        <x:v>What outcome and non-functional requirements justify mobile application development and backend services, and what is the simplest managed implementation?</x:v>
      </x:c>
      <x:c r="F189" s="115" t="str">
        <x:v>Adopt &amp; Build</x:v>
      </x:c>
      <x:c r="G189" s="115" t="str">
        <x:v>Front-end web and mobile / Business applications</x:v>
      </x:c>
      <x:c r="H189" s="115" t="str">
        <x:v>Web / Mobile / Developer Tools</x:v>
      </x:c>
      <x:c r="I189" s="115" t="str">
        <x:v>Application development / Application hosting</x:v>
      </x:c>
      <x:c r="J189" s="115" t="str">
        <x:v>https://aws.amazon.com/appstudio/</x:v>
      </x:c>
    </x:row>
    <x:row r="190">
      <x:c r="A190" s="116" t="str">
        <x:v>4. Applications &amp; Experience</x:v>
      </x:c>
      <x:c r="B190" s="117" t="str">
        <x:v>15. Application Development, Web, Mobile, Frontend &amp; Low-Code</x:v>
      </x:c>
      <x:c r="C190" s="115" t="str">
        <x:v>Create user-facing and internal applications with suitable developer control and delivery speed.</x:v>
      </x:c>
      <x:c r="D190" s="115" t="str">
        <x:v>Front-end frameworks and hosting</x:v>
      </x:c>
      <x:c r="E190" s="115" t="str">
        <x:v>What outcome and non-functional requirements justify front-end frameworks and hosting, and what is the simplest managed implementation?</x:v>
      </x:c>
      <x:c r="F190" s="115" t="str">
        <x:v>Adopt &amp; Build</x:v>
      </x:c>
      <x:c r="G190" s="115" t="str">
        <x:v>Front-end web and mobile / Business applications</x:v>
      </x:c>
      <x:c r="H190" s="115" t="str">
        <x:v>Web / Mobile / Developer Tools</x:v>
      </x:c>
      <x:c r="I190" s="115" t="str">
        <x:v>Application development / Application hosting</x:v>
      </x:c>
      <x:c r="J190" s="115" t="str">
        <x:v>https://aws.amazon.com/appstudio/</x:v>
      </x:c>
    </x:row>
    <x:row r="191">
      <x:c r="A191" s="116" t="str">
        <x:v>4. Applications &amp; Experience</x:v>
      </x:c>
      <x:c r="B191" s="117" t="str">
        <x:v>15. Application Development, Web, Mobile, Frontend &amp; Low-Code</x:v>
      </x:c>
      <x:c r="C191" s="115" t="str">
        <x:v>Create user-facing and internal applications with suitable developer control and delivery speed.</x:v>
      </x:c>
      <x:c r="D191" s="115" t="str">
        <x:v>Static sites, progressive web apps and edge rendering</x:v>
      </x:c>
      <x:c r="E191" s="115" t="str">
        <x:v>What outcome and non-functional requirements justify static sites, progressive web apps and edge rendering, and what is the simplest managed implementation?</x:v>
      </x:c>
      <x:c r="F191" s="115" t="str">
        <x:v>Adopt &amp; Build</x:v>
      </x:c>
      <x:c r="G191" s="115" t="str">
        <x:v>Front-end web and mobile / Business applications</x:v>
      </x:c>
      <x:c r="H191" s="115" t="str">
        <x:v>Web / Mobile / Developer Tools</x:v>
      </x:c>
      <x:c r="I191" s="115" t="str">
        <x:v>Application development / Application hosting</x:v>
      </x:c>
      <x:c r="J191" s="115" t="str">
        <x:v>https://aws.amazon.com/appstudio/</x:v>
      </x:c>
    </x:row>
    <x:row r="192">
      <x:c r="A192" s="116" t="str">
        <x:v>4. Applications &amp; Experience</x:v>
      </x:c>
      <x:c r="B192" s="117" t="str">
        <x:v>15. Application Development, Web, Mobile, Frontend &amp; Low-Code</x:v>
      </x:c>
      <x:c r="C192" s="115" t="str">
        <x:v>Create user-facing and internal applications with suitable developer control and delivery speed.</x:v>
      </x:c>
      <x:c r="D192" s="115" t="str">
        <x:v>Backend as a service</x:v>
      </x:c>
      <x:c r="E192" s="115" t="str">
        <x:v>What outcome and non-functional requirements justify backend as a service, and what is the simplest managed implementation?</x:v>
      </x:c>
      <x:c r="F192" s="115" t="str">
        <x:v>Adopt &amp; Build</x:v>
      </x:c>
      <x:c r="G192" s="115" t="str">
        <x:v>Front-end web and mobile / Business applications</x:v>
      </x:c>
      <x:c r="H192" s="115" t="str">
        <x:v>Web / Mobile / Developer Tools</x:v>
      </x:c>
      <x:c r="I192" s="115" t="str">
        <x:v>Application development / Application hosting</x:v>
      </x:c>
      <x:c r="J192" s="115" t="str">
        <x:v>https://aws.amazon.com/appstudio/</x:v>
      </x:c>
    </x:row>
    <x:row r="193">
      <x:c r="A193" s="116" t="str">
        <x:v>4. Applications &amp; Experience</x:v>
      </x:c>
      <x:c r="B193" s="117" t="str">
        <x:v>15. Application Development, Web, Mobile, Frontend &amp; Low-Code</x:v>
      </x:c>
      <x:c r="C193" s="115" t="str">
        <x:v>Create user-facing and internal applications with suitable developer control and delivery speed.</x:v>
      </x:c>
      <x:c r="D193" s="115" t="str">
        <x:v>Low-code and no-code business applications</x:v>
      </x:c>
      <x:c r="E193" s="115" t="str">
        <x:v>What outcome and non-functional requirements justify low-code and no-code business applications, and what is the simplest managed implementation?</x:v>
      </x:c>
      <x:c r="F193" s="115" t="str">
        <x:v>Adopt &amp; Build</x:v>
      </x:c>
      <x:c r="G193" s="115" t="str">
        <x:v>Front-end web and mobile / Business applications</x:v>
      </x:c>
      <x:c r="H193" s="115" t="str">
        <x:v>Web / Mobile / Developer Tools</x:v>
      </x:c>
      <x:c r="I193" s="115" t="str">
        <x:v>Application development / Application hosting</x:v>
      </x:c>
      <x:c r="J193" s="115" t="str">
        <x:v>https://aws.amazon.com/appstudio/</x:v>
      </x:c>
    </x:row>
    <x:row r="194">
      <x:c r="A194" s="116" t="str">
        <x:v>4. Applications &amp; Experience</x:v>
      </x:c>
      <x:c r="B194" s="117" t="str">
        <x:v>15. Application Development, Web, Mobile, Frontend &amp; Low-Code</x:v>
      </x:c>
      <x:c r="C194" s="115" t="str">
        <x:v>Create user-facing and internal applications with suitable developer control and delivery speed.</x:v>
      </x:c>
      <x:c r="D194" s="115" t="str">
        <x:v>Real-time data synchronisation</x:v>
      </x:c>
      <x:c r="E194" s="115" t="str">
        <x:v>What outcome and non-functional requirements justify real-time data synchronisation, and what is the simplest managed implementation?</x:v>
      </x:c>
      <x:c r="F194" s="115" t="str">
        <x:v>Adopt &amp; Build</x:v>
      </x:c>
      <x:c r="G194" s="115" t="str">
        <x:v>Front-end web and mobile / Business applications</x:v>
      </x:c>
      <x:c r="H194" s="115" t="str">
        <x:v>Web / Mobile / Developer Tools</x:v>
      </x:c>
      <x:c r="I194" s="115" t="str">
        <x:v>Application development / Application hosting</x:v>
      </x:c>
      <x:c r="J194" s="115" t="str">
        <x:v>https://aws.amazon.com/appstudio/</x:v>
      </x:c>
    </x:row>
    <x:row r="195">
      <x:c r="A195" s="116" t="str">
        <x:v>4. Applications &amp; Experience</x:v>
      </x:c>
      <x:c r="B195" s="117" t="str">
        <x:v>15. Application Development, Web, Mobile, Frontend &amp; Low-Code</x:v>
      </x:c>
      <x:c r="C195" s="115" t="str">
        <x:v>Create user-facing and internal applications with suitable developer control and delivery speed.</x:v>
      </x:c>
      <x:c r="D195" s="115" t="str">
        <x:v>Application authentication and user management</x:v>
      </x:c>
      <x:c r="E195" s="115" t="str">
        <x:v>What outcome and non-functional requirements justify application authentication and user management, and what is the simplest managed implementation?</x:v>
      </x:c>
      <x:c r="F195" s="115" t="str">
        <x:v>Adopt &amp; Build</x:v>
      </x:c>
      <x:c r="G195" s="115" t="str">
        <x:v>Front-end web and mobile / Business applications</x:v>
      </x:c>
      <x:c r="H195" s="115" t="str">
        <x:v>Web / Mobile / Developer Tools</x:v>
      </x:c>
      <x:c r="I195" s="115" t="str">
        <x:v>Application development / Application hosting</x:v>
      </x:c>
      <x:c r="J195" s="115" t="str">
        <x:v>https://aws.amazon.com/appstudio/</x:v>
      </x:c>
    </x:row>
    <x:row r="196">
      <x:c r="A196" s="116" t="str">
        <x:v>4. Applications &amp; Experience</x:v>
      </x:c>
      <x:c r="B196" s="117" t="str">
        <x:v>15. Application Development, Web, Mobile, Frontend &amp; Low-Code</x:v>
      </x:c>
      <x:c r="C196" s="115" t="str">
        <x:v>Create user-facing and internal applications with suitable developer control and delivery speed.</x:v>
      </x:c>
      <x:c r="D196" s="115" t="str">
        <x:v>Application configuration and feature flags</x:v>
      </x:c>
      <x:c r="E196" s="115" t="str">
        <x:v>What outcome and non-functional requirements justify application configuration and feature flags, and what is the simplest managed implementation?</x:v>
      </x:c>
      <x:c r="F196" s="115" t="str">
        <x:v>Adopt &amp; Build</x:v>
      </x:c>
      <x:c r="G196" s="115" t="str">
        <x:v>Front-end web and mobile / Business applications</x:v>
      </x:c>
      <x:c r="H196" s="115" t="str">
        <x:v>Web / Mobile / Developer Tools</x:v>
      </x:c>
      <x:c r="I196" s="115" t="str">
        <x:v>Application development / Application hosting</x:v>
      </x:c>
      <x:c r="J196" s="115" t="str">
        <x:v>https://aws.amazon.com/appstudio/</x:v>
      </x:c>
    </x:row>
    <x:row r="197">
      <x:c r="A197" s="116" t="str">
        <x:v>4. Applications &amp; Experience</x:v>
      </x:c>
      <x:c r="B197" s="117" t="str">
        <x:v>15. Application Development, Web, Mobile, Frontend &amp; Low-Code</x:v>
      </x:c>
      <x:c r="C197" s="115" t="str">
        <x:v>Create user-facing and internal applications with suitable developer control and delivery speed.</x:v>
      </x:c>
      <x:c r="D197" s="115" t="str">
        <x:v>Push notifications, email and user engagement</x:v>
      </x:c>
      <x:c r="E197" s="115" t="str">
        <x:v>What outcome and non-functional requirements justify push notifications, email and user engagement, and what is the simplest managed implementation?</x:v>
      </x:c>
      <x:c r="F197" s="115" t="str">
        <x:v>Adopt &amp; Build</x:v>
      </x:c>
      <x:c r="G197" s="115" t="str">
        <x:v>Front-end web and mobile / Business applications</x:v>
      </x:c>
      <x:c r="H197" s="115" t="str">
        <x:v>Web / Mobile / Developer Tools</x:v>
      </x:c>
      <x:c r="I197" s="115" t="str">
        <x:v>Application development / Application hosting</x:v>
      </x:c>
      <x:c r="J197" s="115" t="str">
        <x:v>https://aws.amazon.com/appstudio/</x:v>
      </x:c>
    </x:row>
    <x:row r="198">
      <x:c r="A198" s="116" t="str">
        <x:v>4. Applications &amp; Experience</x:v>
      </x:c>
      <x:c r="B198" s="117" t="str">
        <x:v>15. Application Development, Web, Mobile, Frontend &amp; Low-Code</x:v>
      </x:c>
      <x:c r="C198" s="115" t="str">
        <x:v>Create user-facing and internal applications with suitable developer control and delivery speed.</x:v>
      </x:c>
      <x:c r="D198" s="115" t="str">
        <x:v>Browser and device testing</x:v>
      </x:c>
      <x:c r="E198" s="115" t="str">
        <x:v>What outcome and non-functional requirements justify browser and device testing, and what is the simplest managed implementation?</x:v>
      </x:c>
      <x:c r="F198" s="115" t="str">
        <x:v>Adopt &amp; Build</x:v>
      </x:c>
      <x:c r="G198" s="115" t="str">
        <x:v>Front-end web and mobile / Business applications</x:v>
      </x:c>
      <x:c r="H198" s="115" t="str">
        <x:v>Web / Mobile / Developer Tools</x:v>
      </x:c>
      <x:c r="I198" s="115" t="str">
        <x:v>Application development / Application hosting</x:v>
      </x:c>
      <x:c r="J198" s="115" t="str">
        <x:v>https://aws.amazon.com/appstudio/</x:v>
      </x:c>
    </x:row>
    <x:row r="199">
      <x:c r="A199" s="116" t="str">
        <x:v>4. Applications &amp; Experience</x:v>
      </x:c>
      <x:c r="B199" s="117" t="str">
        <x:v>15. Application Development, Web, Mobile, Frontend &amp; Low-Code</x:v>
      </x:c>
      <x:c r="C199" s="115" t="str">
        <x:v>Create user-facing and internal applications with suitable developer control and delivery speed.</x:v>
      </x:c>
      <x:c r="D199" s="115" t="str">
        <x:v>Digital experience and user-performance monitoring</x:v>
      </x:c>
      <x:c r="E199" s="115" t="str">
        <x:v>What outcome and non-functional requirements justify digital experience and user-performance monitoring, and what is the simplest managed implementation?</x:v>
      </x:c>
      <x:c r="F199" s="115" t="str">
        <x:v>Adopt &amp; Build</x:v>
      </x:c>
      <x:c r="G199" s="115" t="str">
        <x:v>Front-end web and mobile / Business applications</x:v>
      </x:c>
      <x:c r="H199" s="115" t="str">
        <x:v>Web / Mobile / Developer Tools</x:v>
      </x:c>
      <x:c r="I199" s="115" t="str">
        <x:v>Application development / Application hosting</x:v>
      </x:c>
      <x:c r="J199" s="115" t="str">
        <x:v>https://aws.amazon.com/appstudio/</x:v>
      </x:c>
    </x:row>
    <x:row r="200">
      <x:c r="A200" s="116" t="str">
        <x:v>4. Applications &amp; Experience</x:v>
      </x:c>
      <x:c r="B200" s="117" t="str">
        <x:v>16. APIs, Integration, Workflows, Eventing &amp; Process Automation</x:v>
      </x:c>
      <x:c r="C200" s="115" t="str">
        <x:v>Expose, connect and automate business capabilities across applications and organisations.</x:v>
      </x:c>
      <x:c r="D200" s="115" t="str">
        <x:v>API gateway and API security</x:v>
      </x:c>
      <x:c r="E200" s="115" t="str">
        <x:v>What outcome and non-functional requirements justify api gateway and api security, and what is the simplest managed implementation?</x:v>
      </x:c>
      <x:c r="F200" s="115" t="str">
        <x:v>Adopt &amp; Build</x:v>
      </x:c>
      <x:c r="G200" s="115" t="str">
        <x:v>Application integration / Front-end web and mobile</x:v>
      </x:c>
      <x:c r="H200" s="115" t="str">
        <x:v>Integration / Web</x:v>
      </x:c>
      <x:c r="I200" s="115" t="str">
        <x:v>Application development</x:v>
      </x:c>
      <x:c r="J200" s="115" t="str">
        <x:v>https://docs.aws.amazon.com/decision-guides/latest/application-integration-on-aws-how-to-choose/application-integration-on-aws-how-to-choose.html</x:v>
      </x:c>
    </x:row>
    <x:row r="201">
      <x:c r="A201" s="116" t="str">
        <x:v>4. Applications &amp; Experience</x:v>
      </x:c>
      <x:c r="B201" s="117" t="str">
        <x:v>16. APIs, Integration, Workflows, Eventing &amp; Process Automation</x:v>
      </x:c>
      <x:c r="C201" s="115" t="str">
        <x:v>Expose, connect and automate business capabilities across applications and organisations.</x:v>
      </x:c>
      <x:c r="D201" s="115" t="str">
        <x:v>Full-lifecycle API management</x:v>
      </x:c>
      <x:c r="E201" s="115" t="str">
        <x:v>What outcome and non-functional requirements justify full-lifecycle api management, and what is the simplest managed implementation?</x:v>
      </x:c>
      <x:c r="F201" s="115" t="str">
        <x:v>Adopt &amp; Build</x:v>
      </x:c>
      <x:c r="G201" s="115" t="str">
        <x:v>Application integration / Front-end web and mobile</x:v>
      </x:c>
      <x:c r="H201" s="115" t="str">
        <x:v>Integration / Web</x:v>
      </x:c>
      <x:c r="I201" s="115" t="str">
        <x:v>Application development</x:v>
      </x:c>
      <x:c r="J201" s="115" t="str">
        <x:v>https://docs.aws.amazon.com/decision-guides/latest/application-integration-on-aws-how-to-choose/application-integration-on-aws-how-to-choose.html</x:v>
      </x:c>
    </x:row>
    <x:row r="202">
      <x:c r="A202" s="116" t="str">
        <x:v>4. Applications &amp; Experience</x:v>
      </x:c>
      <x:c r="B202" s="117" t="str">
        <x:v>16. APIs, Integration, Workflows, Eventing &amp; Process Automation</x:v>
      </x:c>
      <x:c r="C202" s="115" t="str">
        <x:v>Expose, connect and automate business capabilities across applications and organisations.</x:v>
      </x:c>
      <x:c r="D202" s="115" t="str">
        <x:v>API developer portals, products and monetisation</x:v>
      </x:c>
      <x:c r="E202" s="115" t="str">
        <x:v>What outcome and non-functional requirements justify api developer portals, products and monetisation, and what is the simplest managed implementation?</x:v>
      </x:c>
      <x:c r="F202" s="115" t="str">
        <x:v>Adopt &amp; Build</x:v>
      </x:c>
      <x:c r="G202" s="115" t="str">
        <x:v>Application integration / Front-end web and mobile</x:v>
      </x:c>
      <x:c r="H202" s="115" t="str">
        <x:v>Integration / Web</x:v>
      </x:c>
      <x:c r="I202" s="115" t="str">
        <x:v>Application development</x:v>
      </x:c>
      <x:c r="J202" s="115" t="str">
        <x:v>https://docs.aws.amazon.com/decision-guides/latest/application-integration-on-aws-how-to-choose/application-integration-on-aws-how-to-choose.html</x:v>
      </x:c>
    </x:row>
    <x:row r="203">
      <x:c r="A203" s="116" t="str">
        <x:v>4. Applications &amp; Experience</x:v>
      </x:c>
      <x:c r="B203" s="117" t="str">
        <x:v>16. APIs, Integration, Workflows, Eventing &amp; Process Automation</x:v>
      </x:c>
      <x:c r="C203" s="115" t="str">
        <x:v>Expose, connect and automate business capabilities across applications and organisations.</x:v>
      </x:c>
      <x:c r="D203" s="115" t="str">
        <x:v>Enterprise integration platform as a service</x:v>
      </x:c>
      <x:c r="E203" s="115" t="str">
        <x:v>What outcome and non-functional requirements justify enterprise integration platform as a service, and what is the simplest managed implementation?</x:v>
      </x:c>
      <x:c r="F203" s="115" t="str">
        <x:v>Adopt &amp; Build</x:v>
      </x:c>
      <x:c r="G203" s="115" t="str">
        <x:v>Application integration / Front-end web and mobile</x:v>
      </x:c>
      <x:c r="H203" s="115" t="str">
        <x:v>Integration / Web</x:v>
      </x:c>
      <x:c r="I203" s="115" t="str">
        <x:v>Application development</x:v>
      </x:c>
      <x:c r="J203" s="115" t="str">
        <x:v>https://docs.aws.amazon.com/decision-guides/latest/application-integration-on-aws-how-to-choose/application-integration-on-aws-how-to-choose.html</x:v>
      </x:c>
    </x:row>
    <x:row r="204">
      <x:c r="A204" s="116" t="str">
        <x:v>4. Applications &amp; Experience</x:v>
      </x:c>
      <x:c r="B204" s="117" t="str">
        <x:v>16. APIs, Integration, Workflows, Eventing &amp; Process Automation</x:v>
      </x:c>
      <x:c r="C204" s="115" t="str">
        <x:v>Expose, connect and automate business capabilities across applications and organisations.</x:v>
      </x:c>
      <x:c r="D204" s="115" t="str">
        <x:v>SaaS and application connectors</x:v>
      </x:c>
      <x:c r="E204" s="115" t="str">
        <x:v>What outcome and non-functional requirements justify saas and application connectors, and what is the simplest managed implementation?</x:v>
      </x:c>
      <x:c r="F204" s="115" t="str">
        <x:v>Adopt &amp; Build</x:v>
      </x:c>
      <x:c r="G204" s="115" t="str">
        <x:v>Application integration / Front-end web and mobile</x:v>
      </x:c>
      <x:c r="H204" s="115" t="str">
        <x:v>Integration / Web</x:v>
      </x:c>
      <x:c r="I204" s="115" t="str">
        <x:v>Application development</x:v>
      </x:c>
      <x:c r="J204" s="115" t="str">
        <x:v>https://docs.aws.amazon.com/decision-guides/latest/application-integration-on-aws-how-to-choose/application-integration-on-aws-how-to-choose.html</x:v>
      </x:c>
    </x:row>
    <x:row r="205">
      <x:c r="A205" s="116" t="str">
        <x:v>4. Applications &amp; Experience</x:v>
      </x:c>
      <x:c r="B205" s="117" t="str">
        <x:v>16. APIs, Integration, Workflows, Eventing &amp; Process Automation</x:v>
      </x:c>
      <x:c r="C205" s="115" t="str">
        <x:v>Expose, connect and automate business capabilities across applications and organisations.</x:v>
      </x:c>
      <x:c r="D205" s="115" t="str">
        <x:v>Serverless workflows and durable orchestration</x:v>
      </x:c>
      <x:c r="E205" s="115" t="str">
        <x:v>What outcome and non-functional requirements justify serverless workflows and durable orchestration, and what is the simplest managed implementation?</x:v>
      </x:c>
      <x:c r="F205" s="115" t="str">
        <x:v>Adopt &amp; Build</x:v>
      </x:c>
      <x:c r="G205" s="115" t="str">
        <x:v>Application integration / Front-end web and mobile</x:v>
      </x:c>
      <x:c r="H205" s="115" t="str">
        <x:v>Integration / Web</x:v>
      </x:c>
      <x:c r="I205" s="115" t="str">
        <x:v>Application development</x:v>
      </x:c>
      <x:c r="J205" s="115" t="str">
        <x:v>https://docs.aws.amazon.com/decision-guides/latest/application-integration-on-aws-how-to-choose/application-integration-on-aws-how-to-choose.html</x:v>
      </x:c>
    </x:row>
    <x:row r="206">
      <x:c r="A206" s="116" t="str">
        <x:v>4. Applications &amp; Experience</x:v>
      </x:c>
      <x:c r="B206" s="117" t="str">
        <x:v>16. APIs, Integration, Workflows, Eventing &amp; Process Automation</x:v>
      </x:c>
      <x:c r="C206" s="115" t="str">
        <x:v>Expose, connect and automate business capabilities across applications and organisations.</x:v>
      </x:c>
      <x:c r="D206" s="115" t="str">
        <x:v>Business process management and approvals</x:v>
      </x:c>
      <x:c r="E206" s="115" t="str">
        <x:v>What outcome and non-functional requirements justify business process management and approvals, and what is the simplest managed implementation?</x:v>
      </x:c>
      <x:c r="F206" s="115" t="str">
        <x:v>Adopt &amp; Build</x:v>
      </x:c>
      <x:c r="G206" s="115" t="str">
        <x:v>Application integration / Front-end web and mobile</x:v>
      </x:c>
      <x:c r="H206" s="115" t="str">
        <x:v>Integration / Web</x:v>
      </x:c>
      <x:c r="I206" s="115" t="str">
        <x:v>Application development</x:v>
      </x:c>
      <x:c r="J206" s="115" t="str">
        <x:v>https://docs.aws.amazon.com/decision-guides/latest/application-integration-on-aws-how-to-choose/application-integration-on-aws-how-to-choose.html</x:v>
      </x:c>
    </x:row>
    <x:row r="207">
      <x:c r="A207" s="116" t="str">
        <x:v>4. Applications &amp; Experience</x:v>
      </x:c>
      <x:c r="B207" s="117" t="str">
        <x:v>16. APIs, Integration, Workflows, Eventing &amp; Process Automation</x:v>
      </x:c>
      <x:c r="C207" s="115" t="str">
        <x:v>Expose, connect and automate business capabilities across applications and organisations.</x:v>
      </x:c>
      <x:c r="D207" s="115" t="str">
        <x:v>Event-driven application integration</x:v>
      </x:c>
      <x:c r="E207" s="115" t="str">
        <x:v>What outcome and non-functional requirements justify event-driven application integration, and what is the simplest managed implementation?</x:v>
      </x:c>
      <x:c r="F207" s="115" t="str">
        <x:v>Adopt &amp; Build</x:v>
      </x:c>
      <x:c r="G207" s="115" t="str">
        <x:v>Application integration / Front-end web and mobile</x:v>
      </x:c>
      <x:c r="H207" s="115" t="str">
        <x:v>Integration / Web</x:v>
      </x:c>
      <x:c r="I207" s="115" t="str">
        <x:v>Application development</x:v>
      </x:c>
      <x:c r="J207" s="115" t="str">
        <x:v>https://docs.aws.amazon.com/decision-guides/latest/application-integration-on-aws-how-to-choose/application-integration-on-aws-how-to-choose.html</x:v>
      </x:c>
    </x:row>
    <x:row r="208">
      <x:c r="A208" s="116" t="str">
        <x:v>4. Applications &amp; Experience</x:v>
      </x:c>
      <x:c r="B208" s="117" t="str">
        <x:v>16. APIs, Integration, Workflows, Eventing &amp; Process Automation</x:v>
      </x:c>
      <x:c r="C208" s="115" t="str">
        <x:v>Expose, connect and automate business capabilities across applications and organisations.</x:v>
      </x:c>
      <x:c r="D208" s="115" t="str">
        <x:v>Enterprise queues, topics and message brokers</x:v>
      </x:c>
      <x:c r="E208" s="115" t="str">
        <x:v>What outcome and non-functional requirements justify enterprise queues, topics and message brokers, and what is the simplest managed implementation?</x:v>
      </x:c>
      <x:c r="F208" s="115" t="str">
        <x:v>Adopt &amp; Build</x:v>
      </x:c>
      <x:c r="G208" s="115" t="str">
        <x:v>Application integration / Front-end web and mobile</x:v>
      </x:c>
      <x:c r="H208" s="115" t="str">
        <x:v>Integration / Web</x:v>
      </x:c>
      <x:c r="I208" s="115" t="str">
        <x:v>Application development</x:v>
      </x:c>
      <x:c r="J208" s="115" t="str">
        <x:v>https://docs.aws.amazon.com/decision-guides/latest/application-integration-on-aws-how-to-choose/application-integration-on-aws-how-to-choose.html</x:v>
      </x:c>
    </x:row>
    <x:row r="209">
      <x:c r="A209" s="116" t="str">
        <x:v>4. Applications &amp; Experience</x:v>
      </x:c>
      <x:c r="B209" s="117" t="str">
        <x:v>16. APIs, Integration, Workflows, Eventing &amp; Process Automation</x:v>
      </x:c>
      <x:c r="C209" s="115" t="str">
        <x:v>Expose, connect and automate business capabilities across applications and organisations.</x:v>
      </x:c>
      <x:c r="D209" s="115" t="str">
        <x:v>Task queues and job scheduling</x:v>
      </x:c>
      <x:c r="E209" s="115" t="str">
        <x:v>What outcome and non-functional requirements justify task queues and job scheduling, and what is the simplest managed implementation?</x:v>
      </x:c>
      <x:c r="F209" s="115" t="str">
        <x:v>Adopt &amp; Build</x:v>
      </x:c>
      <x:c r="G209" s="115" t="str">
        <x:v>Application integration / Front-end web and mobile</x:v>
      </x:c>
      <x:c r="H209" s="115" t="str">
        <x:v>Integration / Web</x:v>
      </x:c>
      <x:c r="I209" s="115" t="str">
        <x:v>Application development</x:v>
      </x:c>
      <x:c r="J209" s="115" t="str">
        <x:v>https://docs.aws.amazon.com/decision-guides/latest/application-integration-on-aws-how-to-choose/application-integration-on-aws-how-to-choose.html</x:v>
      </x:c>
    </x:row>
    <x:row r="210">
      <x:c r="A210" s="116" t="str">
        <x:v>4. Applications &amp; Experience</x:v>
      </x:c>
      <x:c r="B210" s="117" t="str">
        <x:v>16. APIs, Integration, Workflows, Eventing &amp; Process Automation</x:v>
      </x:c>
      <x:c r="C210" s="115" t="str">
        <x:v>Expose, connect and automate business capabilities across applications and organisations.</x:v>
      </x:c>
      <x:c r="D210" s="115" t="str">
        <x:v>B2B, EDI and trading-partner integration</x:v>
      </x:c>
      <x:c r="E210" s="115" t="str">
        <x:v>What outcome and non-functional requirements justify b2b, edi and trading-partner integration, and what is the simplest managed implementation?</x:v>
      </x:c>
      <x:c r="F210" s="115" t="str">
        <x:v>Adopt &amp; Build</x:v>
      </x:c>
      <x:c r="G210" s="115" t="str">
        <x:v>Application integration / Front-end web and mobile</x:v>
      </x:c>
      <x:c r="H210" s="115" t="str">
        <x:v>Integration / Web</x:v>
      </x:c>
      <x:c r="I210" s="115" t="str">
        <x:v>Application development</x:v>
      </x:c>
      <x:c r="J210" s="115" t="str">
        <x:v>https://docs.aws.amazon.com/decision-guides/latest/application-integration-on-aws-how-to-choose/application-integration-on-aws-how-to-choose.html</x:v>
      </x:c>
    </x:row>
    <x:row r="211">
      <x:c r="A211" s="116" t="str">
        <x:v>4. Applications &amp; Experience</x:v>
      </x:c>
      <x:c r="B211" s="117" t="str">
        <x:v>16. APIs, Integration, Workflows, Eventing &amp; Process Automation</x:v>
      </x:c>
      <x:c r="C211" s="115" t="str">
        <x:v>Expose, connect and automate business capabilities across applications and organisations.</x:v>
      </x:c>
      <x:c r="D211" s="115" t="str">
        <x:v>Robotic and business-process automation</x:v>
      </x:c>
      <x:c r="E211" s="115" t="str">
        <x:v>What outcome and non-functional requirements justify robotic and business-process automation, and what is the simplest managed implementation?</x:v>
      </x:c>
      <x:c r="F211" s="115" t="str">
        <x:v>Adopt &amp; Build</x:v>
      </x:c>
      <x:c r="G211" s="115" t="str">
        <x:v>Application integration / Front-end web and mobile</x:v>
      </x:c>
      <x:c r="H211" s="115" t="str">
        <x:v>Integration / Web</x:v>
      </x:c>
      <x:c r="I211" s="115" t="str">
        <x:v>Application development</x:v>
      </x:c>
      <x:c r="J211" s="115" t="str">
        <x:v>https://docs.aws.amazon.com/decision-guides/latest/application-integration-on-aws-how-to-choose/application-integration-on-aws-how-to-choose.html</x:v>
      </x:c>
    </x:row>
    <x:row r="212">
      <x:c r="A212" s="116" t="str">
        <x:v>4. Applications &amp; Experience</x:v>
      </x:c>
      <x:c r="B212" s="117" t="str">
        <x:v>16. APIs, Integration, Workflows, Eventing &amp; Process Automation</x:v>
      </x:c>
      <x:c r="C212" s="115" t="str">
        <x:v>Expose, connect and automate business capabilities across applications and organisations.</x:v>
      </x:c>
      <x:c r="D212" s="115" t="str">
        <x:v>Transactional communications and notifications</x:v>
      </x:c>
      <x:c r="E212" s="115" t="str">
        <x:v>What outcome and non-functional requirements justify transactional communications and notifications, and what is the simplest managed implementation?</x:v>
      </x:c>
      <x:c r="F212" s="115" t="str">
        <x:v>Adopt &amp; Build</x:v>
      </x:c>
      <x:c r="G212" s="115" t="str">
        <x:v>Application integration / Front-end web and mobile</x:v>
      </x:c>
      <x:c r="H212" s="115" t="str">
        <x:v>Integration / Web</x:v>
      </x:c>
      <x:c r="I212" s="115" t="str">
        <x:v>Application development</x:v>
      </x:c>
      <x:c r="J212" s="115" t="str">
        <x:v>https://docs.aws.amazon.com/decision-guides/latest/application-integration-on-aws-how-to-choose/application-integration-on-aws-how-to-choose.html</x:v>
      </x:c>
    </x:row>
    <x:row r="213">
      <x:c r="A213" s="116" t="str">
        <x:v>4. Applications &amp; Experience</x:v>
      </x:c>
      <x:c r="B213" s="117" t="str">
        <x:v>17. End-User Computing, Collaboration, Contact Centre &amp; Business Applications</x:v>
      </x:c>
      <x:c r="C213" s="115" t="str">
        <x:v>Deliver secure digital workplaces, customer-service channels and enterprise business capabilities.</x:v>
      </x:c>
      <x:c r="D213" s="115" t="str">
        <x:v>Virtual desktops and desktop as a service</x:v>
      </x:c>
      <x:c r="E213" s="115" t="str">
        <x:v>What outcome and non-functional requirements justify virtual desktops and desktop as a service, and what is the simplest managed implementation?</x:v>
      </x:c>
      <x:c r="F213" s="115" t="str">
        <x:v>Adopt &amp; Build</x:v>
      </x:c>
      <x:c r="G213" s="115" t="str">
        <x:v>End user computing / Business applications</x:v>
      </x:c>
      <x:c r="H213" s="115" t="str">
        <x:v>Virtual desktop infrastructure / Microsoft business cloud</x:v>
      </x:c>
      <x:c r="I213" s="115" t="str">
        <x:v>Industry solutions / Google Workspace</x:v>
      </x:c>
      <x:c r="J213" s="115" t="str">
        <x:v>https://docs.aws.amazon.com/whitepapers/latest/aws-overview/amazon-web-services-cloud-platform.html</x:v>
      </x:c>
    </x:row>
    <x:row r="214">
      <x:c r="A214" s="116" t="str">
        <x:v>4. Applications &amp; Experience</x:v>
      </x:c>
      <x:c r="B214" s="117" t="str">
        <x:v>17. End-User Computing, Collaboration, Contact Centre &amp; Business Applications</x:v>
      </x:c>
      <x:c r="C214" s="115" t="str">
        <x:v>Deliver secure digital workplaces, customer-service channels and enterprise business capabilities.</x:v>
      </x:c>
      <x:c r="D214" s="115" t="str">
        <x:v>Application streaming and remote applications</x:v>
      </x:c>
      <x:c r="E214" s="115" t="str">
        <x:v>What outcome and non-functional requirements justify application streaming and remote applications, and what is the simplest managed implementation?</x:v>
      </x:c>
      <x:c r="F214" s="115" t="str">
        <x:v>Adopt &amp; Build</x:v>
      </x:c>
      <x:c r="G214" s="115" t="str">
        <x:v>End user computing / Business applications</x:v>
      </x:c>
      <x:c r="H214" s="115" t="str">
        <x:v>Virtual desktop infrastructure / Microsoft business cloud</x:v>
      </x:c>
      <x:c r="I214" s="115" t="str">
        <x:v>Industry solutions / Google Workspace</x:v>
      </x:c>
      <x:c r="J214" s="115" t="str">
        <x:v>https://docs.aws.amazon.com/whitepapers/latest/aws-overview/amazon-web-services-cloud-platform.html</x:v>
      </x:c>
    </x:row>
    <x:row r="215">
      <x:c r="A215" s="116" t="str">
        <x:v>4. Applications &amp; Experience</x:v>
      </x:c>
      <x:c r="B215" s="117" t="str">
        <x:v>17. End-User Computing, Collaboration, Contact Centre &amp; Business Applications</x:v>
      </x:c>
      <x:c r="C215" s="115" t="str">
        <x:v>Deliver secure digital workplaces, customer-service channels and enterprise business capabilities.</x:v>
      </x:c>
      <x:c r="D215" s="115" t="str">
        <x:v>Secure enterprise browsers</x:v>
      </x:c>
      <x:c r="E215" s="115" t="str">
        <x:v>What outcome and non-functional requirements justify secure enterprise browsers, and what is the simplest managed implementation?</x:v>
      </x:c>
      <x:c r="F215" s="115" t="str">
        <x:v>Adopt &amp; Build</x:v>
      </x:c>
      <x:c r="G215" s="115" t="str">
        <x:v>End user computing / Business applications</x:v>
      </x:c>
      <x:c r="H215" s="115" t="str">
        <x:v>Virtual desktop infrastructure / Microsoft business cloud</x:v>
      </x:c>
      <x:c r="I215" s="115" t="str">
        <x:v>Industry solutions / Google Workspace</x:v>
      </x:c>
      <x:c r="J215" s="115" t="str">
        <x:v>https://docs.aws.amazon.com/whitepapers/latest/aws-overview/amazon-web-services-cloud-platform.html</x:v>
      </x:c>
    </x:row>
    <x:row r="216">
      <x:c r="A216" s="116" t="str">
        <x:v>4. Applications &amp; Experience</x:v>
      </x:c>
      <x:c r="B216" s="117" t="str">
        <x:v>17. End-User Computing, Collaboration, Contact Centre &amp; Business Applications</x:v>
      </x:c>
      <x:c r="C216" s="115" t="str">
        <x:v>Deliver secure digital workplaces, customer-service channels and enterprise business capabilities.</x:v>
      </x:c>
      <x:c r="D216" s="115" t="str">
        <x:v>Business email, calendar and productivity</x:v>
      </x:c>
      <x:c r="E216" s="115" t="str">
        <x:v>What outcome and non-functional requirements justify business email, calendar and productivity, and what is the simplest managed implementation?</x:v>
      </x:c>
      <x:c r="F216" s="115" t="str">
        <x:v>Adopt &amp; Build</x:v>
      </x:c>
      <x:c r="G216" s="115" t="str">
        <x:v>End user computing / Business applications</x:v>
      </x:c>
      <x:c r="H216" s="115" t="str">
        <x:v>Virtual desktop infrastructure / Microsoft business cloud</x:v>
      </x:c>
      <x:c r="I216" s="115" t="str">
        <x:v>Industry solutions / Google Workspace</x:v>
      </x:c>
      <x:c r="J216" s="115" t="str">
        <x:v>https://docs.aws.amazon.com/whitepapers/latest/aws-overview/amazon-web-services-cloud-platform.html</x:v>
      </x:c>
    </x:row>
    <x:row r="217">
      <x:c r="A217" s="116" t="str">
        <x:v>4. Applications &amp; Experience</x:v>
      </x:c>
      <x:c r="B217" s="117" t="str">
        <x:v>17. End-User Computing, Collaboration, Contact Centre &amp; Business Applications</x:v>
      </x:c>
      <x:c r="C217" s="115" t="str">
        <x:v>Deliver secure digital workplaces, customer-service channels and enterprise business capabilities.</x:v>
      </x:c>
      <x:c r="D217" s="115" t="str">
        <x:v>Meetings, chat and content collaboration</x:v>
      </x:c>
      <x:c r="E217" s="115" t="str">
        <x:v>What outcome and non-functional requirements justify meetings, chat and content collaboration, and what is the simplest managed implementation?</x:v>
      </x:c>
      <x:c r="F217" s="115" t="str">
        <x:v>Adopt &amp; Build</x:v>
      </x:c>
      <x:c r="G217" s="115" t="str">
        <x:v>End user computing / Business applications</x:v>
      </x:c>
      <x:c r="H217" s="115" t="str">
        <x:v>Virtual desktop infrastructure / Microsoft business cloud</x:v>
      </x:c>
      <x:c r="I217" s="115" t="str">
        <x:v>Industry solutions / Google Workspace</x:v>
      </x:c>
      <x:c r="J217" s="115" t="str">
        <x:v>https://docs.aws.amazon.com/whitepapers/latest/aws-overview/amazon-web-services-cloud-platform.html</x:v>
      </x:c>
    </x:row>
    <x:row r="218">
      <x:c r="A218" s="116" t="str">
        <x:v>4. Applications &amp; Experience</x:v>
      </x:c>
      <x:c r="B218" s="117" t="str">
        <x:v>17. End-User Computing, Collaboration, Contact Centre &amp; Business Applications</x:v>
      </x:c>
      <x:c r="C218" s="115" t="str">
        <x:v>Deliver secure digital workplaces, customer-service channels and enterprise business capabilities.</x:v>
      </x:c>
      <x:c r="D218" s="115" t="str">
        <x:v>Unified communications and programmable communications</x:v>
      </x:c>
      <x:c r="E218" s="115" t="str">
        <x:v>What outcome and non-functional requirements justify unified communications and programmable communications, and what is the simplest managed implementation?</x:v>
      </x:c>
      <x:c r="F218" s="115" t="str">
        <x:v>Adopt &amp; Build</x:v>
      </x:c>
      <x:c r="G218" s="115" t="str">
        <x:v>End user computing / Business applications</x:v>
      </x:c>
      <x:c r="H218" s="115" t="str">
        <x:v>Virtual desktop infrastructure / Microsoft business cloud</x:v>
      </x:c>
      <x:c r="I218" s="115" t="str">
        <x:v>Industry solutions / Google Workspace</x:v>
      </x:c>
      <x:c r="J218" s="115" t="str">
        <x:v>https://docs.aws.amazon.com/whitepapers/latest/aws-overview/amazon-web-services-cloud-platform.html</x:v>
      </x:c>
    </x:row>
    <x:row r="219">
      <x:c r="A219" s="116" t="str">
        <x:v>4. Applications &amp; Experience</x:v>
      </x:c>
      <x:c r="B219" s="117" t="str">
        <x:v>17. End-User Computing, Collaboration, Contact Centre &amp; Business Applications</x:v>
      </x:c>
      <x:c r="C219" s="115" t="str">
        <x:v>Deliver secure digital workplaces, customer-service channels and enterprise business capabilities.</x:v>
      </x:c>
      <x:c r="D219" s="115" t="str">
        <x:v>Cloud contact centre and omnichannel service</x:v>
      </x:c>
      <x:c r="E219" s="115" t="str">
        <x:v>What outcome and non-functional requirements justify cloud contact centre and omnichannel service, and what is the simplest managed implementation?</x:v>
      </x:c>
      <x:c r="F219" s="115" t="str">
        <x:v>Adopt &amp; Build</x:v>
      </x:c>
      <x:c r="G219" s="115" t="str">
        <x:v>End user computing / Business applications</x:v>
      </x:c>
      <x:c r="H219" s="115" t="str">
        <x:v>Virtual desktop infrastructure / Microsoft business cloud</x:v>
      </x:c>
      <x:c r="I219" s="115" t="str">
        <x:v>Industry solutions / Google Workspace</x:v>
      </x:c>
      <x:c r="J219" s="115" t="str">
        <x:v>https://docs.aws.amazon.com/whitepapers/latest/aws-overview/amazon-web-services-cloud-platform.html</x:v>
      </x:c>
    </x:row>
    <x:row r="220">
      <x:c r="A220" s="116" t="str">
        <x:v>4. Applications &amp; Experience</x:v>
      </x:c>
      <x:c r="B220" s="117" t="str">
        <x:v>17. End-User Computing, Collaboration, Contact Centre &amp; Business Applications</x:v>
      </x:c>
      <x:c r="C220" s="115" t="str">
        <x:v>Deliver secure digital workplaces, customer-service channels and enterprise business capabilities.</x:v>
      </x:c>
      <x:c r="D220" s="115" t="str">
        <x:v>Agent assistance, quality management and workforce engagement</x:v>
      </x:c>
      <x:c r="E220" s="115" t="str">
        <x:v>What outcome and non-functional requirements justify agent assistance, quality management and workforce engagement, and what is the simplest managed implementation?</x:v>
      </x:c>
      <x:c r="F220" s="115" t="str">
        <x:v>Adopt &amp; Build</x:v>
      </x:c>
      <x:c r="G220" s="115" t="str">
        <x:v>End user computing / Business applications</x:v>
      </x:c>
      <x:c r="H220" s="115" t="str">
        <x:v>Virtual desktop infrastructure / Microsoft business cloud</x:v>
      </x:c>
      <x:c r="I220" s="115" t="str">
        <x:v>Industry solutions / Google Workspace</x:v>
      </x:c>
      <x:c r="J220" s="115" t="str">
        <x:v>https://docs.aws.amazon.com/whitepapers/latest/aws-overview/amazon-web-services-cloud-platform.html</x:v>
      </x:c>
    </x:row>
    <x:row r="221">
      <x:c r="A221" s="116" t="str">
        <x:v>4. Applications &amp; Experience</x:v>
      </x:c>
      <x:c r="B221" s="117" t="str">
        <x:v>17. End-User Computing, Collaboration, Contact Centre &amp; Business Applications</x:v>
      </x:c>
      <x:c r="C221" s="115" t="str">
        <x:v>Deliver secure digital workplaces, customer-service channels and enterprise business capabilities.</x:v>
      </x:c>
      <x:c r="D221" s="115" t="str">
        <x:v>CRM, ERP, SCM, HR and finance applications</x:v>
      </x:c>
      <x:c r="E221" s="115" t="str">
        <x:v>What outcome and non-functional requirements justify crm, erp, scm, hr and finance applications, and what is the simplest managed implementation?</x:v>
      </x:c>
      <x:c r="F221" s="115" t="str">
        <x:v>Adopt &amp; Build</x:v>
      </x:c>
      <x:c r="G221" s="115" t="str">
        <x:v>End user computing / Business applications</x:v>
      </x:c>
      <x:c r="H221" s="115" t="str">
        <x:v>Virtual desktop infrastructure / Microsoft business cloud</x:v>
      </x:c>
      <x:c r="I221" s="115" t="str">
        <x:v>Industry solutions / Google Workspace</x:v>
      </x:c>
      <x:c r="J221" s="115" t="str">
        <x:v>https://docs.aws.amazon.com/whitepapers/latest/aws-overview/amazon-web-services-cloud-platform.html</x:v>
      </x:c>
    </x:row>
    <x:row r="222">
      <x:c r="A222" s="116" t="str">
        <x:v>4. Applications &amp; Experience</x:v>
      </x:c>
      <x:c r="B222" s="117" t="str">
        <x:v>17. End-User Computing, Collaboration, Contact Centre &amp; Business Applications</x:v>
      </x:c>
      <x:c r="C222" s="115" t="str">
        <x:v>Deliver secure digital workplaces, customer-service channels and enterprise business capabilities.</x:v>
      </x:c>
      <x:c r="D222" s="115" t="str">
        <x:v>Employee experience and knowledge management</x:v>
      </x:c>
      <x:c r="E222" s="115" t="str">
        <x:v>What outcome and non-functional requirements justify employee experience and knowledge management, and what is the simplest managed implementation?</x:v>
      </x:c>
      <x:c r="F222" s="115" t="str">
        <x:v>Adopt &amp; Build</x:v>
      </x:c>
      <x:c r="G222" s="115" t="str">
        <x:v>End user computing / Business applications</x:v>
      </x:c>
      <x:c r="H222" s="115" t="str">
        <x:v>Virtual desktop infrastructure / Microsoft business cloud</x:v>
      </x:c>
      <x:c r="I222" s="115" t="str">
        <x:v>Industry solutions / Google Workspace</x:v>
      </x:c>
      <x:c r="J222" s="115" t="str">
        <x:v>https://docs.aws.amazon.com/whitepapers/latest/aws-overview/amazon-web-services-cloud-platform.html</x:v>
      </x:c>
    </x:row>
    <x:row r="223">
      <x:c r="A223" s="116" t="str">
        <x:v>4. Applications &amp; Experience</x:v>
      </x:c>
      <x:c r="B223" s="117" t="str">
        <x:v>17. End-User Computing, Collaboration, Contact Centre &amp; Business Applications</x:v>
      </x:c>
      <x:c r="C223" s="115" t="str">
        <x:v>Deliver secure digital workplaces, customer-service channels and enterprise business capabilities.</x:v>
      </x:c>
      <x:c r="D223" s="115" t="str">
        <x:v>Digital commerce and customer experience</x:v>
      </x:c>
      <x:c r="E223" s="115" t="str">
        <x:v>What outcome and non-functional requirements justify digital commerce and customer experience, and what is the simplest managed implementation?</x:v>
      </x:c>
      <x:c r="F223" s="115" t="str">
        <x:v>Adopt &amp; Build</x:v>
      </x:c>
      <x:c r="G223" s="115" t="str">
        <x:v>End user computing / Business applications</x:v>
      </x:c>
      <x:c r="H223" s="115" t="str">
        <x:v>Virtual desktop infrastructure / Microsoft business cloud</x:v>
      </x:c>
      <x:c r="I223" s="115" t="str">
        <x:v>Industry solutions / Google Workspace</x:v>
      </x:c>
      <x:c r="J223" s="115" t="str">
        <x:v>https://docs.aws.amazon.com/whitepapers/latest/aws-overview/amazon-web-services-cloud-platform.html</x:v>
      </x:c>
    </x:row>
    <x:row r="224">
      <x:c r="A224" s="116" t="str">
        <x:v>5. Engineering, Operations &amp; Transformation</x:v>
      </x:c>
      <x:c r="B224" s="117" t="str">
        <x:v>18. Developer Experience, DevOps, Platform Engineering &amp; Software Supply Chain</x:v>
      </x:c>
      <x:c r="C224" s="115" t="str">
        <x:v>Create repeatable, secure and efficient paths from code to production.</x:v>
      </x:c>
      <x:c r="D224" s="115" t="str">
        <x:v>Source control and repository management</x:v>
      </x:c>
      <x:c r="E224" s="115" t="str">
        <x:v>What outcome and non-functional requirements justify source control and repository management, and what is the simplest managed implementation?</x:v>
      </x:c>
      <x:c r="F224" s="115" t="str">
        <x:v>Build &amp; Release</x:v>
      </x:c>
      <x:c r="G224" s="115" t="str">
        <x:v>Developer tools / Containers</x:v>
      </x:c>
      <x:c r="H224" s="115" t="str">
        <x:v>Developer Tools / DevOps</x:v>
      </x:c>
      <x:c r="I224" s="115" t="str">
        <x:v>Application development / Infrastructure as code</x:v>
      </x:c>
      <x:c r="J224" s="115" t="str">
        <x:v>https://docs.cloud.google.com/docs/product-list</x:v>
      </x:c>
    </x:row>
    <x:row r="225">
      <x:c r="A225" s="116" t="str">
        <x:v>5. Engineering, Operations &amp; Transformation</x:v>
      </x:c>
      <x:c r="B225" s="117" t="str">
        <x:v>18. Developer Experience, DevOps, Platform Engineering &amp; Software Supply Chain</x:v>
      </x:c>
      <x:c r="C225" s="115" t="str">
        <x:v>Create repeatable, secure and efficient paths from code to production.</x:v>
      </x:c>
      <x:c r="D225" s="115" t="str">
        <x:v>Continuous integration and automated testing</x:v>
      </x:c>
      <x:c r="E225" s="115" t="str">
        <x:v>What outcome and non-functional requirements justify continuous integration and automated testing, and what is the simplest managed implementation?</x:v>
      </x:c>
      <x:c r="F225" s="115" t="str">
        <x:v>Build &amp; Release</x:v>
      </x:c>
      <x:c r="G225" s="115" t="str">
        <x:v>Developer tools / Containers</x:v>
      </x:c>
      <x:c r="H225" s="115" t="str">
        <x:v>Developer Tools / DevOps</x:v>
      </x:c>
      <x:c r="I225" s="115" t="str">
        <x:v>Application development / Infrastructure as code</x:v>
      </x:c>
      <x:c r="J225" s="115" t="str">
        <x:v>https://docs.cloud.google.com/docs/product-list</x:v>
      </x:c>
    </x:row>
    <x:row r="226">
      <x:c r="A226" s="116" t="str">
        <x:v>5. Engineering, Operations &amp; Transformation</x:v>
      </x:c>
      <x:c r="B226" s="117" t="str">
        <x:v>18. Developer Experience, DevOps, Platform Engineering &amp; Software Supply Chain</x:v>
      </x:c>
      <x:c r="C226" s="115" t="str">
        <x:v>Create repeatable, secure and efficient paths from code to production.</x:v>
      </x:c>
      <x:c r="D226" s="115" t="str">
        <x:v>Continuous delivery and progressive deployment</x:v>
      </x:c>
      <x:c r="E226" s="115" t="str">
        <x:v>What outcome and non-functional requirements justify continuous delivery and progressive deployment, and what is the simplest managed implementation?</x:v>
      </x:c>
      <x:c r="F226" s="115" t="str">
        <x:v>Build &amp; Release</x:v>
      </x:c>
      <x:c r="G226" s="115" t="str">
        <x:v>Developer tools / Containers</x:v>
      </x:c>
      <x:c r="H226" s="115" t="str">
        <x:v>Developer Tools / DevOps</x:v>
      </x:c>
      <x:c r="I226" s="115" t="str">
        <x:v>Application development / Infrastructure as code</x:v>
      </x:c>
      <x:c r="J226" s="115" t="str">
        <x:v>https://docs.cloud.google.com/docs/product-list</x:v>
      </x:c>
    </x:row>
    <x:row r="227">
      <x:c r="A227" s="116" t="str">
        <x:v>5. Engineering, Operations &amp; Transformation</x:v>
      </x:c>
      <x:c r="B227" s="117" t="str">
        <x:v>18. Developer Experience, DevOps, Platform Engineering &amp; Software Supply Chain</x:v>
      </x:c>
      <x:c r="C227" s="115" t="str">
        <x:v>Create repeatable, secure and efficient paths from code to production.</x:v>
      </x:c>
      <x:c r="D227" s="115" t="str">
        <x:v>Artifact, package and container repositories</x:v>
      </x:c>
      <x:c r="E227" s="115" t="str">
        <x:v>What outcome and non-functional requirements justify artifact, package and container repositories, and what is the simplest managed implementation?</x:v>
      </x:c>
      <x:c r="F227" s="115" t="str">
        <x:v>Build &amp; Release</x:v>
      </x:c>
      <x:c r="G227" s="115" t="str">
        <x:v>Developer tools / Containers</x:v>
      </x:c>
      <x:c r="H227" s="115" t="str">
        <x:v>Developer Tools / DevOps</x:v>
      </x:c>
      <x:c r="I227" s="115" t="str">
        <x:v>Application development / Infrastructure as code</x:v>
      </x:c>
      <x:c r="J227" s="115" t="str">
        <x:v>https://docs.cloud.google.com/docs/product-list</x:v>
      </x:c>
    </x:row>
    <x:row r="228">
      <x:c r="A228" s="116" t="str">
        <x:v>5. Engineering, Operations &amp; Transformation</x:v>
      </x:c>
      <x:c r="B228" s="117" t="str">
        <x:v>18. Developer Experience, DevOps, Platform Engineering &amp; Software Supply Chain</x:v>
      </x:c>
      <x:c r="C228" s="115" t="str">
        <x:v>Create repeatable, secure and efficient paths from code to production.</x:v>
      </x:c>
      <x:c r="D228" s="115" t="str">
        <x:v>Software composition, vulnerability and licence analysis</x:v>
      </x:c>
      <x:c r="E228" s="115" t="str">
        <x:v>What outcome and non-functional requirements justify software composition, vulnerability and licence analysis, and what is the simplest managed implementation?</x:v>
      </x:c>
      <x:c r="F228" s="115" t="str">
        <x:v>Build &amp; Release</x:v>
      </x:c>
      <x:c r="G228" s="115" t="str">
        <x:v>Developer tools / Containers</x:v>
      </x:c>
      <x:c r="H228" s="115" t="str">
        <x:v>Developer Tools / DevOps</x:v>
      </x:c>
      <x:c r="I228" s="115" t="str">
        <x:v>Application development / Infrastructure as code</x:v>
      </x:c>
      <x:c r="J228" s="115" t="str">
        <x:v>https://docs.cloud.google.com/docs/product-list</x:v>
      </x:c>
    </x:row>
    <x:row r="229">
      <x:c r="A229" s="116" t="str">
        <x:v>5. Engineering, Operations &amp; Transformation</x:v>
      </x:c>
      <x:c r="B229" s="117" t="str">
        <x:v>18. Developer Experience, DevOps, Platform Engineering &amp; Software Supply Chain</x:v>
      </x:c>
      <x:c r="C229" s="115" t="str">
        <x:v>Create repeatable, secure and efficient paths from code to production.</x:v>
      </x:c>
      <x:c r="D229" s="115" t="str">
        <x:v>SBOM, signing, provenance and binary authorisation</x:v>
      </x:c>
      <x:c r="E229" s="115" t="str">
        <x:v>What outcome and non-functional requirements justify sbom, signing, provenance and binary authorisation, and what is the simplest managed implementation?</x:v>
      </x:c>
      <x:c r="F229" s="115" t="str">
        <x:v>Build &amp; Release</x:v>
      </x:c>
      <x:c r="G229" s="115" t="str">
        <x:v>Developer tools / Containers</x:v>
      </x:c>
      <x:c r="H229" s="115" t="str">
        <x:v>Developer Tools / DevOps</x:v>
      </x:c>
      <x:c r="I229" s="115" t="str">
        <x:v>Application development / Infrastructure as code</x:v>
      </x:c>
      <x:c r="J229" s="115" t="str">
        <x:v>https://docs.cloud.google.com/docs/product-list</x:v>
      </x:c>
    </x:row>
    <x:row r="230">
      <x:c r="A230" s="116" t="str">
        <x:v>5. Engineering, Operations &amp; Transformation</x:v>
      </x:c>
      <x:c r="B230" s="117" t="str">
        <x:v>18. Developer Experience, DevOps, Platform Engineering &amp; Software Supply Chain</x:v>
      </x:c>
      <x:c r="C230" s="115" t="str">
        <x:v>Create repeatable, secure and efficient paths from code to production.</x:v>
      </x:c>
      <x:c r="D230" s="115" t="str">
        <x:v>Infrastructure as code and configuration as code</x:v>
      </x:c>
      <x:c r="E230" s="115" t="str">
        <x:v>What outcome and non-functional requirements justify infrastructure as code and configuration as code, and what is the simplest managed implementation?</x:v>
      </x:c>
      <x:c r="F230" s="115" t="str">
        <x:v>Build &amp; Release</x:v>
      </x:c>
      <x:c r="G230" s="115" t="str">
        <x:v>Developer tools / Containers</x:v>
      </x:c>
      <x:c r="H230" s="115" t="str">
        <x:v>Developer Tools / DevOps</x:v>
      </x:c>
      <x:c r="I230" s="115" t="str">
        <x:v>Application development / Infrastructure as code</x:v>
      </x:c>
      <x:c r="J230" s="115" t="str">
        <x:v>https://docs.cloud.google.com/docs/product-list</x:v>
      </x:c>
    </x:row>
    <x:row r="231">
      <x:c r="A231" s="116" t="str">
        <x:v>5. Engineering, Operations &amp; Transformation</x:v>
      </x:c>
      <x:c r="B231" s="117" t="str">
        <x:v>18. Developer Experience, DevOps, Platform Engineering &amp; Software Supply Chain</x:v>
      </x:c>
      <x:c r="C231" s="115" t="str">
        <x:v>Create repeatable, secure and efficient paths from code to production.</x:v>
      </x:c>
      <x:c r="D231" s="115" t="str">
        <x:v>Policy as code and compliance in delivery pipelines</x:v>
      </x:c>
      <x:c r="E231" s="115" t="str">
        <x:v>What outcome and non-functional requirements justify policy as code and compliance in delivery pipelines, and what is the simplest managed implementation?</x:v>
      </x:c>
      <x:c r="F231" s="115" t="str">
        <x:v>Build &amp; Release</x:v>
      </x:c>
      <x:c r="G231" s="115" t="str">
        <x:v>Developer tools / Containers</x:v>
      </x:c>
      <x:c r="H231" s="115" t="str">
        <x:v>Developer Tools / DevOps</x:v>
      </x:c>
      <x:c r="I231" s="115" t="str">
        <x:v>Application development / Infrastructure as code</x:v>
      </x:c>
      <x:c r="J231" s="115" t="str">
        <x:v>https://docs.cloud.google.com/docs/product-list</x:v>
      </x:c>
    </x:row>
    <x:row r="232">
      <x:c r="A232" s="116" t="str">
        <x:v>5. Engineering, Operations &amp; Transformation</x:v>
      </x:c>
      <x:c r="B232" s="117" t="str">
        <x:v>18. Developer Experience, DevOps, Platform Engineering &amp; Software Supply Chain</x:v>
      </x:c>
      <x:c r="C232" s="115" t="str">
        <x:v>Create repeatable, secure and efficient paths from code to production.</x:v>
      </x:c>
      <x:c r="D232" s="115" t="str">
        <x:v>Cloud IDEs, workstations, shells, SDKs and CLIs</x:v>
      </x:c>
      <x:c r="E232" s="115" t="str">
        <x:v>What outcome and non-functional requirements justify cloud ides, workstations, shells, sdks and clis, and what is the simplest managed implementation?</x:v>
      </x:c>
      <x:c r="F232" s="115" t="str">
        <x:v>Build &amp; Release</x:v>
      </x:c>
      <x:c r="G232" s="115" t="str">
        <x:v>Developer tools / Containers</x:v>
      </x:c>
      <x:c r="H232" s="115" t="str">
        <x:v>Developer Tools / DevOps</x:v>
      </x:c>
      <x:c r="I232" s="115" t="str">
        <x:v>Application development / Infrastructure as code</x:v>
      </x:c>
      <x:c r="J232" s="115" t="str">
        <x:v>https://docs.cloud.google.com/docs/product-list</x:v>
      </x:c>
    </x:row>
    <x:row r="233">
      <x:c r="A233" s="116" t="str">
        <x:v>5. Engineering, Operations &amp; Transformation</x:v>
      </x:c>
      <x:c r="B233" s="117" t="str">
        <x:v>18. Developer Experience, DevOps, Platform Engineering &amp; Software Supply Chain</x:v>
      </x:c>
      <x:c r="C233" s="115" t="str">
        <x:v>Create repeatable, secure and efficient paths from code to production.</x:v>
      </x:c>
      <x:c r="D233" s="115" t="str">
        <x:v>Internal developer portals and golden paths</x:v>
      </x:c>
      <x:c r="E233" s="115" t="str">
        <x:v>What outcome and non-functional requirements justify internal developer portals and golden paths, and what is the simplest managed implementation?</x:v>
      </x:c>
      <x:c r="F233" s="115" t="str">
        <x:v>Build &amp; Release</x:v>
      </x:c>
      <x:c r="G233" s="115" t="str">
        <x:v>Developer tools / Containers</x:v>
      </x:c>
      <x:c r="H233" s="115" t="str">
        <x:v>Developer Tools / DevOps</x:v>
      </x:c>
      <x:c r="I233" s="115" t="str">
        <x:v>Application development / Infrastructure as code</x:v>
      </x:c>
      <x:c r="J233" s="115" t="str">
        <x:v>https://docs.cloud.google.com/docs/product-list</x:v>
      </x:c>
    </x:row>
    <x:row r="234">
      <x:c r="A234" s="116" t="str">
        <x:v>5. Engineering, Operations &amp; Transformation</x:v>
      </x:c>
      <x:c r="B234" s="117" t="str">
        <x:v>18. Developer Experience, DevOps, Platform Engineering &amp; Software Supply Chain</x:v>
      </x:c>
      <x:c r="C234" s="115" t="str">
        <x:v>Create repeatable, secure and efficient paths from code to production.</x:v>
      </x:c>
      <x:c r="D234" s="115" t="str">
        <x:v>Platform engineering and self-service environments</x:v>
      </x:c>
      <x:c r="E234" s="115" t="str">
        <x:v>What outcome and non-functional requirements justify platform engineering and self-service environments, and what is the simplest managed implementation?</x:v>
      </x:c>
      <x:c r="F234" s="115" t="str">
        <x:v>Build &amp; Release</x:v>
      </x:c>
      <x:c r="G234" s="115" t="str">
        <x:v>Developer tools / Containers</x:v>
      </x:c>
      <x:c r="H234" s="115" t="str">
        <x:v>Developer Tools / DevOps</x:v>
      </x:c>
      <x:c r="I234" s="115" t="str">
        <x:v>Application development / Infrastructure as code</x:v>
      </x:c>
      <x:c r="J234" s="115" t="str">
        <x:v>https://docs.cloud.google.com/docs/product-list</x:v>
      </x:c>
    </x:row>
    <x:row r="235">
      <x:c r="A235" s="116" t="str">
        <x:v>5. Engineering, Operations &amp; Transformation</x:v>
      </x:c>
      <x:c r="B235" s="117" t="str">
        <x:v>18. Developer Experience, DevOps, Platform Engineering &amp; Software Supply Chain</x:v>
      </x:c>
      <x:c r="C235" s="115" t="str">
        <x:v>Create repeatable, secure and efficient paths from code to production.</x:v>
      </x:c>
      <x:c r="D235" s="115" t="str">
        <x:v>Release, change and environment management</x:v>
      </x:c>
      <x:c r="E235" s="115" t="str">
        <x:v>What outcome and non-functional requirements justify release, change and environment management, and what is the simplest managed implementation?</x:v>
      </x:c>
      <x:c r="F235" s="115" t="str">
        <x:v>Build &amp; Release</x:v>
      </x:c>
      <x:c r="G235" s="115" t="str">
        <x:v>Developer tools / Containers</x:v>
      </x:c>
      <x:c r="H235" s="115" t="str">
        <x:v>Developer Tools / DevOps</x:v>
      </x:c>
      <x:c r="I235" s="115" t="str">
        <x:v>Application development / Infrastructure as code</x:v>
      </x:c>
      <x:c r="J235" s="115" t="str">
        <x:v>https://docs.cloud.google.com/docs/product-list</x:v>
      </x:c>
    </x:row>
    <x:row r="236">
      <x:c r="A236" s="116" t="str">
        <x:v>5. Engineering, Operations &amp; Transformation</x:v>
      </x:c>
      <x:c r="B236" s="117" t="str">
        <x:v>18. Developer Experience, DevOps, Platform Engineering &amp; Software Supply Chain</x:v>
      </x:c>
      <x:c r="C236" s="115" t="str">
        <x:v>Create repeatable, secure and efficient paths from code to production.</x:v>
      </x:c>
      <x:c r="D236" s="115" t="str">
        <x:v>Chaos, fault injection and resilience testing</x:v>
      </x:c>
      <x:c r="E236" s="115" t="str">
        <x:v>What outcome and non-functional requirements justify chaos, fault injection and resilience testing, and what is the simplest managed implementation?</x:v>
      </x:c>
      <x:c r="F236" s="115" t="str">
        <x:v>Build &amp; Release</x:v>
      </x:c>
      <x:c r="G236" s="115" t="str">
        <x:v>Developer tools / Containers</x:v>
      </x:c>
      <x:c r="H236" s="115" t="str">
        <x:v>Developer Tools / DevOps</x:v>
      </x:c>
      <x:c r="I236" s="115" t="str">
        <x:v>Application development / Infrastructure as code</x:v>
      </x:c>
      <x:c r="J236" s="115" t="str">
        <x:v>https://docs.cloud.google.com/docs/product-list</x:v>
      </x:c>
    </x:row>
    <x:row r="237">
      <x:c r="A237" s="116" t="str">
        <x:v>5. Engineering, Operations &amp; Transformation</x:v>
      </x:c>
      <x:c r="B237" s="117" t="str">
        <x:v>19. Observability, Reliability, Performance, Operations, ITSM &amp; Support</x:v>
      </x:c>
      <x:c r="C237" s="115" t="str">
        <x:v>Operate services safely through visibility, automation, resilience and effective support processes.</x:v>
      </x:c>
      <x:c r="D237" s="115" t="str">
        <x:v>Metrics, dashboards and alerting</x:v>
      </x:c>
      <x:c r="E237" s="115" t="str">
        <x:v>What outcome and non-functional requirements justify metrics, dashboards and alerting, and what is the simplest managed implementation?</x:v>
      </x:c>
      <x:c r="F237" s="115" t="str">
        <x:v>Manage &amp; Optimise</x:v>
      </x:c>
      <x:c r="G237" s="115" t="str">
        <x:v>Management and governance / Customer enablement / Developer tools</x:v>
      </x:c>
      <x:c r="H237" s="115" t="str">
        <x:v>Management and Governance / DevOps</x:v>
      </x:c>
      <x:c r="I237" s="115" t="str">
        <x:v>Observability and monitoring / Cross-product tools</x:v>
      </x:c>
      <x:c r="J237" s="115" t="str">
        <x:v>https://docs.aws.amazon.com/wellarchitected/latest/userguide/waf.html</x:v>
      </x:c>
    </x:row>
    <x:row r="238">
      <x:c r="A238" s="116" t="str">
        <x:v>5. Engineering, Operations &amp; Transformation</x:v>
      </x:c>
      <x:c r="B238" s="117" t="str">
        <x:v>19. Observability, Reliability, Performance, Operations, ITSM &amp; Support</x:v>
      </x:c>
      <x:c r="C238" s="115" t="str">
        <x:v>Operate services safely through visibility, automation, resilience and effective support processes.</x:v>
      </x:c>
      <x:c r="D238" s="115" t="str">
        <x:v>Central logging and log routing</x:v>
      </x:c>
      <x:c r="E238" s="115" t="str">
        <x:v>What outcome and non-functional requirements justify central logging and log routing, and what is the simplest managed implementation?</x:v>
      </x:c>
      <x:c r="F238" s="115" t="str">
        <x:v>Manage &amp; Optimise</x:v>
      </x:c>
      <x:c r="G238" s="115" t="str">
        <x:v>Management and governance / Customer enablement / Developer tools</x:v>
      </x:c>
      <x:c r="H238" s="115" t="str">
        <x:v>Management and Governance / DevOps</x:v>
      </x:c>
      <x:c r="I238" s="115" t="str">
        <x:v>Observability and monitoring / Cross-product tools</x:v>
      </x:c>
      <x:c r="J238" s="115" t="str">
        <x:v>https://docs.aws.amazon.com/wellarchitected/latest/userguide/waf.html</x:v>
      </x:c>
    </x:row>
    <x:row r="239">
      <x:c r="A239" s="116" t="str">
        <x:v>5. Engineering, Operations &amp; Transformation</x:v>
      </x:c>
      <x:c r="B239" s="117" t="str">
        <x:v>19. Observability, Reliability, Performance, Operations, ITSM &amp; Support</x:v>
      </x:c>
      <x:c r="C239" s="115" t="str">
        <x:v>Operate services safely through visibility, automation, resilience and effective support processes.</x:v>
      </x:c>
      <x:c r="D239" s="115" t="str">
        <x:v>Distributed tracing and OpenTelemetry</x:v>
      </x:c>
      <x:c r="E239" s="115" t="str">
        <x:v>What outcome and non-functional requirements justify distributed tracing and opentelemetry, and what is the simplest managed implementation?</x:v>
      </x:c>
      <x:c r="F239" s="115" t="str">
        <x:v>Manage &amp; Optimise</x:v>
      </x:c>
      <x:c r="G239" s="115" t="str">
        <x:v>Management and governance / Customer enablement / Developer tools</x:v>
      </x:c>
      <x:c r="H239" s="115" t="str">
        <x:v>Management and Governance / DevOps</x:v>
      </x:c>
      <x:c r="I239" s="115" t="str">
        <x:v>Observability and monitoring / Cross-product tools</x:v>
      </x:c>
      <x:c r="J239" s="115" t="str">
        <x:v>https://docs.aws.amazon.com/wellarchitected/latest/userguide/waf.html</x:v>
      </x:c>
    </x:row>
    <x:row r="240">
      <x:c r="A240" s="116" t="str">
        <x:v>5. Engineering, Operations &amp; Transformation</x:v>
      </x:c>
      <x:c r="B240" s="117" t="str">
        <x:v>19. Observability, Reliability, Performance, Operations, ITSM &amp; Support</x:v>
      </x:c>
      <x:c r="C240" s="115" t="str">
        <x:v>Operate services safely through visibility, automation, resilience and effective support processes.</x:v>
      </x:c>
      <x:c r="D240" s="115" t="str">
        <x:v>Application performance monitoring</x:v>
      </x:c>
      <x:c r="E240" s="115" t="str">
        <x:v>What outcome and non-functional requirements justify application performance monitoring, and what is the simplest managed implementation?</x:v>
      </x:c>
      <x:c r="F240" s="115" t="str">
        <x:v>Manage &amp; Optimise</x:v>
      </x:c>
      <x:c r="G240" s="115" t="str">
        <x:v>Management and governance / Customer enablement / Developer tools</x:v>
      </x:c>
      <x:c r="H240" s="115" t="str">
        <x:v>Management and Governance / DevOps</x:v>
      </x:c>
      <x:c r="I240" s="115" t="str">
        <x:v>Observability and monitoring / Cross-product tools</x:v>
      </x:c>
      <x:c r="J240" s="115" t="str">
        <x:v>https://docs.aws.amazon.com/wellarchitected/latest/userguide/waf.html</x:v>
      </x:c>
    </x:row>
    <x:row r="241">
      <x:c r="A241" s="116" t="str">
        <x:v>5. Engineering, Operations &amp; Transformation</x:v>
      </x:c>
      <x:c r="B241" s="117" t="str">
        <x:v>19. Observability, Reliability, Performance, Operations, ITSM &amp; Support</x:v>
      </x:c>
      <x:c r="C241" s="115" t="str">
        <x:v>Operate services safely through visibility, automation, resilience and effective support processes.</x:v>
      </x:c>
      <x:c r="D241" s="115" t="str">
        <x:v>Prometheus, Grafana and open observability</x:v>
      </x:c>
      <x:c r="E241" s="115" t="str">
        <x:v>What outcome and non-functional requirements justify prometheus, grafana and open observability, and what is the simplest managed implementation?</x:v>
      </x:c>
      <x:c r="F241" s="115" t="str">
        <x:v>Manage &amp; Optimise</x:v>
      </x:c>
      <x:c r="G241" s="115" t="str">
        <x:v>Management and governance / Customer enablement / Developer tools</x:v>
      </x:c>
      <x:c r="H241" s="115" t="str">
        <x:v>Management and Governance / DevOps</x:v>
      </x:c>
      <x:c r="I241" s="115" t="str">
        <x:v>Observability and monitoring / Cross-product tools</x:v>
      </x:c>
      <x:c r="J241" s="115" t="str">
        <x:v>https://docs.aws.amazon.com/wellarchitected/latest/userguide/waf.html</x:v>
      </x:c>
    </x:row>
    <x:row r="242">
      <x:c r="A242" s="116" t="str">
        <x:v>5. Engineering, Operations &amp; Transformation</x:v>
      </x:c>
      <x:c r="B242" s="117" t="str">
        <x:v>19. Observability, Reliability, Performance, Operations, ITSM &amp; Support</x:v>
      </x:c>
      <x:c r="C242" s="115" t="str">
        <x:v>Operate services safely through visibility, automation, resilience and effective support processes.</x:v>
      </x:c>
      <x:c r="D242" s="115" t="str">
        <x:v>Error reporting, crash analytics and profiling</x:v>
      </x:c>
      <x:c r="E242" s="115" t="str">
        <x:v>What outcome and non-functional requirements justify error reporting, crash analytics and profiling, and what is the simplest managed implementation?</x:v>
      </x:c>
      <x:c r="F242" s="115" t="str">
        <x:v>Manage &amp; Optimise</x:v>
      </x:c>
      <x:c r="G242" s="115" t="str">
        <x:v>Management and governance / Customer enablement / Developer tools</x:v>
      </x:c>
      <x:c r="H242" s="115" t="str">
        <x:v>Management and Governance / DevOps</x:v>
      </x:c>
      <x:c r="I242" s="115" t="str">
        <x:v>Observability and monitoring / Cross-product tools</x:v>
      </x:c>
      <x:c r="J242" s="115" t="str">
        <x:v>https://docs.aws.amazon.com/wellarchitected/latest/userguide/waf.html</x:v>
      </x:c>
    </x:row>
    <x:row r="243">
      <x:c r="A243" s="116" t="str">
        <x:v>5. Engineering, Operations &amp; Transformation</x:v>
      </x:c>
      <x:c r="B243" s="117" t="str">
        <x:v>19. Observability, Reliability, Performance, Operations, ITSM &amp; Support</x:v>
      </x:c>
      <x:c r="C243" s="115" t="str">
        <x:v>Operate services safely through visibility, automation, resilience and effective support processes.</x:v>
      </x:c>
      <x:c r="D243" s="115" t="str">
        <x:v>Synthetic, real-user and digital-experience monitoring</x:v>
      </x:c>
      <x:c r="E243" s="115" t="str">
        <x:v>What outcome and non-functional requirements justify synthetic, real-user and digital-experience monitoring, and what is the simplest managed implementation?</x:v>
      </x:c>
      <x:c r="F243" s="115" t="str">
        <x:v>Manage &amp; Optimise</x:v>
      </x:c>
      <x:c r="G243" s="115" t="str">
        <x:v>Management and governance / Customer enablement / Developer tools</x:v>
      </x:c>
      <x:c r="H243" s="115" t="str">
        <x:v>Management and Governance / DevOps</x:v>
      </x:c>
      <x:c r="I243" s="115" t="str">
        <x:v>Observability and monitoring / Cross-product tools</x:v>
      </x:c>
      <x:c r="J243" s="115" t="str">
        <x:v>https://docs.aws.amazon.com/wellarchitected/latest/userguide/waf.html</x:v>
      </x:c>
    </x:row>
    <x:row r="244">
      <x:c r="A244" s="116" t="str">
        <x:v>5. Engineering, Operations &amp; Transformation</x:v>
      </x:c>
      <x:c r="B244" s="117" t="str">
        <x:v>19. Observability, Reliability, Performance, Operations, ITSM &amp; Support</x:v>
      </x:c>
      <x:c r="C244" s="115" t="str">
        <x:v>Operate services safely through visibility, automation, resilience and effective support processes.</x:v>
      </x:c>
      <x:c r="D244" s="115" t="str">
        <x:v>SLIs, SLOs, error budgets and service ownership</x:v>
      </x:c>
      <x:c r="E244" s="115" t="str">
        <x:v>What outcome and non-functional requirements justify slis, slos, error budgets and service ownership, and what is the simplest managed implementation?</x:v>
      </x:c>
      <x:c r="F244" s="115" t="str">
        <x:v>Manage &amp; Optimise</x:v>
      </x:c>
      <x:c r="G244" s="115" t="str">
        <x:v>Management and governance / Customer enablement / Developer tools</x:v>
      </x:c>
      <x:c r="H244" s="115" t="str">
        <x:v>Management and Governance / DevOps</x:v>
      </x:c>
      <x:c r="I244" s="115" t="str">
        <x:v>Observability and monitoring / Cross-product tools</x:v>
      </x:c>
      <x:c r="J244" s="115" t="str">
        <x:v>https://docs.aws.amazon.com/wellarchitected/latest/userguide/waf.html</x:v>
      </x:c>
    </x:row>
    <x:row r="245">
      <x:c r="A245" s="116" t="str">
        <x:v>5. Engineering, Operations &amp; Transformation</x:v>
      </x:c>
      <x:c r="B245" s="117" t="str">
        <x:v>19. Observability, Reliability, Performance, Operations, ITSM &amp; Support</x:v>
      </x:c>
      <x:c r="C245" s="115" t="str">
        <x:v>Operate services safely through visibility, automation, resilience and effective support processes.</x:v>
      </x:c>
      <x:c r="D245" s="115" t="str">
        <x:v>Incident, problem and event management</x:v>
      </x:c>
      <x:c r="E245" s="115" t="str">
        <x:v>What outcome and non-functional requirements justify incident, problem and event management, and what is the simplest managed implementation?</x:v>
      </x:c>
      <x:c r="F245" s="115" t="str">
        <x:v>Manage &amp; Optimise</x:v>
      </x:c>
      <x:c r="G245" s="115" t="str">
        <x:v>Management and governance / Customer enablement / Developer tools</x:v>
      </x:c>
      <x:c r="H245" s="115" t="str">
        <x:v>Management and Governance / DevOps</x:v>
      </x:c>
      <x:c r="I245" s="115" t="str">
        <x:v>Observability and monitoring / Cross-product tools</x:v>
      </x:c>
      <x:c r="J245" s="115" t="str">
        <x:v>https://docs.aws.amazon.com/wellarchitected/latest/userguide/waf.html</x:v>
      </x:c>
    </x:row>
    <x:row r="246">
      <x:c r="A246" s="116" t="str">
        <x:v>5. Engineering, Operations &amp; Transformation</x:v>
      </x:c>
      <x:c r="B246" s="117" t="str">
        <x:v>19. Observability, Reliability, Performance, Operations, ITSM &amp; Support</x:v>
      </x:c>
      <x:c r="C246" s="115" t="str">
        <x:v>Operate services safely through visibility, automation, resilience and effective support processes.</x:v>
      </x:c>
      <x:c r="D246" s="115" t="str">
        <x:v>Reliability and resilience management</x:v>
      </x:c>
      <x:c r="E246" s="115" t="str">
        <x:v>What outcome and non-functional requirements justify reliability and resilience management, and what is the simplest managed implementation?</x:v>
      </x:c>
      <x:c r="F246" s="115" t="str">
        <x:v>Manage &amp; Optimise</x:v>
      </x:c>
      <x:c r="G246" s="115" t="str">
        <x:v>Management and governance / Customer enablement / Developer tools</x:v>
      </x:c>
      <x:c r="H246" s="115" t="str">
        <x:v>Management and Governance / DevOps</x:v>
      </x:c>
      <x:c r="I246" s="115" t="str">
        <x:v>Observability and monitoring / Cross-product tools</x:v>
      </x:c>
      <x:c r="J246" s="115" t="str">
        <x:v>https://docs.aws.amazon.com/wellarchitected/latest/userguide/waf.html</x:v>
      </x:c>
    </x:row>
    <x:row r="247">
      <x:c r="A247" s="116" t="str">
        <x:v>5. Engineering, Operations &amp; Transformation</x:v>
      </x:c>
      <x:c r="B247" s="117" t="str">
        <x:v>19. Observability, Reliability, Performance, Operations, ITSM &amp; Support</x:v>
      </x:c>
      <x:c r="C247" s="115" t="str">
        <x:v>Operate services safely through visibility, automation, resilience and effective support processes.</x:v>
      </x:c>
      <x:c r="D247" s="115" t="str">
        <x:v>Capacity, quota and performance engineering</x:v>
      </x:c>
      <x:c r="E247" s="115" t="str">
        <x:v>What outcome and non-functional requirements justify capacity, quota and performance engineering, and what is the simplest managed implementation?</x:v>
      </x:c>
      <x:c r="F247" s="115" t="str">
        <x:v>Manage &amp; Optimise</x:v>
      </x:c>
      <x:c r="G247" s="115" t="str">
        <x:v>Management and governance / Customer enablement / Developer tools</x:v>
      </x:c>
      <x:c r="H247" s="115" t="str">
        <x:v>Management and Governance / DevOps</x:v>
      </x:c>
      <x:c r="I247" s="115" t="str">
        <x:v>Observability and monitoring / Cross-product tools</x:v>
      </x:c>
      <x:c r="J247" s="115" t="str">
        <x:v>https://docs.aws.amazon.com/wellarchitected/latest/userguide/waf.html</x:v>
      </x:c>
    </x:row>
    <x:row r="248">
      <x:c r="A248" s="116" t="str">
        <x:v>5. Engineering, Operations &amp; Transformation</x:v>
      </x:c>
      <x:c r="B248" s="117" t="str">
        <x:v>19. Observability, Reliability, Performance, Operations, ITSM &amp; Support</x:v>
      </x:c>
      <x:c r="C248" s="115" t="str">
        <x:v>Operate services safely through visibility, automation, resilience and effective support processes.</x:v>
      </x:c>
      <x:c r="D248" s="115" t="str">
        <x:v>Patch, configuration and fleet operations</x:v>
      </x:c>
      <x:c r="E248" s="115" t="str">
        <x:v>What outcome and non-functional requirements justify patch, configuration and fleet operations, and what is the simplest managed implementation?</x:v>
      </x:c>
      <x:c r="F248" s="115" t="str">
        <x:v>Manage &amp; Optimise</x:v>
      </x:c>
      <x:c r="G248" s="115" t="str">
        <x:v>Management and governance / Customer enablement / Developer tools</x:v>
      </x:c>
      <x:c r="H248" s="115" t="str">
        <x:v>Management and Governance / DevOps</x:v>
      </x:c>
      <x:c r="I248" s="115" t="str">
        <x:v>Observability and monitoring / Cross-product tools</x:v>
      </x:c>
      <x:c r="J248" s="115" t="str">
        <x:v>https://docs.aws.amazon.com/wellarchitected/latest/userguide/waf.html</x:v>
      </x:c>
    </x:row>
    <x:row r="249">
      <x:c r="A249" s="116" t="str">
        <x:v>5. Engineering, Operations &amp; Transformation</x:v>
      </x:c>
      <x:c r="B249" s="117" t="str">
        <x:v>19. Observability, Reliability, Performance, Operations, ITSM &amp; Support</x:v>
      </x:c>
      <x:c r="C249" s="115" t="str">
        <x:v>Operate services safely through visibility, automation, resilience and effective support processes.</x:v>
      </x:c>
      <x:c r="D249" s="115" t="str">
        <x:v>Service health, maintenance and status communications</x:v>
      </x:c>
      <x:c r="E249" s="115" t="str">
        <x:v>What outcome and non-functional requirements justify service health, maintenance and status communications, and what is the simplest managed implementation?</x:v>
      </x:c>
      <x:c r="F249" s="115" t="str">
        <x:v>Manage &amp; Optimise</x:v>
      </x:c>
      <x:c r="G249" s="115" t="str">
        <x:v>Management and governance / Customer enablement / Developer tools</x:v>
      </x:c>
      <x:c r="H249" s="115" t="str">
        <x:v>Management and Governance / DevOps</x:v>
      </x:c>
      <x:c r="I249" s="115" t="str">
        <x:v>Observability and monitoring / Cross-product tools</x:v>
      </x:c>
      <x:c r="J249" s="115" t="str">
        <x:v>https://docs.aws.amazon.com/wellarchitected/latest/userguide/waf.html</x:v>
      </x:c>
    </x:row>
    <x:row r="250">
      <x:c r="A250" s="116" t="str">
        <x:v>5. Engineering, Operations &amp; Transformation</x:v>
      </x:c>
      <x:c r="B250" s="117" t="str">
        <x:v>19. Observability, Reliability, Performance, Operations, ITSM &amp; Support</x:v>
      </x:c>
      <x:c r="C250" s="115" t="str">
        <x:v>Operate services safely through visibility, automation, resilience and effective support processes.</x:v>
      </x:c>
      <x:c r="D250" s="115" t="str">
        <x:v>ITSM, CMDB and service-management integration</x:v>
      </x:c>
      <x:c r="E250" s="115" t="str">
        <x:v>What outcome and non-functional requirements justify itsm, cmdb and service-management integration, and what is the simplest managed implementation?</x:v>
      </x:c>
      <x:c r="F250" s="115" t="str">
        <x:v>Manage &amp; Optimise</x:v>
      </x:c>
      <x:c r="G250" s="115" t="str">
        <x:v>Management and governance / Customer enablement / Developer tools</x:v>
      </x:c>
      <x:c r="H250" s="115" t="str">
        <x:v>Management and Governance / DevOps</x:v>
      </x:c>
      <x:c r="I250" s="115" t="str">
        <x:v>Observability and monitoring / Cross-product tools</x:v>
      </x:c>
      <x:c r="J250" s="115" t="str">
        <x:v>https://docs.aws.amazon.com/wellarchitected/latest/userguide/waf.html</x:v>
      </x:c>
    </x:row>
    <x:row r="251">
      <x:c r="A251" s="116" t="str">
        <x:v>5. Engineering, Operations &amp; Transformation</x:v>
      </x:c>
      <x:c r="B251" s="117" t="str">
        <x:v>19. Observability, Reliability, Performance, Operations, ITSM &amp; Support</x:v>
      </x:c>
      <x:c r="C251" s="115" t="str">
        <x:v>Operate services safely through visibility, automation, resilience and effective support processes.</x:v>
      </x:c>
      <x:c r="D251" s="115" t="str">
        <x:v>Technical support, escalation and managed operations</x:v>
      </x:c>
      <x:c r="E251" s="115" t="str">
        <x:v>What outcome and non-functional requirements justify technical support, escalation and managed operations, and what is the simplest managed implementation?</x:v>
      </x:c>
      <x:c r="F251" s="115" t="str">
        <x:v>Manage &amp; Optimise</x:v>
      </x:c>
      <x:c r="G251" s="115" t="str">
        <x:v>Management and governance / Customer enablement / Developer tools</x:v>
      </x:c>
      <x:c r="H251" s="115" t="str">
        <x:v>Management and Governance / DevOps</x:v>
      </x:c>
      <x:c r="I251" s="115" t="str">
        <x:v>Observability and monitoring / Cross-product tools</x:v>
      </x:c>
      <x:c r="J251" s="115" t="str">
        <x:v>https://docs.aws.amazon.com/wellarchitected/latest/userguide/waf.html</x:v>
      </x:c>
    </x:row>
    <x:row r="252">
      <x:c r="A252" s="116" t="str">
        <x:v>5. Engineering, Operations &amp; Transformation</x:v>
      </x:c>
      <x:c r="B252" s="117" t="str">
        <x:v>20. Migration, Modernisation, Hybrid, Multicloud &amp; Mainframe</x:v>
      </x:c>
      <x:c r="C252" s="115" t="str">
        <x:v>Move and transform workloads while managing coexistence across data centres and clouds.</x:v>
      </x:c>
      <x:c r="D252" s="115" t="str">
        <x:v>Estate discovery, dependency mapping and assessment</x:v>
      </x:c>
      <x:c r="E252" s="115" t="str">
        <x:v>What outcome and non-functional requirements justify estate discovery, dependency mapping and assessment, and what is the simplest managed implementation?</x:v>
      </x:c>
      <x:c r="F252" s="115" t="str">
        <x:v>Migrate &amp; Modernise</x:v>
      </x:c>
      <x:c r="G252" s="115" t="str">
        <x:v>Migration and transfer / Compute</x:v>
      </x:c>
      <x:c r="H252" s="115" t="str">
        <x:v>Migration / Hybrid + multicloud</x:v>
      </x:c>
      <x:c r="I252" s="115" t="str">
        <x:v>Migration / Distributed, hybrid, and multicloud</x:v>
      </x:c>
      <x:c r="J252" s="115" t="str">
        <x:v>https://learn.microsoft.com/en-us/azure/cloud-adoption-framework/</x:v>
      </x:c>
    </x:row>
    <x:row r="253">
      <x:c r="A253" s="116" t="str">
        <x:v>5. Engineering, Operations &amp; Transformation</x:v>
      </x:c>
      <x:c r="B253" s="117" t="str">
        <x:v>20. Migration, Modernisation, Hybrid, Multicloud &amp; Mainframe</x:v>
      </x:c>
      <x:c r="C253" s="115" t="str">
        <x:v>Move and transform workloads while managing coexistence across data centres and clouds.</x:v>
      </x:c>
      <x:c r="D253" s="115" t="str">
        <x:v>Migration business case and wave planning</x:v>
      </x:c>
      <x:c r="E253" s="115" t="str">
        <x:v>What outcome and non-functional requirements justify migration business case and wave planning, and what is the simplest managed implementation?</x:v>
      </x:c>
      <x:c r="F253" s="115" t="str">
        <x:v>Migrate &amp; Modernise</x:v>
      </x:c>
      <x:c r="G253" s="115" t="str">
        <x:v>Migration and transfer / Compute</x:v>
      </x:c>
      <x:c r="H253" s="115" t="str">
        <x:v>Migration / Hybrid + multicloud</x:v>
      </x:c>
      <x:c r="I253" s="115" t="str">
        <x:v>Migration / Distributed, hybrid, and multicloud</x:v>
      </x:c>
      <x:c r="J253" s="115" t="str">
        <x:v>https://learn.microsoft.com/en-us/azure/cloud-adoption-framework/</x:v>
      </x:c>
    </x:row>
    <x:row r="254">
      <x:c r="A254" s="116" t="str">
        <x:v>5. Engineering, Operations &amp; Transformation</x:v>
      </x:c>
      <x:c r="B254" s="117" t="str">
        <x:v>20. Migration, Modernisation, Hybrid, Multicloud &amp; Mainframe</x:v>
      </x:c>
      <x:c r="C254" s="115" t="str">
        <x:v>Move and transform workloads while managing coexistence across data centres and clouds.</x:v>
      </x:c>
      <x:c r="D254" s="115" t="str">
        <x:v>Virtual-machine and server migration</x:v>
      </x:c>
      <x:c r="E254" s="115" t="str">
        <x:v>What outcome and non-functional requirements justify virtual-machine and server migration, and what is the simplest managed implementation?</x:v>
      </x:c>
      <x:c r="F254" s="115" t="str">
        <x:v>Migrate &amp; Modernise</x:v>
      </x:c>
      <x:c r="G254" s="115" t="str">
        <x:v>Migration and transfer / Compute</x:v>
      </x:c>
      <x:c r="H254" s="115" t="str">
        <x:v>Migration / Hybrid + multicloud</x:v>
      </x:c>
      <x:c r="I254" s="115" t="str">
        <x:v>Migration / Distributed, hybrid, and multicloud</x:v>
      </x:c>
      <x:c r="J254" s="115" t="str">
        <x:v>https://learn.microsoft.com/en-us/azure/cloud-adoption-framework/</x:v>
      </x:c>
    </x:row>
    <x:row r="255">
      <x:c r="A255" s="116" t="str">
        <x:v>5. Engineering, Operations &amp; Transformation</x:v>
      </x:c>
      <x:c r="B255" s="117" t="str">
        <x:v>20. Migration, Modernisation, Hybrid, Multicloud &amp; Mainframe</x:v>
      </x:c>
      <x:c r="C255" s="115" t="str">
        <x:v>Move and transform workloads while managing coexistence across data centres and clouds.</x:v>
      </x:c>
      <x:c r="D255" s="115" t="str">
        <x:v>Database migration and schema modernisation</x:v>
      </x:c>
      <x:c r="E255" s="115" t="str">
        <x:v>What outcome and non-functional requirements justify database migration and schema modernisation, and what is the simplest managed implementation?</x:v>
      </x:c>
      <x:c r="F255" s="115" t="str">
        <x:v>Migrate &amp; Modernise</x:v>
      </x:c>
      <x:c r="G255" s="115" t="str">
        <x:v>Migration and transfer / Compute</x:v>
      </x:c>
      <x:c r="H255" s="115" t="str">
        <x:v>Migration / Hybrid + multicloud</x:v>
      </x:c>
      <x:c r="I255" s="115" t="str">
        <x:v>Migration / Distributed, hybrid, and multicloud</x:v>
      </x:c>
      <x:c r="J255" s="115" t="str">
        <x:v>https://learn.microsoft.com/en-us/azure/cloud-adoption-framework/</x:v>
      </x:c>
    </x:row>
    <x:row r="256">
      <x:c r="A256" s="116" t="str">
        <x:v>5. Engineering, Operations &amp; Transformation</x:v>
      </x:c>
      <x:c r="B256" s="117" t="str">
        <x:v>20. Migration, Modernisation, Hybrid, Multicloud &amp; Mainframe</x:v>
      </x:c>
      <x:c r="C256" s="115" t="str">
        <x:v>Move and transform workloads while managing coexistence across data centres and clouds.</x:v>
      </x:c>
      <x:c r="D256" s="115" t="str">
        <x:v>Data migration and cross-cloud transfer</x:v>
      </x:c>
      <x:c r="E256" s="115" t="str">
        <x:v>What outcome and non-functional requirements justify data migration and cross-cloud transfer, and what is the simplest managed implementation?</x:v>
      </x:c>
      <x:c r="F256" s="115" t="str">
        <x:v>Migrate &amp; Modernise</x:v>
      </x:c>
      <x:c r="G256" s="115" t="str">
        <x:v>Migration and transfer / Compute</x:v>
      </x:c>
      <x:c r="H256" s="115" t="str">
        <x:v>Migration / Hybrid + multicloud</x:v>
      </x:c>
      <x:c r="I256" s="115" t="str">
        <x:v>Migration / Distributed, hybrid, and multicloud</x:v>
      </x:c>
      <x:c r="J256" s="115" t="str">
        <x:v>https://learn.microsoft.com/en-us/azure/cloud-adoption-framework/</x:v>
      </x:c>
    </x:row>
    <x:row r="257">
      <x:c r="A257" s="116" t="str">
        <x:v>5. Engineering, Operations &amp; Transformation</x:v>
      </x:c>
      <x:c r="B257" s="117" t="str">
        <x:v>20. Migration, Modernisation, Hybrid, Multicloud &amp; Mainframe</x:v>
      </x:c>
      <x:c r="C257" s="115" t="str">
        <x:v>Move and transform workloads while managing coexistence across data centres and clouds.</x:v>
      </x:c>
      <x:c r="D257" s="115" t="str">
        <x:v>Application replatforming, refactoring and containerisation</x:v>
      </x:c>
      <x:c r="E257" s="115" t="str">
        <x:v>What outcome and non-functional requirements justify application replatforming, refactoring and containerisation, and what is the simplest managed implementation?</x:v>
      </x:c>
      <x:c r="F257" s="115" t="str">
        <x:v>Migrate &amp; Modernise</x:v>
      </x:c>
      <x:c r="G257" s="115" t="str">
        <x:v>Migration and transfer / Compute</x:v>
      </x:c>
      <x:c r="H257" s="115" t="str">
        <x:v>Migration / Hybrid + multicloud</x:v>
      </x:c>
      <x:c r="I257" s="115" t="str">
        <x:v>Migration / Distributed, hybrid, and multicloud</x:v>
      </x:c>
      <x:c r="J257" s="115" t="str">
        <x:v>https://learn.microsoft.com/en-us/azure/cloud-adoption-framework/</x:v>
      </x:c>
    </x:row>
    <x:row r="258">
      <x:c r="A258" s="116" t="str">
        <x:v>5. Engineering, Operations &amp; Transformation</x:v>
      </x:c>
      <x:c r="B258" s="117" t="str">
        <x:v>20. Migration, Modernisation, Hybrid, Multicloud &amp; Mainframe</x:v>
      </x:c>
      <x:c r="C258" s="115" t="str">
        <x:v>Move and transform workloads while managing coexistence across data centres and clouds.</x:v>
      </x:c>
      <x:c r="D258" s="115" t="str">
        <x:v>Mainframe and midrange modernisation</x:v>
      </x:c>
      <x:c r="E258" s="115" t="str">
        <x:v>What outcome and non-functional requirements justify mainframe and midrange modernisation, and what is the simplest managed implementation?</x:v>
      </x:c>
      <x:c r="F258" s="115" t="str">
        <x:v>Migrate &amp; Modernise</x:v>
      </x:c>
      <x:c r="G258" s="115" t="str">
        <x:v>Migration and transfer / Compute</x:v>
      </x:c>
      <x:c r="H258" s="115" t="str">
        <x:v>Migration / Hybrid + multicloud</x:v>
      </x:c>
      <x:c r="I258" s="115" t="str">
        <x:v>Migration / Distributed, hybrid, and multicloud</x:v>
      </x:c>
      <x:c r="J258" s="115" t="str">
        <x:v>https://learn.microsoft.com/en-us/azure/cloud-adoption-framework/</x:v>
      </x:c>
    </x:row>
    <x:row r="259">
      <x:c r="A259" s="116" t="str">
        <x:v>5. Engineering, Operations &amp; Transformation</x:v>
      </x:c>
      <x:c r="B259" s="117" t="str">
        <x:v>20. Migration, Modernisation, Hybrid, Multicloud &amp; Mainframe</x:v>
      </x:c>
      <x:c r="C259" s="115" t="str">
        <x:v>Move and transform workloads while managing coexistence across data centres and clouds.</x:v>
      </x:c>
      <x:c r="D259" s="115" t="str">
        <x:v>VMware migration and hosted VMware</x:v>
      </x:c>
      <x:c r="E259" s="115" t="str">
        <x:v>What outcome and non-functional requirements justify vmware migration and hosted vmware, and what is the simplest managed implementation?</x:v>
      </x:c>
      <x:c r="F259" s="115" t="str">
        <x:v>Migrate &amp; Modernise</x:v>
      </x:c>
      <x:c r="G259" s="115" t="str">
        <x:v>Migration and transfer / Compute</x:v>
      </x:c>
      <x:c r="H259" s="115" t="str">
        <x:v>Migration / Hybrid + multicloud</x:v>
      </x:c>
      <x:c r="I259" s="115" t="str">
        <x:v>Migration / Distributed, hybrid, and multicloud</x:v>
      </x:c>
      <x:c r="J259" s="115" t="str">
        <x:v>https://learn.microsoft.com/en-us/azure/cloud-adoption-framework/</x:v>
      </x:c>
    </x:row>
    <x:row r="260">
      <x:c r="A260" s="116" t="str">
        <x:v>5. Engineering, Operations &amp; Transformation</x:v>
      </x:c>
      <x:c r="B260" s="117" t="str">
        <x:v>20. Migration, Modernisation, Hybrid, Multicloud &amp; Mainframe</x:v>
      </x:c>
      <x:c r="C260" s="115" t="str">
        <x:v>Move and transform workloads while managing coexistence across data centres and clouds.</x:v>
      </x:c>
      <x:c r="D260" s="115" t="str">
        <x:v>SAP, Oracle and enterprise application migration</x:v>
      </x:c>
      <x:c r="E260" s="115" t="str">
        <x:v>What outcome and non-functional requirements justify sap, oracle and enterprise application migration, and what is the simplest managed implementation?</x:v>
      </x:c>
      <x:c r="F260" s="115" t="str">
        <x:v>Migrate &amp; Modernise</x:v>
      </x:c>
      <x:c r="G260" s="115" t="str">
        <x:v>Migration and transfer / Compute</x:v>
      </x:c>
      <x:c r="H260" s="115" t="str">
        <x:v>Migration / Hybrid + multicloud</x:v>
      </x:c>
      <x:c r="I260" s="115" t="str">
        <x:v>Migration / Distributed, hybrid, and multicloud</x:v>
      </x:c>
      <x:c r="J260" s="115" t="str">
        <x:v>https://learn.microsoft.com/en-us/azure/cloud-adoption-framework/</x:v>
      </x:c>
    </x:row>
    <x:row r="261">
      <x:c r="A261" s="116" t="str">
        <x:v>5. Engineering, Operations &amp; Transformation</x:v>
      </x:c>
      <x:c r="B261" s="117" t="str">
        <x:v>20. Migration, Modernisation, Hybrid, Multicloud &amp; Mainframe</x:v>
      </x:c>
      <x:c r="C261" s="115" t="str">
        <x:v>Move and transform workloads while managing coexistence across data centres and clouds.</x:v>
      </x:c>
      <x:c r="D261" s="115" t="str">
        <x:v>Hybrid infrastructure and cloud extensions</x:v>
      </x:c>
      <x:c r="E261" s="115" t="str">
        <x:v>What outcome and non-functional requirements justify hybrid infrastructure and cloud extensions, and what is the simplest managed implementation?</x:v>
      </x:c>
      <x:c r="F261" s="115" t="str">
        <x:v>Migrate &amp; Modernise</x:v>
      </x:c>
      <x:c r="G261" s="115" t="str">
        <x:v>Migration and transfer / Compute</x:v>
      </x:c>
      <x:c r="H261" s="115" t="str">
        <x:v>Migration / Hybrid + multicloud</x:v>
      </x:c>
      <x:c r="I261" s="115" t="str">
        <x:v>Migration / Distributed, hybrid, and multicloud</x:v>
      </x:c>
      <x:c r="J261" s="115" t="str">
        <x:v>https://learn.microsoft.com/en-us/azure/cloud-adoption-framework/</x:v>
      </x:c>
    </x:row>
    <x:row r="262">
      <x:c r="A262" s="116" t="str">
        <x:v>5. Engineering, Operations &amp; Transformation</x:v>
      </x:c>
      <x:c r="B262" s="117" t="str">
        <x:v>20. Migration, Modernisation, Hybrid, Multicloud &amp; Mainframe</x:v>
      </x:c>
      <x:c r="C262" s="115" t="str">
        <x:v>Move and transform workloads while managing coexistence across data centres and clouds.</x:v>
      </x:c>
      <x:c r="D262" s="115" t="str">
        <x:v>Hybrid and multicloud management</x:v>
      </x:c>
      <x:c r="E262" s="115" t="str">
        <x:v>What outcome and non-functional requirements justify hybrid and multicloud management, and what is the simplest managed implementation?</x:v>
      </x:c>
      <x:c r="F262" s="115" t="str">
        <x:v>Migrate &amp; Modernise</x:v>
      </x:c>
      <x:c r="G262" s="115" t="str">
        <x:v>Migration and transfer / Compute</x:v>
      </x:c>
      <x:c r="H262" s="115" t="str">
        <x:v>Migration / Hybrid + multicloud</x:v>
      </x:c>
      <x:c r="I262" s="115" t="str">
        <x:v>Migration / Distributed, hybrid, and multicloud</x:v>
      </x:c>
      <x:c r="J262" s="115" t="str">
        <x:v>https://learn.microsoft.com/en-us/azure/cloud-adoption-framework/</x:v>
      </x:c>
    </x:row>
    <x:row r="263">
      <x:c r="A263" s="116" t="str">
        <x:v>5. Engineering, Operations &amp; Transformation</x:v>
      </x:c>
      <x:c r="B263" s="117" t="str">
        <x:v>20. Migration, Modernisation, Hybrid, Multicloud &amp; Mainframe</x:v>
      </x:c>
      <x:c r="C263" s="115" t="str">
        <x:v>Move and transform workloads while managing coexistence across data centres and clouds.</x:v>
      </x:c>
      <x:c r="D263" s="115" t="str">
        <x:v>Multicloud Kubernetes and distributed cloud</x:v>
      </x:c>
      <x:c r="E263" s="115" t="str">
        <x:v>What outcome and non-functional requirements justify multicloud kubernetes and distributed cloud, and what is the simplest managed implementation?</x:v>
      </x:c>
      <x:c r="F263" s="115" t="str">
        <x:v>Migrate &amp; Modernise</x:v>
      </x:c>
      <x:c r="G263" s="115" t="str">
        <x:v>Migration and transfer / Compute</x:v>
      </x:c>
      <x:c r="H263" s="115" t="str">
        <x:v>Migration / Hybrid + multicloud</x:v>
      </x:c>
      <x:c r="I263" s="115" t="str">
        <x:v>Migration / Distributed, hybrid, and multicloud</x:v>
      </x:c>
      <x:c r="J263" s="115" t="str">
        <x:v>https://learn.microsoft.com/en-us/azure/cloud-adoption-framework/</x:v>
      </x:c>
    </x:row>
    <x:row r="264">
      <x:c r="A264" s="116" t="str">
        <x:v>5. Engineering, Operations &amp; Transformation</x:v>
      </x:c>
      <x:c r="B264" s="117" t="str">
        <x:v>20. Migration, Modernisation, Hybrid, Multicloud &amp; Mainframe</x:v>
      </x:c>
      <x:c r="C264" s="115" t="str">
        <x:v>Move and transform workloads while managing coexistence across data centres and clouds.</x:v>
      </x:c>
      <x:c r="D264" s="115" t="str">
        <x:v>Disconnected and air-gapped cloud</x:v>
      </x:c>
      <x:c r="E264" s="115" t="str">
        <x:v>What outcome and non-functional requirements justify disconnected and air-gapped cloud, and what is the simplest managed implementation?</x:v>
      </x:c>
      <x:c r="F264" s="115" t="str">
        <x:v>Migrate &amp; Modernise</x:v>
      </x:c>
      <x:c r="G264" s="115" t="str">
        <x:v>Migration and transfer / Compute</x:v>
      </x:c>
      <x:c r="H264" s="115" t="str">
        <x:v>Migration / Hybrid + multicloud</x:v>
      </x:c>
      <x:c r="I264" s="115" t="str">
        <x:v>Migration / Distributed, hybrid, and multicloud</x:v>
      </x:c>
      <x:c r="J264" s="115" t="str">
        <x:v>https://learn.microsoft.com/en-us/azure/cloud-adoption-framework/</x:v>
      </x:c>
    </x:row>
    <x:row r="265">
      <x:c r="A265" s="116" t="str">
        <x:v>5. Engineering, Operations &amp; Transformation</x:v>
      </x:c>
      <x:c r="B265" s="117" t="str">
        <x:v>20. Migration, Modernisation, Hybrid, Multicloud &amp; Mainframe</x:v>
      </x:c>
      <x:c r="C265" s="115" t="str">
        <x:v>Move and transform workloads while managing coexistence across data centres and clouds.</x:v>
      </x:c>
      <x:c r="D265" s="115" t="str">
        <x:v>Cloud exit, repatriation and portability planning</x:v>
      </x:c>
      <x:c r="E265" s="115" t="str">
        <x:v>What outcome and non-functional requirements justify cloud exit, repatriation and portability planning, and what is the simplest managed implementation?</x:v>
      </x:c>
      <x:c r="F265" s="115" t="str">
        <x:v>Migrate &amp; Modernise</x:v>
      </x:c>
      <x:c r="G265" s="115" t="str">
        <x:v>Migration and transfer / Compute</x:v>
      </x:c>
      <x:c r="H265" s="115" t="str">
        <x:v>Migration / Hybrid + multicloud</x:v>
      </x:c>
      <x:c r="I265" s="115" t="str">
        <x:v>Migration / Distributed, hybrid, and multicloud</x:v>
      </x:c>
      <x:c r="J265" s="115" t="str">
        <x:v>https://learn.microsoft.com/en-us/azure/cloud-adoption-framework/</x:v>
      </x:c>
    </x:row>
    <x:row r="266">
      <x:c r="A266" s="116" t="str">
        <x:v>5. Engineering, Operations &amp; Transformation</x:v>
      </x:c>
      <x:c r="B266" s="117" t="str">
        <x:v>20. Migration, Modernisation, Hybrid, Multicloud &amp; Mainframe</x:v>
      </x:c>
      <x:c r="C266" s="115" t="str">
        <x:v>Move and transform workloads while managing coexistence across data centres and clouds.</x:v>
      </x:c>
      <x:c r="D266" s="115" t="str">
        <x:v>Resource relocation and regional migration</x:v>
      </x:c>
      <x:c r="E266" s="115" t="str">
        <x:v>What outcome and non-functional requirements justify resource relocation and regional migration, and what is the simplest managed implementation?</x:v>
      </x:c>
      <x:c r="F266" s="115" t="str">
        <x:v>Migrate &amp; Modernise</x:v>
      </x:c>
      <x:c r="G266" s="115" t="str">
        <x:v>Migration and transfer / Compute</x:v>
      </x:c>
      <x:c r="H266" s="115" t="str">
        <x:v>Migration / Hybrid + multicloud</x:v>
      </x:c>
      <x:c r="I266" s="115" t="str">
        <x:v>Migration / Distributed, hybrid, and multicloud</x:v>
      </x:c>
      <x:c r="J266" s="115" t="str">
        <x:v>https://learn.microsoft.com/en-us/azure/cloud-adoption-framework/</x:v>
      </x:c>
    </x:row>
    <x:row r="267">
      <x:c r="A267" s="116" t="str">
        <x:v>6. Edge, Industry &amp; Specialist</x:v>
      </x:c>
      <x:c r="B267" s="117" t="str">
        <x:v>21. IoT, Edge, OT, Digital Twins, Robotics &amp; Telecom</x:v>
      </x:c>
      <x:c r="C267" s="115" t="str">
        <x:v>Connect and manage physical assets, industrial environments and distributed edge systems.</x:v>
      </x:c>
      <x:c r="D267" s="115" t="str">
        <x:v>IoT connectivity and device messaging</x:v>
      </x:c>
      <x:c r="E267" s="115" t="str">
        <x:v>What outcome and non-functional requirements justify iot connectivity and device messaging, and what is the simplest managed implementation?</x:v>
      </x:c>
      <x:c r="F267" s="115" t="str">
        <x:v>Adopt &amp; Build</x:v>
      </x:c>
      <x:c r="G267" s="115" t="str">
        <x:v>Internet of Things / Networking and content delivery</x:v>
      </x:c>
      <x:c r="H267" s="115" t="str">
        <x:v>Internet of Things / Hybrid + multicloud</x:v>
      </x:c>
      <x:c r="I267" s="115" t="str">
        <x:v>Distributed, hybrid, and multicloud / Industry solutions</x:v>
      </x:c>
      <x:c r="J267" s="115" t="str">
        <x:v>https://azure.microsoft.com/en-us/products/category</x:v>
      </x:c>
    </x:row>
    <x:row r="268">
      <x:c r="A268" s="116" t="str">
        <x:v>6. Edge, Industry &amp; Specialist</x:v>
      </x:c>
      <x:c r="B268" s="117" t="str">
        <x:v>21. IoT, Edge, OT, Digital Twins, Robotics &amp; Telecom</x:v>
      </x:c>
      <x:c r="C268" s="115" t="str">
        <x:v>Connect and manage physical assets, industrial environments and distributed edge systems.</x:v>
      </x:c>
      <x:c r="D268" s="115" t="str">
        <x:v>Device identity, provisioning and fleet management</x:v>
      </x:c>
      <x:c r="E268" s="115" t="str">
        <x:v>What outcome and non-functional requirements justify device identity, provisioning and fleet management, and what is the simplest managed implementation?</x:v>
      </x:c>
      <x:c r="F268" s="115" t="str">
        <x:v>Adopt &amp; Build</x:v>
      </x:c>
      <x:c r="G268" s="115" t="str">
        <x:v>Internet of Things / Networking and content delivery</x:v>
      </x:c>
      <x:c r="H268" s="115" t="str">
        <x:v>Internet of Things / Hybrid + multicloud</x:v>
      </x:c>
      <x:c r="I268" s="115" t="str">
        <x:v>Distributed, hybrid, and multicloud / Industry solutions</x:v>
      </x:c>
      <x:c r="J268" s="115" t="str">
        <x:v>https://azure.microsoft.com/en-us/products/category</x:v>
      </x:c>
    </x:row>
    <x:row r="269">
      <x:c r="A269" s="116" t="str">
        <x:v>6. Edge, Industry &amp; Specialist</x:v>
      </x:c>
      <x:c r="B269" s="117" t="str">
        <x:v>21. IoT, Edge, OT, Digital Twins, Robotics &amp; Telecom</x:v>
      </x:c>
      <x:c r="C269" s="115" t="str">
        <x:v>Connect and manage physical assets, industrial environments and distributed edge systems.</x:v>
      </x:c>
      <x:c r="D269" s="115" t="str">
        <x:v>IoT and OT security</x:v>
      </x:c>
      <x:c r="E269" s="115" t="str">
        <x:v>What outcome and non-functional requirements justify iot and ot security, and what is the simplest managed implementation?</x:v>
      </x:c>
      <x:c r="F269" s="115" t="str">
        <x:v>Adopt &amp; Build</x:v>
      </x:c>
      <x:c r="G269" s="115" t="str">
        <x:v>Internet of Things / Networking and content delivery</x:v>
      </x:c>
      <x:c r="H269" s="115" t="str">
        <x:v>Internet of Things / Hybrid + multicloud</x:v>
      </x:c>
      <x:c r="I269" s="115" t="str">
        <x:v>Distributed, hybrid, and multicloud / Industry solutions</x:v>
      </x:c>
      <x:c r="J269" s="115" t="str">
        <x:v>https://azure.microsoft.com/en-us/products/category</x:v>
      </x:c>
    </x:row>
    <x:row r="270">
      <x:c r="A270" s="116" t="str">
        <x:v>6. Edge, Industry &amp; Specialist</x:v>
      </x:c>
      <x:c r="B270" s="117" t="str">
        <x:v>21. IoT, Edge, OT, Digital Twins, Robotics &amp; Telecom</x:v>
      </x:c>
      <x:c r="C270" s="115" t="str">
        <x:v>Connect and manage physical assets, industrial environments and distributed edge systems.</x:v>
      </x:c>
      <x:c r="D270" s="115" t="str">
        <x:v>Edge runtime, local processing and offline operation</x:v>
      </x:c>
      <x:c r="E270" s="115" t="str">
        <x:v>What outcome and non-functional requirements justify edge runtime, local processing and offline operation, and what is the simplest managed implementation?</x:v>
      </x:c>
      <x:c r="F270" s="115" t="str">
        <x:v>Adopt &amp; Build</x:v>
      </x:c>
      <x:c r="G270" s="115" t="str">
        <x:v>Internet of Things / Networking and content delivery</x:v>
      </x:c>
      <x:c r="H270" s="115" t="str">
        <x:v>Internet of Things / Hybrid + multicloud</x:v>
      </x:c>
      <x:c r="I270" s="115" t="str">
        <x:v>Distributed, hybrid, and multicloud / Industry solutions</x:v>
      </x:c>
      <x:c r="J270" s="115" t="str">
        <x:v>https://azure.microsoft.com/en-us/products/category</x:v>
      </x:c>
    </x:row>
    <x:row r="271">
      <x:c r="A271" s="116" t="str">
        <x:v>6. Edge, Industry &amp; Specialist</x:v>
      </x:c>
      <x:c r="B271" s="117" t="str">
        <x:v>21. IoT, Edge, OT, Digital Twins, Robotics &amp; Telecom</x:v>
      </x:c>
      <x:c r="C271" s="115" t="str">
        <x:v>Connect and manage physical assets, industrial environments and distributed edge systems.</x:v>
      </x:c>
      <x:c r="D271" s="115" t="str">
        <x:v>Digital twins and asset graphs</x:v>
      </x:c>
      <x:c r="E271" s="115" t="str">
        <x:v>What outcome and non-functional requirements justify digital twins and asset graphs, and what is the simplest managed implementation?</x:v>
      </x:c>
      <x:c r="F271" s="115" t="str">
        <x:v>Adopt &amp; Build</x:v>
      </x:c>
      <x:c r="G271" s="115" t="str">
        <x:v>Internet of Things / Networking and content delivery</x:v>
      </x:c>
      <x:c r="H271" s="115" t="str">
        <x:v>Internet of Things / Hybrid + multicloud</x:v>
      </x:c>
      <x:c r="I271" s="115" t="str">
        <x:v>Distributed, hybrid, and multicloud / Industry solutions</x:v>
      </x:c>
      <x:c r="J271" s="115" t="str">
        <x:v>https://azure.microsoft.com/en-us/products/category</x:v>
      </x:c>
    </x:row>
    <x:row r="272">
      <x:c r="A272" s="116" t="str">
        <x:v>6. Edge, Industry &amp; Specialist</x:v>
      </x:c>
      <x:c r="B272" s="117" t="str">
        <x:v>21. IoT, Edge, OT, Digital Twins, Robotics &amp; Telecom</x:v>
      </x:c>
      <x:c r="C272" s="115" t="str">
        <x:v>Connect and manage physical assets, industrial environments and distributed edge systems.</x:v>
      </x:c>
      <x:c r="D272" s="115" t="str">
        <x:v>Industrial IoT, historian and manufacturing data</x:v>
      </x:c>
      <x:c r="E272" s="115" t="str">
        <x:v>What outcome and non-functional requirements justify industrial iot, historian and manufacturing data, and what is the simplest managed implementation?</x:v>
      </x:c>
      <x:c r="F272" s="115" t="str">
        <x:v>Adopt &amp; Build</x:v>
      </x:c>
      <x:c r="G272" s="115" t="str">
        <x:v>Internet of Things / Networking and content delivery</x:v>
      </x:c>
      <x:c r="H272" s="115" t="str">
        <x:v>Internet of Things / Hybrid + multicloud</x:v>
      </x:c>
      <x:c r="I272" s="115" t="str">
        <x:v>Distributed, hybrid, and multicloud / Industry solutions</x:v>
      </x:c>
      <x:c r="J272" s="115" t="str">
        <x:v>https://azure.microsoft.com/en-us/products/category</x:v>
      </x:c>
    </x:row>
    <x:row r="273">
      <x:c r="A273" s="116" t="str">
        <x:v>6. Edge, Industry &amp; Specialist</x:v>
      </x:c>
      <x:c r="B273" s="117" t="str">
        <x:v>21. IoT, Edge, OT, Digital Twins, Robotics &amp; Telecom</x:v>
      </x:c>
      <x:c r="C273" s="115" t="str">
        <x:v>Connect and manage physical assets, industrial environments and distributed edge systems.</x:v>
      </x:c>
      <x:c r="D273" s="115" t="str">
        <x:v>IoT event detection and rules</x:v>
      </x:c>
      <x:c r="E273" s="115" t="str">
        <x:v>What outcome and non-functional requirements justify iot event detection and rules, and what is the simplest managed implementation?</x:v>
      </x:c>
      <x:c r="F273" s="115" t="str">
        <x:v>Adopt &amp; Build</x:v>
      </x:c>
      <x:c r="G273" s="115" t="str">
        <x:v>Internet of Things / Networking and content delivery</x:v>
      </x:c>
      <x:c r="H273" s="115" t="str">
        <x:v>Internet of Things / Hybrid + multicloud</x:v>
      </x:c>
      <x:c r="I273" s="115" t="str">
        <x:v>Distributed, hybrid, and multicloud / Industry solutions</x:v>
      </x:c>
      <x:c r="J273" s="115" t="str">
        <x:v>https://azure.microsoft.com/en-us/products/category</x:v>
      </x:c>
    </x:row>
    <x:row r="274">
      <x:c r="A274" s="116" t="str">
        <x:v>6. Edge, Industry &amp; Specialist</x:v>
      </x:c>
      <x:c r="B274" s="117" t="str">
        <x:v>21. IoT, Edge, OT, Digital Twins, Robotics &amp; Telecom</x:v>
      </x:c>
      <x:c r="C274" s="115" t="str">
        <x:v>Connect and manage physical assets, industrial environments and distributed edge systems.</x:v>
      </x:c>
      <x:c r="D274" s="115" t="str">
        <x:v>Vehicle, mobility and fleet telemetry</x:v>
      </x:c>
      <x:c r="E274" s="115" t="str">
        <x:v>What outcome and non-functional requirements justify vehicle, mobility and fleet telemetry, and what is the simplest managed implementation?</x:v>
      </x:c>
      <x:c r="F274" s="115" t="str">
        <x:v>Adopt &amp; Build</x:v>
      </x:c>
      <x:c r="G274" s="115" t="str">
        <x:v>Internet of Things / Networking and content delivery</x:v>
      </x:c>
      <x:c r="H274" s="115" t="str">
        <x:v>Internet of Things / Hybrid + multicloud</x:v>
      </x:c>
      <x:c r="I274" s="115" t="str">
        <x:v>Distributed, hybrid, and multicloud / Industry solutions</x:v>
      </x:c>
      <x:c r="J274" s="115" t="str">
        <x:v>https://azure.microsoft.com/en-us/products/category</x:v>
      </x:c>
    </x:row>
    <x:row r="275">
      <x:c r="A275" s="116" t="str">
        <x:v>6. Edge, Industry &amp; Specialist</x:v>
      </x:c>
      <x:c r="B275" s="117" t="str">
        <x:v>21. IoT, Edge, OT, Digital Twins, Robotics &amp; Telecom</x:v>
      </x:c>
      <x:c r="C275" s="115" t="str">
        <x:v>Connect and manage physical assets, industrial environments and distributed edge systems.</x:v>
      </x:c>
      <x:c r="D275" s="115" t="str">
        <x:v>Private 5G and telecom edge</x:v>
      </x:c>
      <x:c r="E275" s="115" t="str">
        <x:v>What outcome and non-functional requirements justify private 5g and telecom edge, and what is the simplest managed implementation?</x:v>
      </x:c>
      <x:c r="F275" s="115" t="str">
        <x:v>Adopt &amp; Build</x:v>
      </x:c>
      <x:c r="G275" s="115" t="str">
        <x:v>Internet of Things / Networking and content delivery</x:v>
      </x:c>
      <x:c r="H275" s="115" t="str">
        <x:v>Internet of Things / Hybrid + multicloud</x:v>
      </x:c>
      <x:c r="I275" s="115" t="str">
        <x:v>Distributed, hybrid, and multicloud / Industry solutions</x:v>
      </x:c>
      <x:c r="J275" s="115" t="str">
        <x:v>https://azure.microsoft.com/en-us/products/category</x:v>
      </x:c>
    </x:row>
    <x:row r="276">
      <x:c r="A276" s="116" t="str">
        <x:v>6. Edge, Industry &amp; Specialist</x:v>
      </x:c>
      <x:c r="B276" s="117" t="str">
        <x:v>21. IoT, Edge, OT, Digital Twins, Robotics &amp; Telecom</x:v>
      </x:c>
      <x:c r="C276" s="115" t="str">
        <x:v>Connect and manage physical assets, industrial environments and distributed edge systems.</x:v>
      </x:c>
      <x:c r="D276" s="115" t="str">
        <x:v>Telecom network automation</x:v>
      </x:c>
      <x:c r="E276" s="115" t="str">
        <x:v>What outcome and non-functional requirements justify telecom network automation, and what is the simplest managed implementation?</x:v>
      </x:c>
      <x:c r="F276" s="115" t="str">
        <x:v>Adopt &amp; Build</x:v>
      </x:c>
      <x:c r="G276" s="115" t="str">
        <x:v>Internet of Things / Networking and content delivery</x:v>
      </x:c>
      <x:c r="H276" s="115" t="str">
        <x:v>Internet of Things / Hybrid + multicloud</x:v>
      </x:c>
      <x:c r="I276" s="115" t="str">
        <x:v>Distributed, hybrid, and multicloud / Industry solutions</x:v>
      </x:c>
      <x:c r="J276" s="115" t="str">
        <x:v>https://azure.microsoft.com/en-us/products/category</x:v>
      </x:c>
    </x:row>
    <x:row r="277">
      <x:c r="A277" s="116" t="str">
        <x:v>6. Edge, Industry &amp; Specialist</x:v>
      </x:c>
      <x:c r="B277" s="117" t="str">
        <x:v>21. IoT, Edge, OT, Digital Twins, Robotics &amp; Telecom</x:v>
      </x:c>
      <x:c r="C277" s="115" t="str">
        <x:v>Connect and manage physical assets, industrial environments and distributed edge systems.</x:v>
      </x:c>
      <x:c r="D277" s="115" t="str">
        <x:v>Robotics, autonomous systems and computer vision at edge</x:v>
      </x:c>
      <x:c r="E277" s="115" t="str">
        <x:v>What outcome and non-functional requirements justify robotics, autonomous systems and computer vision at edge, and what is the simplest managed implementation?</x:v>
      </x:c>
      <x:c r="F277" s="115" t="str">
        <x:v>Adopt &amp; Build</x:v>
      </x:c>
      <x:c r="G277" s="115" t="str">
        <x:v>Internet of Things / Networking and content delivery</x:v>
      </x:c>
      <x:c r="H277" s="115" t="str">
        <x:v>Internet of Things / Hybrid + multicloud</x:v>
      </x:c>
      <x:c r="I277" s="115" t="str">
        <x:v>Distributed, hybrid, and multicloud / Industry solutions</x:v>
      </x:c>
      <x:c r="J277" s="115" t="str">
        <x:v>https://azure.microsoft.com/en-us/products/category</x:v>
      </x:c>
    </x:row>
    <x:row r="278">
      <x:c r="A278" s="116" t="str">
        <x:v>6. Edge, Industry &amp; Specialist</x:v>
      </x:c>
      <x:c r="B278" s="117" t="str">
        <x:v>21. IoT, Edge, OT, Digital Twins, Robotics &amp; Telecom</x:v>
      </x:c>
      <x:c r="C278" s="115" t="str">
        <x:v>Connect and manage physical assets, industrial environments and distributed edge systems.</x:v>
      </x:c>
      <x:c r="D278" s="115" t="str">
        <x:v>Smart buildings, cities, agriculture and energy assets</x:v>
      </x:c>
      <x:c r="E278" s="115" t="str">
        <x:v>What outcome and non-functional requirements justify smart buildings, cities, agriculture and energy assets, and what is the simplest managed implementation?</x:v>
      </x:c>
      <x:c r="F278" s="115" t="str">
        <x:v>Adopt &amp; Build</x:v>
      </x:c>
      <x:c r="G278" s="115" t="str">
        <x:v>Internet of Things / Networking and content delivery</x:v>
      </x:c>
      <x:c r="H278" s="115" t="str">
        <x:v>Internet of Things / Hybrid + multicloud</x:v>
      </x:c>
      <x:c r="I278" s="115" t="str">
        <x:v>Distributed, hybrid, and multicloud / Industry solutions</x:v>
      </x:c>
      <x:c r="J278" s="115" t="str">
        <x:v>https://azure.microsoft.com/en-us/products/category</x:v>
      </x:c>
    </x:row>
    <x:row r="279">
      <x:c r="A279" s="116" t="str">
        <x:v>6. Edge, Industry &amp; Specialist</x:v>
      </x:c>
      <x:c r="B279" s="117" t="str">
        <x:v>21. IoT, Edge, OT, Digital Twins, Robotics &amp; Telecom</x:v>
      </x:c>
      <x:c r="C279" s="115" t="str">
        <x:v>Connect and manage physical assets, industrial environments and distributed edge systems.</x:v>
      </x:c>
      <x:c r="D279" s="115" t="str">
        <x:v>Embedded operating systems and device SDKs</x:v>
      </x:c>
      <x:c r="E279" s="115" t="str">
        <x:v>What outcome and non-functional requirements justify embedded operating systems and device sdks, and what is the simplest managed implementation?</x:v>
      </x:c>
      <x:c r="F279" s="115" t="str">
        <x:v>Adopt &amp; Build</x:v>
      </x:c>
      <x:c r="G279" s="115" t="str">
        <x:v>Internet of Things / Networking and content delivery</x:v>
      </x:c>
      <x:c r="H279" s="115" t="str">
        <x:v>Internet of Things / Hybrid + multicloud</x:v>
      </x:c>
      <x:c r="I279" s="115" t="str">
        <x:v>Distributed, hybrid, and multicloud / Industry solutions</x:v>
      </x:c>
      <x:c r="J279" s="115" t="str">
        <x:v>https://azure.microsoft.com/en-us/products/category</x:v>
      </x:c>
    </x:row>
    <x:row r="280">
      <x:c r="A280" s="116" t="str">
        <x:v>6. Edge, Industry &amp; Specialist</x:v>
      </x:c>
      <x:c r="B280" s="117" t="str">
        <x:v>22. Media, Communications, Gaming, Geospatial &amp; Spatial Computing</x:v>
      </x:c>
      <x:c r="C280" s="115" t="str">
        <x:v>Process and deliver rich media, interactive communication, location and immersive experiences.</x:v>
      </x:c>
      <x:c r="D280" s="115" t="str">
        <x:v>File-based media transcoding</x:v>
      </x:c>
      <x:c r="E280" s="115" t="str">
        <x:v>What outcome and non-functional requirements justify file-based media transcoding, and what is the simplest managed implementation?</x:v>
      </x:c>
      <x:c r="F280" s="115" t="str">
        <x:v>Adopt &amp; Build</x:v>
      </x:c>
      <x:c r="G280" s="115" t="str">
        <x:v>Media / Game tech / Satellite</x:v>
      </x:c>
      <x:c r="H280" s="115" t="str">
        <x:v>Media / Mixed reality</x:v>
      </x:c>
      <x:c r="I280" s="115" t="str">
        <x:v>Application hosting / Industry solutions</x:v>
      </x:c>
      <x:c r="J280" s="115" t="str">
        <x:v>https://docs.aws.amazon.com/whitepapers/latest/aws-overview/amazon-web-services-cloud-platform.html</x:v>
      </x:c>
    </x:row>
    <x:row r="281">
      <x:c r="A281" s="116" t="str">
        <x:v>6. Edge, Industry &amp; Specialist</x:v>
      </x:c>
      <x:c r="B281" s="117" t="str">
        <x:v>22. Media, Communications, Gaming, Geospatial &amp; Spatial Computing</x:v>
      </x:c>
      <x:c r="C281" s="115" t="str">
        <x:v>Process and deliver rich media, interactive communication, location and immersive experiences.</x:v>
      </x:c>
      <x:c r="D281" s="115" t="str">
        <x:v>Live video encoding and processing</x:v>
      </x:c>
      <x:c r="E281" s="115" t="str">
        <x:v>What outcome and non-functional requirements justify live video encoding and processing, and what is the simplest managed implementation?</x:v>
      </x:c>
      <x:c r="F281" s="115" t="str">
        <x:v>Adopt &amp; Build</x:v>
      </x:c>
      <x:c r="G281" s="115" t="str">
        <x:v>Media / Game tech / Satellite</x:v>
      </x:c>
      <x:c r="H281" s="115" t="str">
        <x:v>Media / Mixed reality</x:v>
      </x:c>
      <x:c r="I281" s="115" t="str">
        <x:v>Application hosting / Industry solutions</x:v>
      </x:c>
      <x:c r="J281" s="115" t="str">
        <x:v>https://docs.aws.amazon.com/whitepapers/latest/aws-overview/amazon-web-services-cloud-platform.html</x:v>
      </x:c>
    </x:row>
    <x:row r="282">
      <x:c r="A282" s="116" t="str">
        <x:v>6. Edge, Industry &amp; Specialist</x:v>
      </x:c>
      <x:c r="B282" s="117" t="str">
        <x:v>22. Media, Communications, Gaming, Geospatial &amp; Spatial Computing</x:v>
      </x:c>
      <x:c r="C282" s="115" t="str">
        <x:v>Process and deliver rich media, interactive communication, location and immersive experiences.</x:v>
      </x:c>
      <x:c r="D282" s="115" t="str">
        <x:v>Streaming packaging, origin and DRM</x:v>
      </x:c>
      <x:c r="E282" s="115" t="str">
        <x:v>What outcome and non-functional requirements justify streaming packaging, origin and drm, and what is the simplest managed implementation?</x:v>
      </x:c>
      <x:c r="F282" s="115" t="str">
        <x:v>Adopt &amp; Build</x:v>
      </x:c>
      <x:c r="G282" s="115" t="str">
        <x:v>Media / Game tech / Satellite</x:v>
      </x:c>
      <x:c r="H282" s="115" t="str">
        <x:v>Media / Mixed reality</x:v>
      </x:c>
      <x:c r="I282" s="115" t="str">
        <x:v>Application hosting / Industry solutions</x:v>
      </x:c>
      <x:c r="J282" s="115" t="str">
        <x:v>https://docs.aws.amazon.com/whitepapers/latest/aws-overview/amazon-web-services-cloud-platform.html</x:v>
      </x:c>
    </x:row>
    <x:row r="283">
      <x:c r="A283" s="116" t="str">
        <x:v>6. Edge, Industry &amp; Specialist</x:v>
      </x:c>
      <x:c r="B283" s="117" t="str">
        <x:v>22. Media, Communications, Gaming, Geospatial &amp; Spatial Computing</x:v>
      </x:c>
      <x:c r="C283" s="115" t="str">
        <x:v>Process and deliver rich media, interactive communication, location and immersive experiences.</x:v>
      </x:c>
      <x:c r="D283" s="115" t="str">
        <x:v>Broadcast and contribution video transport</x:v>
      </x:c>
      <x:c r="E283" s="115" t="str">
        <x:v>What outcome and non-functional requirements justify broadcast and contribution video transport, and what is the simplest managed implementation?</x:v>
      </x:c>
      <x:c r="F283" s="115" t="str">
        <x:v>Adopt &amp; Build</x:v>
      </x:c>
      <x:c r="G283" s="115" t="str">
        <x:v>Media / Game tech / Satellite</x:v>
      </x:c>
      <x:c r="H283" s="115" t="str">
        <x:v>Media / Mixed reality</x:v>
      </x:c>
      <x:c r="I283" s="115" t="str">
        <x:v>Application hosting / Industry solutions</x:v>
      </x:c>
      <x:c r="J283" s="115" t="str">
        <x:v>https://docs.aws.amazon.com/whitepapers/latest/aws-overview/amazon-web-services-cloud-platform.html</x:v>
      </x:c>
    </x:row>
    <x:row r="284">
      <x:c r="A284" s="116" t="str">
        <x:v>6. Edge, Industry &amp; Specialist</x:v>
      </x:c>
      <x:c r="B284" s="117" t="str">
        <x:v>22. Media, Communications, Gaming, Geospatial &amp; Spatial Computing</x:v>
      </x:c>
      <x:c r="C284" s="115" t="str">
        <x:v>Process and deliver rich media, interactive communication, location and immersive experiences.</x:v>
      </x:c>
      <x:c r="D284" s="115" t="str">
        <x:v>Interactive low-latency streaming</x:v>
      </x:c>
      <x:c r="E284" s="115" t="str">
        <x:v>What outcome and non-functional requirements justify interactive low-latency streaming, and what is the simplest managed implementation?</x:v>
      </x:c>
      <x:c r="F284" s="115" t="str">
        <x:v>Adopt &amp; Build</x:v>
      </x:c>
      <x:c r="G284" s="115" t="str">
        <x:v>Media / Game tech / Satellite</x:v>
      </x:c>
      <x:c r="H284" s="115" t="str">
        <x:v>Media / Mixed reality</x:v>
      </x:c>
      <x:c r="I284" s="115" t="str">
        <x:v>Application hosting / Industry solutions</x:v>
      </x:c>
      <x:c r="J284" s="115" t="str">
        <x:v>https://docs.aws.amazon.com/whitepapers/latest/aws-overview/amazon-web-services-cloud-platform.html</x:v>
      </x:c>
    </x:row>
    <x:row r="285">
      <x:c r="A285" s="116" t="str">
        <x:v>6. Edge, Industry &amp; Specialist</x:v>
      </x:c>
      <x:c r="B285" s="117" t="str">
        <x:v>22. Media, Communications, Gaming, Geospatial &amp; Spatial Computing</x:v>
      </x:c>
      <x:c r="C285" s="115" t="str">
        <x:v>Process and deliver rich media, interactive communication, location and immersive experiences.</x:v>
      </x:c>
      <x:c r="D285" s="115" t="str">
        <x:v>Server-side ad insertion</x:v>
      </x:c>
      <x:c r="E285" s="115" t="str">
        <x:v>What outcome and non-functional requirements justify server-side ad insertion, and what is the simplest managed implementation?</x:v>
      </x:c>
      <x:c r="F285" s="115" t="str">
        <x:v>Adopt &amp; Build</x:v>
      </x:c>
      <x:c r="G285" s="115" t="str">
        <x:v>Media / Game tech / Satellite</x:v>
      </x:c>
      <x:c r="H285" s="115" t="str">
        <x:v>Media / Mixed reality</x:v>
      </x:c>
      <x:c r="I285" s="115" t="str">
        <x:v>Application hosting / Industry solutions</x:v>
      </x:c>
      <x:c r="J285" s="115" t="str">
        <x:v>https://docs.aws.amazon.com/whitepapers/latest/aws-overview/amazon-web-services-cloud-platform.html</x:v>
      </x:c>
    </x:row>
    <x:row r="286">
      <x:c r="A286" s="116" t="str">
        <x:v>6. Edge, Industry &amp; Specialist</x:v>
      </x:c>
      <x:c r="B286" s="117" t="str">
        <x:v>22. Media, Communications, Gaming, Geospatial &amp; Spatial Computing</x:v>
      </x:c>
      <x:c r="C286" s="115" t="str">
        <x:v>Process and deliver rich media, interactive communication, location and immersive experiences.</x:v>
      </x:c>
      <x:c r="D286" s="115" t="str">
        <x:v>Media CDN and large-scale content delivery</x:v>
      </x:c>
      <x:c r="E286" s="115" t="str">
        <x:v>What outcome and non-functional requirements justify media cdn and large-scale content delivery, and what is the simplest managed implementation?</x:v>
      </x:c>
      <x:c r="F286" s="115" t="str">
        <x:v>Adopt &amp; Build</x:v>
      </x:c>
      <x:c r="G286" s="115" t="str">
        <x:v>Media / Game tech / Satellite</x:v>
      </x:c>
      <x:c r="H286" s="115" t="str">
        <x:v>Media / Mixed reality</x:v>
      </x:c>
      <x:c r="I286" s="115" t="str">
        <x:v>Application hosting / Industry solutions</x:v>
      </x:c>
      <x:c r="J286" s="115" t="str">
        <x:v>https://docs.aws.amazon.com/whitepapers/latest/aws-overview/amazon-web-services-cloud-platform.html</x:v>
      </x:c>
    </x:row>
    <x:row r="287">
      <x:c r="A287" s="116" t="str">
        <x:v>6. Edge, Industry &amp; Specialist</x:v>
      </x:c>
      <x:c r="B287" s="117" t="str">
        <x:v>22. Media, Communications, Gaming, Geospatial &amp; Spatial Computing</x:v>
      </x:c>
      <x:c r="C287" s="115" t="str">
        <x:v>Process and deliver rich media, interactive communication, location and immersive experiences.</x:v>
      </x:c>
      <x:c r="D287" s="115" t="str">
        <x:v>Voice, video, chat, SMS and email APIs</x:v>
      </x:c>
      <x:c r="E287" s="115" t="str">
        <x:v>What outcome and non-functional requirements justify voice, video, chat, sms and email apis, and what is the simplest managed implementation?</x:v>
      </x:c>
      <x:c r="F287" s="115" t="str">
        <x:v>Adopt &amp; Build</x:v>
      </x:c>
      <x:c r="G287" s="115" t="str">
        <x:v>Media / Game tech / Satellite</x:v>
      </x:c>
      <x:c r="H287" s="115" t="str">
        <x:v>Media / Mixed reality</x:v>
      </x:c>
      <x:c r="I287" s="115" t="str">
        <x:v>Application hosting / Industry solutions</x:v>
      </x:c>
      <x:c r="J287" s="115" t="str">
        <x:v>https://docs.aws.amazon.com/whitepapers/latest/aws-overview/amazon-web-services-cloud-platform.html</x:v>
      </x:c>
    </x:row>
    <x:row r="288">
      <x:c r="A288" s="116" t="str">
        <x:v>6. Edge, Industry &amp; Specialist</x:v>
      </x:c>
      <x:c r="B288" s="117" t="str">
        <x:v>22. Media, Communications, Gaming, Geospatial &amp; Spatial Computing</x:v>
      </x:c>
      <x:c r="C288" s="115" t="str">
        <x:v>Process and deliver rich media, interactive communication, location and immersive experiences.</x:v>
      </x:c>
      <x:c r="D288" s="115" t="str">
        <x:v>Maps, geocoding, routing and places</x:v>
      </x:c>
      <x:c r="E288" s="115" t="str">
        <x:v>What outcome and non-functional requirements justify maps, geocoding, routing and places, and what is the simplest managed implementation?</x:v>
      </x:c>
      <x:c r="F288" s="115" t="str">
        <x:v>Adopt &amp; Build</x:v>
      </x:c>
      <x:c r="G288" s="115" t="str">
        <x:v>Media / Game tech / Satellite</x:v>
      </x:c>
      <x:c r="H288" s="115" t="str">
        <x:v>Media / Mixed reality</x:v>
      </x:c>
      <x:c r="I288" s="115" t="str">
        <x:v>Application hosting / Industry solutions</x:v>
      </x:c>
      <x:c r="J288" s="115" t="str">
        <x:v>https://docs.aws.amazon.com/whitepapers/latest/aws-overview/amazon-web-services-cloud-platform.html</x:v>
      </x:c>
    </x:row>
    <x:row r="289">
      <x:c r="A289" s="116" t="str">
        <x:v>6. Edge, Industry &amp; Specialist</x:v>
      </x:c>
      <x:c r="B289" s="117" t="str">
        <x:v>22. Media, Communications, Gaming, Geospatial &amp; Spatial Computing</x:v>
      </x:c>
      <x:c r="C289" s="115" t="str">
        <x:v>Process and deliver rich media, interactive communication, location and immersive experiences.</x:v>
      </x:c>
      <x:c r="D289" s="115" t="str">
        <x:v>Geospatial data platforms and earth observation</x:v>
      </x:c>
      <x:c r="E289" s="115" t="str">
        <x:v>What outcome and non-functional requirements justify geospatial data platforms and earth observation, and what is the simplest managed implementation?</x:v>
      </x:c>
      <x:c r="F289" s="115" t="str">
        <x:v>Adopt &amp; Build</x:v>
      </x:c>
      <x:c r="G289" s="115" t="str">
        <x:v>Media / Game tech / Satellite</x:v>
      </x:c>
      <x:c r="H289" s="115" t="str">
        <x:v>Media / Mixed reality</x:v>
      </x:c>
      <x:c r="I289" s="115" t="str">
        <x:v>Application hosting / Industry solutions</x:v>
      </x:c>
      <x:c r="J289" s="115" t="str">
        <x:v>https://docs.aws.amazon.com/whitepapers/latest/aws-overview/amazon-web-services-cloud-platform.html</x:v>
      </x:c>
    </x:row>
    <x:row r="290">
      <x:c r="A290" s="116" t="str">
        <x:v>6. Edge, Industry &amp; Specialist</x:v>
      </x:c>
      <x:c r="B290" s="117" t="str">
        <x:v>22. Media, Communications, Gaming, Geospatial &amp; Spatial Computing</x:v>
      </x:c>
      <x:c r="C290" s="115" t="str">
        <x:v>Process and deliver rich media, interactive communication, location and immersive experiences.</x:v>
      </x:c>
      <x:c r="D290" s="115" t="str">
        <x:v>Managed multiplayer game servers</x:v>
      </x:c>
      <x:c r="E290" s="115" t="str">
        <x:v>What outcome and non-functional requirements justify managed multiplayer game servers, and what is the simplest managed implementation?</x:v>
      </x:c>
      <x:c r="F290" s="115" t="str">
        <x:v>Adopt &amp; Build</x:v>
      </x:c>
      <x:c r="G290" s="115" t="str">
        <x:v>Media / Game tech / Satellite</x:v>
      </x:c>
      <x:c r="H290" s="115" t="str">
        <x:v>Media / Mixed reality</x:v>
      </x:c>
      <x:c r="I290" s="115" t="str">
        <x:v>Application hosting / Industry solutions</x:v>
      </x:c>
      <x:c r="J290" s="115" t="str">
        <x:v>https://docs.aws.amazon.com/whitepapers/latest/aws-overview/amazon-web-services-cloud-platform.html</x:v>
      </x:c>
    </x:row>
    <x:row r="291">
      <x:c r="A291" s="116" t="str">
        <x:v>6. Edge, Industry &amp; Specialist</x:v>
      </x:c>
      <x:c r="B291" s="117" t="str">
        <x:v>22. Media, Communications, Gaming, Geospatial &amp; Spatial Computing</x:v>
      </x:c>
      <x:c r="C291" s="115" t="str">
        <x:v>Process and deliver rich media, interactive communication, location and immersive experiences.</x:v>
      </x:c>
      <x:c r="D291" s="115" t="str">
        <x:v>Game backend, matchmaking and player services</x:v>
      </x:c>
      <x:c r="E291" s="115" t="str">
        <x:v>What outcome and non-functional requirements justify game backend, matchmaking and player services, and what is the simplest managed implementation?</x:v>
      </x:c>
      <x:c r="F291" s="115" t="str">
        <x:v>Adopt &amp; Build</x:v>
      </x:c>
      <x:c r="G291" s="115" t="str">
        <x:v>Media / Game tech / Satellite</x:v>
      </x:c>
      <x:c r="H291" s="115" t="str">
        <x:v>Media / Mixed reality</x:v>
      </x:c>
      <x:c r="I291" s="115" t="str">
        <x:v>Application hosting / Industry solutions</x:v>
      </x:c>
      <x:c r="J291" s="115" t="str">
        <x:v>https://docs.aws.amazon.com/whitepapers/latest/aws-overview/amazon-web-services-cloud-platform.html</x:v>
      </x:c>
    </x:row>
    <x:row r="292">
      <x:c r="A292" s="116" t="str">
        <x:v>6. Edge, Industry &amp; Specialist</x:v>
      </x:c>
      <x:c r="B292" s="117" t="str">
        <x:v>22. Media, Communications, Gaming, Geospatial &amp; Spatial Computing</x:v>
      </x:c>
      <x:c r="C292" s="115" t="str">
        <x:v>Process and deliver rich media, interactive communication, location and immersive experiences.</x:v>
      </x:c>
      <x:c r="D292" s="115" t="str">
        <x:v>Mixed reality, spatial computing and digital experiences</x:v>
      </x:c>
      <x:c r="E292" s="115" t="str">
        <x:v>What outcome and non-functional requirements justify mixed reality, spatial computing and digital experiences, and what is the simplest managed implementation?</x:v>
      </x:c>
      <x:c r="F292" s="115" t="str">
        <x:v>Adopt &amp; Build</x:v>
      </x:c>
      <x:c r="G292" s="115" t="str">
        <x:v>Media / Game tech / Satellite</x:v>
      </x:c>
      <x:c r="H292" s="115" t="str">
        <x:v>Media / Mixed reality</x:v>
      </x:c>
      <x:c r="I292" s="115" t="str">
        <x:v>Application hosting / Industry solutions</x:v>
      </x:c>
      <x:c r="J292" s="115" t="str">
        <x:v>https://docs.aws.amazon.com/whitepapers/latest/aws-overview/amazon-web-services-cloud-platform.html</x:v>
      </x:c>
    </x:row>
    <x:row r="293">
      <x:c r="A293" s="116" t="str">
        <x:v>6. Edge, Industry &amp; Specialist</x:v>
      </x:c>
      <x:c r="B293" s="117" t="str">
        <x:v>23. Industry Clouds, Sovereign, Enterprise Apps &amp; Regulated Workloads</x:v>
      </x:c>
      <x:c r="C293" s="115" t="str">
        <x:v>Apply cloud capabilities to regulated sectors, packaged enterprise systems and sovereign requirements.</x:v>
      </x:c>
      <x:c r="D293" s="115" t="str">
        <x:v>Healthcare and life sciences</x:v>
      </x:c>
      <x:c r="E293" s="115" t="str">
        <x:v>What outcome and non-functional requirements justify healthcare and life sciences, and what is the simplest managed implementation?</x:v>
      </x:c>
      <x:c r="F293" s="115" t="str">
        <x:v>Adopt &amp; Build</x:v>
      </x:c>
      <x:c r="G293" s="115" t="str">
        <x:v>Business applications / Industry solutions</x:v>
      </x:c>
      <x:c r="H293" s="115" t="str">
        <x:v>Industry clouds / Hybrid + multicloud</x:v>
      </x:c>
      <x:c r="I293" s="115" t="str">
        <x:v>Industry solutions</x:v>
      </x:c>
      <x:c r="J293" s="115" t="str">
        <x:v>https://docs.cloud.google.com/docs/product-list</x:v>
      </x:c>
    </x:row>
    <x:row r="294">
      <x:c r="A294" s="116" t="str">
        <x:v>6. Edge, Industry &amp; Specialist</x:v>
      </x:c>
      <x:c r="B294" s="117" t="str">
        <x:v>23. Industry Clouds, Sovereign, Enterprise Apps &amp; Regulated Workloads</x:v>
      </x:c>
      <x:c r="C294" s="115" t="str">
        <x:v>Apply cloud capabilities to regulated sectors, packaged enterprise systems and sovereign requirements.</x:v>
      </x:c>
      <x:c r="D294" s="115" t="str">
        <x:v>Financial services, banking, insurance and capital markets</x:v>
      </x:c>
      <x:c r="E294" s="115" t="str">
        <x:v>What outcome and non-functional requirements justify financial services, banking, insurance and capital markets, and what is the simplest managed implementation?</x:v>
      </x:c>
      <x:c r="F294" s="115" t="str">
        <x:v>Adopt &amp; Build</x:v>
      </x:c>
      <x:c r="G294" s="115" t="str">
        <x:v>Business applications / Industry solutions</x:v>
      </x:c>
      <x:c r="H294" s="115" t="str">
        <x:v>Industry clouds / Hybrid + multicloud</x:v>
      </x:c>
      <x:c r="I294" s="115" t="str">
        <x:v>Industry solutions</x:v>
      </x:c>
      <x:c r="J294" s="115" t="str">
        <x:v>https://docs.cloud.google.com/docs/product-list</x:v>
      </x:c>
    </x:row>
    <x:row r="295">
      <x:c r="A295" s="116" t="str">
        <x:v>6. Edge, Industry &amp; Specialist</x:v>
      </x:c>
      <x:c r="B295" s="117" t="str">
        <x:v>23. Industry Clouds, Sovereign, Enterprise Apps &amp; Regulated Workloads</x:v>
      </x:c>
      <x:c r="C295" s="115" t="str">
        <x:v>Apply cloud capabilities to regulated sectors, packaged enterprise systems and sovereign requirements.</x:v>
      </x:c>
      <x:c r="D295" s="115" t="str">
        <x:v>Retail, consumer goods and commerce</x:v>
      </x:c>
      <x:c r="E295" s="115" t="str">
        <x:v>What outcome and non-functional requirements justify retail, consumer goods and commerce, and what is the simplest managed implementation?</x:v>
      </x:c>
      <x:c r="F295" s="115" t="str">
        <x:v>Adopt &amp; Build</x:v>
      </x:c>
      <x:c r="G295" s="115" t="str">
        <x:v>Business applications / Industry solutions</x:v>
      </x:c>
      <x:c r="H295" s="115" t="str">
        <x:v>Industry clouds / Hybrid + multicloud</x:v>
      </x:c>
      <x:c r="I295" s="115" t="str">
        <x:v>Industry solutions</x:v>
      </x:c>
      <x:c r="J295" s="115" t="str">
        <x:v>https://docs.cloud.google.com/docs/product-list</x:v>
      </x:c>
    </x:row>
    <x:row r="296">
      <x:c r="A296" s="116" t="str">
        <x:v>6. Edge, Industry &amp; Specialist</x:v>
      </x:c>
      <x:c r="B296" s="117" t="str">
        <x:v>23. Industry Clouds, Sovereign, Enterprise Apps &amp; Regulated Workloads</x:v>
      </x:c>
      <x:c r="C296" s="115" t="str">
        <x:v>Apply cloud capabilities to regulated sectors, packaged enterprise systems and sovereign requirements.</x:v>
      </x:c>
      <x:c r="D296" s="115" t="str">
        <x:v>Manufacturing and industrial operations</x:v>
      </x:c>
      <x:c r="E296" s="115" t="str">
        <x:v>What outcome and non-functional requirements justify manufacturing and industrial operations, and what is the simplest managed implementation?</x:v>
      </x:c>
      <x:c r="F296" s="115" t="str">
        <x:v>Adopt &amp; Build</x:v>
      </x:c>
      <x:c r="G296" s="115" t="str">
        <x:v>Business applications / Industry solutions</x:v>
      </x:c>
      <x:c r="H296" s="115" t="str">
        <x:v>Industry clouds / Hybrid + multicloud</x:v>
      </x:c>
      <x:c r="I296" s="115" t="str">
        <x:v>Industry solutions</x:v>
      </x:c>
      <x:c r="J296" s="115" t="str">
        <x:v>https://docs.cloud.google.com/docs/product-list</x:v>
      </x:c>
    </x:row>
    <x:row r="297">
      <x:c r="A297" s="116" t="str">
        <x:v>6. Edge, Industry &amp; Specialist</x:v>
      </x:c>
      <x:c r="B297" s="117" t="str">
        <x:v>23. Industry Clouds, Sovereign, Enterprise Apps &amp; Regulated Workloads</x:v>
      </x:c>
      <x:c r="C297" s="115" t="str">
        <x:v>Apply cloud capabilities to regulated sectors, packaged enterprise systems and sovereign requirements.</x:v>
      </x:c>
      <x:c r="D297" s="115" t="str">
        <x:v>Telecommunications and media</x:v>
      </x:c>
      <x:c r="E297" s="115" t="str">
        <x:v>What outcome and non-functional requirements justify telecommunications and media, and what is the simplest managed implementation?</x:v>
      </x:c>
      <x:c r="F297" s="115" t="str">
        <x:v>Adopt &amp; Build</x:v>
      </x:c>
      <x:c r="G297" s="115" t="str">
        <x:v>Business applications / Industry solutions</x:v>
      </x:c>
      <x:c r="H297" s="115" t="str">
        <x:v>Industry clouds / Hybrid + multicloud</x:v>
      </x:c>
      <x:c r="I297" s="115" t="str">
        <x:v>Industry solutions</x:v>
      </x:c>
      <x:c r="J297" s="115" t="str">
        <x:v>https://docs.cloud.google.com/docs/product-list</x:v>
      </x:c>
    </x:row>
    <x:row r="298">
      <x:c r="A298" s="116" t="str">
        <x:v>6. Edge, Industry &amp; Specialist</x:v>
      </x:c>
      <x:c r="B298" s="117" t="str">
        <x:v>23. Industry Clouds, Sovereign, Enterprise Apps &amp; Regulated Workloads</x:v>
      </x:c>
      <x:c r="C298" s="115" t="str">
        <x:v>Apply cloud capabilities to regulated sectors, packaged enterprise systems and sovereign requirements.</x:v>
      </x:c>
      <x:c r="D298" s="115" t="str">
        <x:v>Public sector, defence and government</x:v>
      </x:c>
      <x:c r="E298" s="115" t="str">
        <x:v>What outcome and non-functional requirements justify public sector, defence and government, and what is the simplest managed implementation?</x:v>
      </x:c>
      <x:c r="F298" s="115" t="str">
        <x:v>Adopt &amp; Build</x:v>
      </x:c>
      <x:c r="G298" s="115" t="str">
        <x:v>Business applications / Industry solutions</x:v>
      </x:c>
      <x:c r="H298" s="115" t="str">
        <x:v>Industry clouds / Hybrid + multicloud</x:v>
      </x:c>
      <x:c r="I298" s="115" t="str">
        <x:v>Industry solutions</x:v>
      </x:c>
      <x:c r="J298" s="115" t="str">
        <x:v>https://docs.cloud.google.com/docs/product-list</x:v>
      </x:c>
    </x:row>
    <x:row r="299">
      <x:c r="A299" s="116" t="str">
        <x:v>6. Edge, Industry &amp; Specialist</x:v>
      </x:c>
      <x:c r="B299" s="117" t="str">
        <x:v>23. Industry Clouds, Sovereign, Enterprise Apps &amp; Regulated Workloads</x:v>
      </x:c>
      <x:c r="C299" s="115" t="str">
        <x:v>Apply cloud capabilities to regulated sectors, packaged enterprise systems and sovereign requirements.</x:v>
      </x:c>
      <x:c r="D299" s="115" t="str">
        <x:v>Education and research</x:v>
      </x:c>
      <x:c r="E299" s="115" t="str">
        <x:v>What outcome and non-functional requirements justify education and research, and what is the simplest managed implementation?</x:v>
      </x:c>
      <x:c r="F299" s="115" t="str">
        <x:v>Adopt &amp; Build</x:v>
      </x:c>
      <x:c r="G299" s="115" t="str">
        <x:v>Business applications / Industry solutions</x:v>
      </x:c>
      <x:c r="H299" s="115" t="str">
        <x:v>Industry clouds / Hybrid + multicloud</x:v>
      </x:c>
      <x:c r="I299" s="115" t="str">
        <x:v>Industry solutions</x:v>
      </x:c>
      <x:c r="J299" s="115" t="str">
        <x:v>https://docs.cloud.google.com/docs/product-list</x:v>
      </x:c>
    </x:row>
    <x:row r="300">
      <x:c r="A300" s="116" t="str">
        <x:v>6. Edge, Industry &amp; Specialist</x:v>
      </x:c>
      <x:c r="B300" s="117" t="str">
        <x:v>23. Industry Clouds, Sovereign, Enterprise Apps &amp; Regulated Workloads</x:v>
      </x:c>
      <x:c r="C300" s="115" t="str">
        <x:v>Apply cloud capabilities to regulated sectors, packaged enterprise systems and sovereign requirements.</x:v>
      </x:c>
      <x:c r="D300" s="115" t="str">
        <x:v>Energy, utilities and sustainability</x:v>
      </x:c>
      <x:c r="E300" s="115" t="str">
        <x:v>What outcome and non-functional requirements justify energy, utilities and sustainability, and what is the simplest managed implementation?</x:v>
      </x:c>
      <x:c r="F300" s="115" t="str">
        <x:v>Adopt &amp; Build</x:v>
      </x:c>
      <x:c r="G300" s="115" t="str">
        <x:v>Business applications / Industry solutions</x:v>
      </x:c>
      <x:c r="H300" s="115" t="str">
        <x:v>Industry clouds / Hybrid + multicloud</x:v>
      </x:c>
      <x:c r="I300" s="115" t="str">
        <x:v>Industry solutions</x:v>
      </x:c>
      <x:c r="J300" s="115" t="str">
        <x:v>https://docs.cloud.google.com/docs/product-list</x:v>
      </x:c>
    </x:row>
    <x:row r="301">
      <x:c r="A301" s="116" t="str">
        <x:v>6. Edge, Industry &amp; Specialist</x:v>
      </x:c>
      <x:c r="B301" s="117" t="str">
        <x:v>23. Industry Clouds, Sovereign, Enterprise Apps &amp; Regulated Workloads</x:v>
      </x:c>
      <x:c r="C301" s="115" t="str">
        <x:v>Apply cloud capabilities to regulated sectors, packaged enterprise systems and sovereign requirements.</x:v>
      </x:c>
      <x:c r="D301" s="115" t="str">
        <x:v>Automotive, mobility and transportation</x:v>
      </x:c>
      <x:c r="E301" s="115" t="str">
        <x:v>What outcome and non-functional requirements justify automotive, mobility and transportation, and what is the simplest managed implementation?</x:v>
      </x:c>
      <x:c r="F301" s="115" t="str">
        <x:v>Adopt &amp; Build</x:v>
      </x:c>
      <x:c r="G301" s="115" t="str">
        <x:v>Business applications / Industry solutions</x:v>
      </x:c>
      <x:c r="H301" s="115" t="str">
        <x:v>Industry clouds / Hybrid + multicloud</x:v>
      </x:c>
      <x:c r="I301" s="115" t="str">
        <x:v>Industry solutions</x:v>
      </x:c>
      <x:c r="J301" s="115" t="str">
        <x:v>https://docs.cloud.google.com/docs/product-list</x:v>
      </x:c>
    </x:row>
    <x:row r="302">
      <x:c r="A302" s="116" t="str">
        <x:v>6. Edge, Industry &amp; Specialist</x:v>
      </x:c>
      <x:c r="B302" s="117" t="str">
        <x:v>23. Industry Clouds, Sovereign, Enterprise Apps &amp; Regulated Workloads</x:v>
      </x:c>
      <x:c r="C302" s="115" t="str">
        <x:v>Apply cloud capabilities to regulated sectors, packaged enterprise systems and sovereign requirements.</x:v>
      </x:c>
      <x:c r="D302" s="115" t="str">
        <x:v>SAP, Oracle and packaged enterprise applications</x:v>
      </x:c>
      <x:c r="E302" s="115" t="str">
        <x:v>What outcome and non-functional requirements justify sap, oracle and packaged enterprise applications, and what is the simplest managed implementation?</x:v>
      </x:c>
      <x:c r="F302" s="115" t="str">
        <x:v>Adopt &amp; Build</x:v>
      </x:c>
      <x:c r="G302" s="115" t="str">
        <x:v>Business applications / Industry solutions</x:v>
      </x:c>
      <x:c r="H302" s="115" t="str">
        <x:v>Industry clouds / Hybrid + multicloud</x:v>
      </x:c>
      <x:c r="I302" s="115" t="str">
        <x:v>Industry solutions</x:v>
      </x:c>
      <x:c r="J302" s="115" t="str">
        <x:v>https://docs.cloud.google.com/docs/product-list</x:v>
      </x:c>
    </x:row>
    <x:row r="303">
      <x:c r="A303" s="116" t="str">
        <x:v>6. Edge, Industry &amp; Specialist</x:v>
      </x:c>
      <x:c r="B303" s="117" t="str">
        <x:v>23. Industry Clouds, Sovereign, Enterprise Apps &amp; Regulated Workloads</x:v>
      </x:c>
      <x:c r="C303" s="115" t="str">
        <x:v>Apply cloud capabilities to regulated sectors, packaged enterprise systems and sovereign requirements.</x:v>
      </x:c>
      <x:c r="D303" s="115" t="str">
        <x:v>Sovereign cloud and regulated landing zones</x:v>
      </x:c>
      <x:c r="E303" s="115" t="str">
        <x:v>What outcome and non-functional requirements justify sovereign cloud and regulated landing zones, and what is the simplest managed implementation?</x:v>
      </x:c>
      <x:c r="F303" s="115" t="str">
        <x:v>Adopt &amp; Build</x:v>
      </x:c>
      <x:c r="G303" s="115" t="str">
        <x:v>Business applications / Industry solutions</x:v>
      </x:c>
      <x:c r="H303" s="115" t="str">
        <x:v>Industry clouds / Hybrid + multicloud</x:v>
      </x:c>
      <x:c r="I303" s="115" t="str">
        <x:v>Industry solutions</x:v>
      </x:c>
      <x:c r="J303" s="115" t="str">
        <x:v>https://docs.cloud.google.com/docs/product-list</x:v>
      </x:c>
    </x:row>
    <x:row r="304">
      <x:c r="A304" s="116" t="str">
        <x:v>6. Edge, Industry &amp; Specialist</x:v>
      </x:c>
      <x:c r="B304" s="117" t="str">
        <x:v>23. Industry Clouds, Sovereign, Enterprise Apps &amp; Regulated Workloads</x:v>
      </x:c>
      <x:c r="C304" s="115" t="str">
        <x:v>Apply cloud capabilities to regulated sectors, packaged enterprise systems and sovereign requirements.</x:v>
      </x:c>
      <x:c r="D304" s="115" t="str">
        <x:v>Industry data models, interoperability and compliance</x:v>
      </x:c>
      <x:c r="E304" s="115" t="str">
        <x:v>What outcome and non-functional requirements justify industry data models, interoperability and compliance, and what is the simplest managed implementation?</x:v>
      </x:c>
      <x:c r="F304" s="115" t="str">
        <x:v>Adopt &amp; Build</x:v>
      </x:c>
      <x:c r="G304" s="115" t="str">
        <x:v>Business applications / Industry solutions</x:v>
      </x:c>
      <x:c r="H304" s="115" t="str">
        <x:v>Industry clouds / Hybrid + multicloud</x:v>
      </x:c>
      <x:c r="I304" s="115" t="str">
        <x:v>Industry solutions</x:v>
      </x:c>
      <x:c r="J304" s="115" t="str">
        <x:v>https://docs.cloud.google.com/docs/product-list</x:v>
      </x:c>
    </x:row>
    <x:row r="305">
      <x:c r="A305" s="116" t="str">
        <x:v>6. Edge, Industry &amp; Specialist</x:v>
      </x:c>
      <x:c r="B305" s="117" t="str">
        <x:v>24. Emerging Technologies: Quantum, Blockchain &amp; Satellite</x:v>
      </x:c>
      <x:c r="C305" s="115" t="str">
        <x:v>Evaluate specialist platforms that are not part of most standard enterprise architectures.</x:v>
      </x:c>
      <x:c r="D305" s="115" t="str">
        <x:v>Quantum development, simulation and hardware access</x:v>
      </x:c>
      <x:c r="E305" s="115" t="str">
        <x:v>What outcome and non-functional requirements justify quantum development, simulation and hardware access, and what is the simplest managed implementation?</x:v>
      </x:c>
      <x:c r="F305" s="115" t="str">
        <x:v>Adopt &amp; Build</x:v>
      </x:c>
      <x:c r="G305" s="115" t="str">
        <x:v>Quantum technologies / Blockchain / Satellite</x:v>
      </x:c>
      <x:c r="H305" s="115" t="str">
        <x:v>Quantum / Partner blockchain and orbital services</x:v>
      </x:c>
      <x:c r="I305" s="115" t="str">
        <x:v>App hosting / Data analytics / Industry solutions</x:v>
      </x:c>
      <x:c r="J305" s="115" t="str">
        <x:v>https://docs.aws.amazon.com/whitepapers/latest/aws-overview/amazon-web-services-cloud-platform.html</x:v>
      </x:c>
    </x:row>
    <x:row r="306">
      <x:c r="A306" s="116" t="str">
        <x:v>6. Edge, Industry &amp; Specialist</x:v>
      </x:c>
      <x:c r="B306" s="117" t="str">
        <x:v>24. Emerging Technologies: Quantum, Blockchain &amp; Satellite</x:v>
      </x:c>
      <x:c r="C306" s="115" t="str">
        <x:v>Evaluate specialist platforms that are not part of most standard enterprise architectures.</x:v>
      </x:c>
      <x:c r="D306" s="115" t="str">
        <x:v>Managed blockchain networks and nodes</x:v>
      </x:c>
      <x:c r="E306" s="115" t="str">
        <x:v>What outcome and non-functional requirements justify managed blockchain networks and nodes, and what is the simplest managed implementation?</x:v>
      </x:c>
      <x:c r="F306" s="115" t="str">
        <x:v>Adopt &amp; Build</x:v>
      </x:c>
      <x:c r="G306" s="115" t="str">
        <x:v>Quantum technologies / Blockchain / Satellite</x:v>
      </x:c>
      <x:c r="H306" s="115" t="str">
        <x:v>Quantum / Partner blockchain and orbital services</x:v>
      </x:c>
      <x:c r="I306" s="115" t="str">
        <x:v>App hosting / Data analytics / Industry solutions</x:v>
      </x:c>
      <x:c r="J306" s="115" t="str">
        <x:v>https://docs.aws.amazon.com/whitepapers/latest/aws-overview/amazon-web-services-cloud-platform.html</x:v>
      </x:c>
    </x:row>
    <x:row r="307">
      <x:c r="A307" s="116" t="str">
        <x:v>6. Edge, Industry &amp; Specialist</x:v>
      </x:c>
      <x:c r="B307" s="117" t="str">
        <x:v>24. Emerging Technologies: Quantum, Blockchain &amp; Satellite</x:v>
      </x:c>
      <x:c r="C307" s="115" t="str">
        <x:v>Evaluate specialist platforms that are not part of most standard enterprise architectures.</x:v>
      </x:c>
      <x:c r="D307" s="115" t="str">
        <x:v>Blockchain RPC and Web3 infrastructure</x:v>
      </x:c>
      <x:c r="E307" s="115" t="str">
        <x:v>What outcome and non-functional requirements justify blockchain rpc and web3 infrastructure, and what is the simplest managed implementation?</x:v>
      </x:c>
      <x:c r="F307" s="115" t="str">
        <x:v>Adopt &amp; Build</x:v>
      </x:c>
      <x:c r="G307" s="115" t="str">
        <x:v>Quantum technologies / Blockchain / Satellite</x:v>
      </x:c>
      <x:c r="H307" s="115" t="str">
        <x:v>Quantum / Partner blockchain and orbital services</x:v>
      </x:c>
      <x:c r="I307" s="115" t="str">
        <x:v>App hosting / Data analytics / Industry solutions</x:v>
      </x:c>
      <x:c r="J307" s="115" t="str">
        <x:v>https://docs.aws.amazon.com/whitepapers/latest/aws-overview/amazon-web-services-cloud-platform.html</x:v>
      </x:c>
    </x:row>
    <x:row r="308">
      <x:c r="A308" s="116" t="str">
        <x:v>6. Edge, Industry &amp; Specialist</x:v>
      </x:c>
      <x:c r="B308" s="117" t="str">
        <x:v>24. Emerging Technologies: Quantum, Blockchain &amp; Satellite</x:v>
      </x:c>
      <x:c r="C308" s="115" t="str">
        <x:v>Evaluate specialist platforms that are not part of most standard enterprise architectures.</x:v>
      </x:c>
      <x:c r="D308" s="115" t="str">
        <x:v>Blockchain analytics and indexed data</x:v>
      </x:c>
      <x:c r="E308" s="115" t="str">
        <x:v>What outcome and non-functional requirements justify blockchain analytics and indexed data, and what is the simplest managed implementation?</x:v>
      </x:c>
      <x:c r="F308" s="115" t="str">
        <x:v>Adopt &amp; Build</x:v>
      </x:c>
      <x:c r="G308" s="115" t="str">
        <x:v>Quantum technologies / Blockchain / Satellite</x:v>
      </x:c>
      <x:c r="H308" s="115" t="str">
        <x:v>Quantum / Partner blockchain and orbital services</x:v>
      </x:c>
      <x:c r="I308" s="115" t="str">
        <x:v>App hosting / Data analytics / Industry solutions</x:v>
      </x:c>
      <x:c r="J308" s="115" t="str">
        <x:v>https://docs.aws.amazon.com/whitepapers/latest/aws-overview/amazon-web-services-cloud-platform.html</x:v>
      </x:c>
    </x:row>
    <x:row r="309">
      <x:c r="A309" s="116" t="str">
        <x:v>6. Edge, Industry &amp; Specialist</x:v>
      </x:c>
      <x:c r="B309" s="117" t="str">
        <x:v>24. Emerging Technologies: Quantum, Blockchain &amp; Satellite</x:v>
      </x:c>
      <x:c r="C309" s="115" t="str">
        <x:v>Evaluate specialist platforms that are not part of most standard enterprise architectures.</x:v>
      </x:c>
      <x:c r="D309" s="115" t="str">
        <x:v>Immutable ledger and verifiable records</x:v>
      </x:c>
      <x:c r="E309" s="115" t="str">
        <x:v>What outcome and non-functional requirements justify immutable ledger and verifiable records, and what is the simplest managed implementation?</x:v>
      </x:c>
      <x:c r="F309" s="115" t="str">
        <x:v>Adopt &amp; Build</x:v>
      </x:c>
      <x:c r="G309" s="115" t="str">
        <x:v>Quantum technologies / Blockchain / Satellite</x:v>
      </x:c>
      <x:c r="H309" s="115" t="str">
        <x:v>Quantum / Partner blockchain and orbital services</x:v>
      </x:c>
      <x:c r="I309" s="115" t="str">
        <x:v>App hosting / Data analytics / Industry solutions</x:v>
      </x:c>
      <x:c r="J309" s="115" t="str">
        <x:v>https://docs.aws.amazon.com/whitepapers/latest/aws-overview/amazon-web-services-cloud-platform.html</x:v>
      </x:c>
    </x:row>
    <x:row r="310">
      <x:c r="A310" s="116" t="str">
        <x:v>6. Edge, Industry &amp; Specialist</x:v>
      </x:c>
      <x:c r="B310" s="117" t="str">
        <x:v>24. Emerging Technologies: Quantum, Blockchain &amp; Satellite</x:v>
      </x:c>
      <x:c r="C310" s="115" t="str">
        <x:v>Evaluate specialist platforms that are not part of most standard enterprise architectures.</x:v>
      </x:c>
      <x:c r="D310" s="115" t="str">
        <x:v>Satellite ground station as a service</x:v>
      </x:c>
      <x:c r="E310" s="115" t="str">
        <x:v>What outcome and non-functional requirements justify satellite ground station as a service, and what is the simplest managed implementation?</x:v>
      </x:c>
      <x:c r="F310" s="115" t="str">
        <x:v>Adopt &amp; Build</x:v>
      </x:c>
      <x:c r="G310" s="115" t="str">
        <x:v>Quantum technologies / Blockchain / Satellite</x:v>
      </x:c>
      <x:c r="H310" s="115" t="str">
        <x:v>Quantum / Partner blockchain and orbital services</x:v>
      </x:c>
      <x:c r="I310" s="115" t="str">
        <x:v>App hosting / Data analytics / Industry solutions</x:v>
      </x:c>
      <x:c r="J310" s="115" t="str">
        <x:v>https://docs.aws.amazon.com/whitepapers/latest/aws-overview/amazon-web-services-cloud-platform.html</x:v>
      </x:c>
    </x:row>
    <x:row r="311">
      <x:c r="A311" s="116" t="str">
        <x:v>6. Edge, Industry &amp; Specialist</x:v>
      </x:c>
      <x:c r="B311" s="117" t="str">
        <x:v>24. Emerging Technologies: Quantum, Blockchain &amp; Satellite</x:v>
      </x:c>
      <x:c r="C311" s="115" t="str">
        <x:v>Evaluate specialist platforms that are not part of most standard enterprise architectures.</x:v>
      </x:c>
      <x:c r="D311" s="115" t="str">
        <x:v>Space data ingestion, processing and analytics</x:v>
      </x:c>
      <x:c r="E311" s="115" t="str">
        <x:v>What outcome and non-functional requirements justify space data ingestion, processing and analytics, and what is the simplest managed implementation?</x:v>
      </x:c>
      <x:c r="F311" s="115" t="str">
        <x:v>Adopt &amp; Build</x:v>
      </x:c>
      <x:c r="G311" s="115" t="str">
        <x:v>Quantum technologies / Blockchain / Satellite</x:v>
      </x:c>
      <x:c r="H311" s="115" t="str">
        <x:v>Quantum / Partner blockchain and orbital services</x:v>
      </x:c>
      <x:c r="I311" s="115" t="str">
        <x:v>App hosting / Data analytics / Industry solutions</x:v>
      </x:c>
      <x:c r="J311" s="115" t="str">
        <x:v>https://docs.aws.amazon.com/whitepapers/latest/aws-overview/amazon-web-services-cloud-platform.html</x:v>
      </x:c>
    </x:row>
  </x:sheetData>
  <x:mergeCells>
    <x:mergeCell ref="A1:J1"/>
    <x:mergeCell ref="A2:J2"/>
  </x:mergeCells>
  <x:pageMargins left="0.7" right="0.7" top="0.75" bottom="0.75" header="0.3" footer="0.3"/>
  <x:tableParts count="1">
    <x:tablePart xmlns:r="http://schemas.openxmlformats.org/officeDocument/2006/relationships" r:id="Re8d3554971934b8e"/>
  </x:tableParts>
</x:worksheet>
</file>

<file path=xl/worksheets/sheet15.xml><?xml version="1.0" encoding="utf-8"?>
<x:worksheet xmlns:x="http://schemas.openxmlformats.org/spreadsheetml/2006/main">
  <x:sheetFormatPr defaultRowHeight="15"/>
  <x:cols>
    <x:col min="1" max="1" width="36" hidden="0" customWidth="1"/>
    <x:col min="2" max="2" width="46" hidden="0" customWidth="1"/>
    <x:col min="3" max="3" width="34" hidden="0" customWidth="1"/>
    <x:col min="4" max="4" width="20" hidden="0" customWidth="1"/>
    <x:col min="5" max="5" width="38" hidden="0" customWidth="1"/>
    <x:col min="6" max="6" width="32" hidden="0" customWidth="1"/>
    <x:col min="7" max="7" width="25" hidden="0" customWidth="1"/>
    <x:col min="8" max="8" width="27" hidden="0" customWidth="1"/>
    <x:col min="9" max="9" width="33" hidden="0" customWidth="1"/>
    <x:col min="10" max="10" width="48" hidden="0" customWidth="1"/>
    <x:col min="11" max="11" width="50" hidden="0" customWidth="1"/>
    <x:col min="12" max="12" width="56" hidden="0" customWidth="1"/>
    <x:col min="13" max="13" width="48" hidden="0" customWidth="1"/>
    <x:col min="14" max="14" width="12" hidden="0" customWidth="1"/>
    <x:col min="15" max="15" width="14" hidden="0" customWidth="1"/>
    <x:col min="16" max="16" width="18" hidden="0" customWidth="1"/>
    <x:col min="17" max="17" width="13" hidden="0" customWidth="1"/>
    <x:col min="18" max="18" width="38" hidden="0" customWidth="1"/>
    <x:col min="19" max="19" width="40" hidden="0" customWidth="1"/>
    <x:col min="20" max="20" width="40" hidden="0" customWidth="1"/>
    <x:col min="21" max="21" width="12" hidden="0" customWidth="1"/>
    <x:col min="22" max="22" width="12" hidden="0" customWidth="1"/>
    <x:col min="23" max="23" width="12" hidden="0" customWidth="1"/>
    <x:col min="24" max="24" width="24" hidden="0" customWidth="1"/>
    <x:col min="25" max="25" width="58" hidden="0" customWidth="1"/>
    <x:col min="26" max="26" width="13" hidden="0" customWidth="1"/>
    <x:col min="27" max="27" width="48" hidden="0" customWidth="1"/>
    <x:col min="28" max="28" width="14" hidden="0" customWidth="1"/>
    <x:col min="29" max="29" width="18" hidden="0" customWidth="1"/>
    <x:col min="30" max="30" width="68" hidden="0" customWidth="1"/>
  </x:cols>
  <x:sheetData>
    <x:row r="1" ht="30" customHeight="1">
      <x:c r="A1" s="102" t="str">
        <x:v>Exhaustive Service Decision Matrix</x:v>
      </x:c>
      <x:c r="B1" s="102"/>
      <x:c r="C1" s="102"/>
      <x:c r="D1" s="102"/>
      <x:c r="E1" s="102"/>
      <x:c r="F1" s="102"/>
      <x:c r="G1" s="102"/>
      <x:c r="H1" s="102"/>
      <x:c r="I1" s="102"/>
      <x:c r="J1" s="102"/>
      <x:c r="K1" s="102"/>
      <x:c r="L1" s="102"/>
      <x:c r="M1" s="102"/>
      <x:c r="N1" s="102"/>
      <x:c r="O1" s="102"/>
      <x:c r="P1" s="102"/>
      <x:c r="Q1" s="102"/>
      <x:c r="R1" s="102"/>
      <x:c r="S1" s="102"/>
      <x:c r="T1" s="102"/>
      <x:c r="U1" s="102"/>
      <x:c r="V1" s="102"/>
      <x:c r="W1" s="102"/>
      <x:c r="X1" s="102"/>
      <x:c r="Y1" s="102"/>
      <x:c r="Z1" s="102"/>
      <x:c r="AA1" s="102"/>
      <x:c r="AB1" s="102"/>
      <x:c r="AC1" s="102"/>
      <x:c r="AD1" s="102"/>
    </x:row>
    <x:row r="2" ht="36" customHeight="1">
      <x:c r="A2" s="106" t="str">
        <x:v>The existing 268 cross-cloud service decisions recategorised into the full architecture taxonomy. Use the Master Taxonomy and Gap Backlog for capabilities not yet represented by a scored service row.</x:v>
      </x:c>
      <x:c r="B2" s="106"/>
      <x:c r="C2" s="106"/>
      <x:c r="D2" s="106"/>
      <x:c r="E2" s="106"/>
      <x:c r="F2" s="106"/>
      <x:c r="G2" s="106"/>
      <x:c r="H2" s="106"/>
      <x:c r="I2" s="106"/>
      <x:c r="J2" s="106"/>
      <x:c r="K2" s="106"/>
      <x:c r="L2" s="106"/>
      <x:c r="M2" s="106"/>
      <x:c r="N2" s="106"/>
      <x:c r="O2" s="106"/>
      <x:c r="P2" s="106"/>
      <x:c r="Q2" s="106"/>
      <x:c r="R2" s="106"/>
      <x:c r="S2" s="106"/>
      <x:c r="T2" s="106"/>
      <x:c r="U2" s="106"/>
      <x:c r="V2" s="106"/>
      <x:c r="W2" s="106"/>
      <x:c r="X2" s="106"/>
      <x:c r="Y2" s="106"/>
      <x:c r="Z2" s="106"/>
      <x:c r="AA2" s="106"/>
      <x:c r="AB2" s="106"/>
      <x:c r="AC2" s="106"/>
      <x:c r="AD2" s="106"/>
    </x:row>
    <x:row r="4" ht="34" customHeight="1">
      <x:c r="A4" s="112" t="str">
        <x:v>Super-domain</x:v>
      </x:c>
      <x:c r="B4" s="112" t="str">
        <x:v>Architecture domain</x:v>
      </x:c>
      <x:c r="C4" s="112" t="str">
        <x:v>Capability family</x:v>
      </x:c>
      <x:c r="D4" s="112" t="str">
        <x:v>Lifecycle stage</x:v>
      </x:c>
      <x:c r="E4" s="112" t="str">
        <x:v>Primary decision lenses</x:v>
      </x:c>
      <x:c r="F4" s="112" t="str">
        <x:v>Prior architecture layer</x:v>
      </x:c>
      <x:c r="G4" s="112" t="str">
        <x:v>Original cloud domain</x:v>
      </x:c>
      <x:c r="H4" s="112" t="str">
        <x:v>Original category</x:v>
      </x:c>
      <x:c r="I4" s="112" t="str">
        <x:v>Generic capability</x:v>
      </x:c>
      <x:c r="J4" s="112" t="str">
        <x:v>Plain-English purpose</x:v>
      </x:c>
      <x:c r="K4" s="112" t="str">
        <x:v>Use when</x:v>
      </x:c>
      <x:c r="L4" s="112" t="str">
        <x:v>Key decision question</x:v>
      </x:c>
      <x:c r="M4" s="112" t="str">
        <x:v>Key trade-off</x:v>
      </x:c>
      <x:c r="N4" s="112" t="str">
        <x:v>Adoption ease score</x:v>
      </x:c>
      <x:c r="O4" s="112" t="str">
        <x:v>Ease</x:v>
      </x:c>
      <x:c r="P4" s="112" t="str">
        <x:v>Time to first value</x:v>
      </x:c>
      <x:c r="Q4" s="112" t="str">
        <x:v>Lock-in risk</x:v>
      </x:c>
      <x:c r="R4" s="112" t="str">
        <x:v>AWS alternative(s)</x:v>
      </x:c>
      <x:c r="S4" s="112" t="str">
        <x:v>Azure alternative(s)</x:v>
      </x:c>
      <x:c r="T4" s="112" t="str">
        <x:v>Google Cloud alternative(s)</x:v>
      </x:c>
      <x:c r="U4" s="112" t="str">
        <x:v>AWS score</x:v>
      </x:c>
      <x:c r="V4" s="112" t="str">
        <x:v>Azure score</x:v>
      </x:c>
      <x:c r="W4" s="112" t="str">
        <x:v>GCP score</x:v>
      </x:c>
      <x:c r="X4" s="112" t="str">
        <x:v>Default best fit</x:v>
      </x:c>
      <x:c r="Y4" s="112" t="str">
        <x:v>Recommendation</x:v>
      </x:c>
      <x:c r="Z4" s="112" t="str">
        <x:v>Equivalence</x:v>
      </x:c>
      <x:c r="AA4" s="112" t="str">
        <x:v>Mapping notes</x:v>
      </x:c>
      <x:c r="AB4" s="112" t="str">
        <x:v>Verified date</x:v>
      </x:c>
      <x:c r="AC4" s="112" t="str">
        <x:v>Coverage state</x:v>
      </x:c>
      <x:c r="AD4" s="112" t="str">
        <x:v>Taxonomy source</x:v>
      </x:c>
    </x:row>
    <x:row r="5">
      <x:c r="A5" s="115" t="str">
        <x:v>1. Strategy, Governance &amp; Commercial</x:v>
      </x:c>
      <x:c r="B5" s="115" t="str">
        <x:v>02. Governance, Organisation, Landing Zones &amp; Policy</x:v>
      </x:c>
      <x:c r="C5" s="115" t="str">
        <x:v>Cloud Foundation &amp; Governance</x:v>
      </x:c>
      <x:c r="D5" s="115" t="str">
        <x:v>Ready &amp; Govern</x:v>
      </x:c>
      <x:c r="E5" s="115" t="str">
        <x:v>Security, Privacy &amp; Compliance
Cost &amp; FinOps
Operations &amp; Support</x:v>
      </x:c>
      <x:c r="F5" s="115" t="str">
        <x:v>01 Strategy, Governance &amp; FinOps</x:v>
      </x:c>
      <x:c r="G5" s="115" t="str">
        <x:v>Governance &amp; Management</x:v>
      </x:c>
      <x:c r="H5" s="115" t="str">
        <x:v>Organisation governance</x:v>
      </x:c>
      <x:c r="I5" s="115" t="str">
        <x:v>Cloud organisation and account hierarchy</x:v>
      </x:c>
      <x:c r="J5" s="115" t="str">
        <x:v>Centrally organise subscriptions/accounts/projects, apply hierarchy and consolidate governance.</x:v>
      </x:c>
      <x:c r="K5" s="115" t="str">
        <x:v>Choose this capability when you need to centrally organise subscriptions/accounts/projects, apply hierarchy and consolidate governance.</x:v>
      </x:c>
      <x:c r="L5" s="115" t="str">
        <x:v>What business outcome, scale, control, integration and operating model justify choosing cloud organisation and account hierarchy?</x:v>
      </x:c>
      <x:c r="M5" s="115" t="str">
        <x:v>Native integration and speed versus portability, governance effort and total cost.</x:v>
      </x:c>
      <x:c r="N5" s="115" t="n">
        <x:v>3</x:v>
      </x:c>
      <x:c r="O5" s="115" t="str">
        <x:v>Moderate</x:v>
      </x:c>
      <x:c r="P5" s="115" t="str">
        <x:v>1–3 weeks</x:v>
      </x:c>
      <x:c r="Q5" s="115" t="str">
        <x:v>Medium</x:v>
      </x:c>
      <x:c r="R5" s="115" t="str">
        <x:v>AWS Organizations</x:v>
      </x:c>
      <x:c r="S5" s="115" t="str">
        <x:v>Azure Management Groups
Azure Subscriptions</x:v>
      </x:c>
      <x:c r="T5" s="115" t="str">
        <x:v>Resource Manager
Cloud Resource Manager</x:v>
      </x:c>
      <x:c r="U5" s="115" t="n">
        <x:v>3.98</x:v>
      </x:c>
      <x:c r="V5" s="115" t="n">
        <x:v>3.8</x:v>
      </x:c>
      <x:c r="W5" s="115" t="n">
        <x:v>3.77</x:v>
      </x:c>
      <x:c r="X5" s="118" t="str">
        <x:v>AWS</x:v>
      </x:c>
      <x:c r="Y5" s="115" t="str">
        <x:v>Start with AWS when infrastructure breadth, native integration and operational maturity are the main differentiators.</x:v>
      </x:c>
      <x:c r="Z5" s="115" t="str">
        <x:v>Exact</x:v>
      </x:c>
      <x:c r="AA5" s="115"/>
      <x:c r="AB5" s="115" t="str">
        <x:v>2026-07-12</x:v>
      </x:c>
      <x:c r="AC5" s="115" t="str">
        <x:v>Scored and mapped</x:v>
      </x:c>
      <x:c r="AD5" s="115" t="str">
        <x:v>https://docs.cloud.google.com/architecture/landing-zones</x:v>
      </x:c>
    </x:row>
    <x:row r="6">
      <x:c r="A6" s="115" t="str">
        <x:v>1. Strategy, Governance &amp; Commercial</x:v>
      </x:c>
      <x:c r="B6" s="115" t="str">
        <x:v>02. Governance, Organisation, Landing Zones &amp; Policy</x:v>
      </x:c>
      <x:c r="C6" s="115" t="str">
        <x:v>Cloud Foundation &amp; Governance</x:v>
      </x:c>
      <x:c r="D6" s="115" t="str">
        <x:v>Ready &amp; Govern</x:v>
      </x:c>
      <x:c r="E6" s="115" t="str">
        <x:v>Security, Privacy &amp; Compliance
Cost &amp; FinOps
Operations &amp; Support</x:v>
      </x:c>
      <x:c r="F6" s="115" t="str">
        <x:v>01 Strategy, Governance &amp; FinOps</x:v>
      </x:c>
      <x:c r="G6" s="115" t="str">
        <x:v>Governance &amp; Management</x:v>
      </x:c>
      <x:c r="H6" s="115" t="str">
        <x:v>Landing zones</x:v>
      </x:c>
      <x:c r="I6" s="115" t="str">
        <x:v>Enterprise landing zone</x:v>
      </x:c>
      <x:c r="J6" s="115" t="str">
        <x:v>Establish a governed multi-account or multi-subscription cloud foundation.</x:v>
      </x:c>
      <x:c r="K6" s="115" t="str">
        <x:v>Choose this capability when you need to establish a governed multi-account or multi-subscription cloud foundation.</x:v>
      </x:c>
      <x:c r="L6" s="115" t="str">
        <x:v>What business outcome, scale, control, integration and operating model justify choosing enterprise landing zone?</x:v>
      </x:c>
      <x:c r="M6" s="115" t="str">
        <x:v>Native integration and speed versus portability, governance effort and total cost.</x:v>
      </x:c>
      <x:c r="N6" s="115" t="n">
        <x:v>2</x:v>
      </x:c>
      <x:c r="O6" s="115" t="str">
        <x:v>Advanced</x:v>
      </x:c>
      <x:c r="P6" s="115" t="str">
        <x:v>3–8 weeks</x:v>
      </x:c>
      <x:c r="Q6" s="115" t="str">
        <x:v>Medium</x:v>
      </x:c>
      <x:c r="R6" s="115" t="str">
        <x:v>AWS Control Tower</x:v>
      </x:c>
      <x:c r="S6" s="115" t="str">
        <x:v>Azure Landing Zones</x:v>
      </x:c>
      <x:c r="T6" s="115" t="str">
        <x:v>Google Cloud Landing Zone</x:v>
      </x:c>
      <x:c r="U6" s="115" t="n">
        <x:v>3.7</x:v>
      </x:c>
      <x:c r="V6" s="115" t="n">
        <x:v>3.64</x:v>
      </x:c>
      <x:c r="W6" s="115" t="n">
        <x:v>3.61</x:v>
      </x:c>
      <x:c r="X6" s="118" t="str">
        <x:v>Context-dependent tie</x:v>
      </x:c>
      <x:c r="Y6" s="115" t="str">
        <x:v>Scores are close: use ecosystem, data gravity, region, skills, commercials and proof-of-value results to decide.</x:v>
      </x:c>
      <x:c r="Z6" s="115" t="str">
        <x:v>Close</x:v>
      </x:c>
      <x:c r="AA6" s="115" t="str">
        <x:v>Landing-zone implementations combine products, policies and reference architecture.</x:v>
      </x:c>
      <x:c r="AB6" s="115" t="str">
        <x:v>2026-07-12</x:v>
      </x:c>
      <x:c r="AC6" s="115" t="str">
        <x:v>Scored and mapped</x:v>
      </x:c>
      <x:c r="AD6" s="115" t="str">
        <x:v>https://docs.cloud.google.com/architecture/landing-zones</x:v>
      </x:c>
    </x:row>
    <x:row r="7">
      <x:c r="A7" s="115" t="str">
        <x:v>1. Strategy, Governance &amp; Commercial</x:v>
      </x:c>
      <x:c r="B7" s="115" t="str">
        <x:v>02. Governance, Organisation, Landing Zones &amp; Policy</x:v>
      </x:c>
      <x:c r="C7" s="115" t="str">
        <x:v>Cloud Foundation &amp; Governance</x:v>
      </x:c>
      <x:c r="D7" s="115" t="str">
        <x:v>Ready &amp; Govern</x:v>
      </x:c>
      <x:c r="E7" s="115" t="str">
        <x:v>Security, Privacy &amp; Compliance
Cost &amp; FinOps
Operations &amp; Support</x:v>
      </x:c>
      <x:c r="F7" s="115" t="str">
        <x:v>01 Strategy, Governance &amp; FinOps</x:v>
      </x:c>
      <x:c r="G7" s="115" t="str">
        <x:v>Governance &amp; Management</x:v>
      </x:c>
      <x:c r="H7" s="115" t="str">
        <x:v>Policy</x:v>
      </x:c>
      <x:c r="I7" s="115" t="str">
        <x:v>Organisation policy enforcement</x:v>
      </x:c>
      <x:c r="J7" s="115" t="str">
        <x:v>Define and enforce preventive or detective policies across cloud resources.</x:v>
      </x:c>
      <x:c r="K7" s="115" t="str">
        <x:v>Choose this capability when you need to define and enforce preventive or detective policies across cloud resources.</x:v>
      </x:c>
      <x:c r="L7" s="115" t="str">
        <x:v>What business outcome, scale, control, integration and operating model justify choosing organisation policy enforcement?</x:v>
      </x:c>
      <x:c r="M7" s="115" t="str">
        <x:v>Native integration and speed versus portability, governance effort and total cost.</x:v>
      </x:c>
      <x:c r="N7" s="115" t="n">
        <x:v>3</x:v>
      </x:c>
      <x:c r="O7" s="115" t="str">
        <x:v>Moderate</x:v>
      </x:c>
      <x:c r="P7" s="115" t="str">
        <x:v>1–3 weeks</x:v>
      </x:c>
      <x:c r="Q7" s="115" t="str">
        <x:v>Medium</x:v>
      </x:c>
      <x:c r="R7" s="115" t="str">
        <x:v>AWS Organizations Service Control Policies
AWS Config</x:v>
      </x:c>
      <x:c r="S7" s="115" t="str">
        <x:v>Azure Policy</x:v>
      </x:c>
      <x:c r="T7" s="115" t="str">
        <x:v>Organization Policy Service
Policy Controller</x:v>
      </x:c>
      <x:c r="U7" s="115" t="n">
        <x:v>3.81</x:v>
      </x:c>
      <x:c r="V7" s="115" t="n">
        <x:v>3.84</x:v>
      </x:c>
      <x:c r="W7" s="115" t="n">
        <x:v>3.72</x:v>
      </x:c>
      <x:c r="X7" s="118" t="str">
        <x:v>Context-dependent tie</x:v>
      </x:c>
      <x:c r="Y7" s="115" t="str">
        <x:v>Scores are close: use ecosystem, data gravity, region, skills, commercials and proof-of-value results to decide.</x:v>
      </x:c>
      <x:c r="Z7" s="115" t="str">
        <x:v>Close</x:v>
      </x:c>
      <x:c r="AA7" s="115"/>
      <x:c r="AB7" s="115" t="str">
        <x:v>2026-07-12</x:v>
      </x:c>
      <x:c r="AC7" s="115" t="str">
        <x:v>Scored and mapped</x:v>
      </x:c>
      <x:c r="AD7" s="115" t="str">
        <x:v>https://docs.cloud.google.com/architecture/landing-zones</x:v>
      </x:c>
    </x:row>
    <x:row r="8">
      <x:c r="A8" s="115" t="str">
        <x:v>1. Strategy, Governance &amp; Commercial</x:v>
      </x:c>
      <x:c r="B8" s="115" t="str">
        <x:v>02. Governance, Organisation, Landing Zones &amp; Policy</x:v>
      </x:c>
      <x:c r="C8" s="115" t="str">
        <x:v>Cloud Operations &amp; Management</x:v>
      </x:c>
      <x:c r="D8" s="115" t="str">
        <x:v>Ready &amp; Govern</x:v>
      </x:c>
      <x:c r="E8" s="115" t="str">
        <x:v>Security, Privacy &amp; Compliance
Cost &amp; FinOps
Operations &amp; Support</x:v>
      </x:c>
      <x:c r="F8" s="115" t="str">
        <x:v>01 Strategy, Governance &amp; FinOps</x:v>
      </x:c>
      <x:c r="G8" s="115" t="str">
        <x:v>Governance &amp; Management</x:v>
      </x:c>
      <x:c r="H8" s="115" t="str">
        <x:v>Resource inventory</x:v>
      </x:c>
      <x:c r="I8" s="115" t="str">
        <x:v>Cloud asset inventory</x:v>
      </x:c>
      <x:c r="J8" s="115" t="str">
        <x:v>Discover, inventory and query cloud resources and configuration state.</x:v>
      </x:c>
      <x:c r="K8" s="115" t="str">
        <x:v>Choose this capability when you need to discover, inventory and query cloud resources and configuration state.</x:v>
      </x:c>
      <x:c r="L8" s="115" t="str">
        <x:v>What business outcome, scale, control, integration and operating model justify choosing cloud asset inventory?</x:v>
      </x:c>
      <x:c r="M8" s="115" t="str">
        <x:v>Native integration and speed versus portability, governance effort and total cost.</x:v>
      </x:c>
      <x:c r="N8" s="115" t="n">
        <x:v>3</x:v>
      </x:c>
      <x:c r="O8" s="115" t="str">
        <x:v>Moderate</x:v>
      </x:c>
      <x:c r="P8" s="115" t="str">
        <x:v>1–3 weeks</x:v>
      </x:c>
      <x:c r="Q8" s="115" t="str">
        <x:v>Medium</x:v>
      </x:c>
      <x:c r="R8" s="115" t="str">
        <x:v>AWS Config</x:v>
      </x:c>
      <x:c r="S8" s="115" t="str">
        <x:v>Azure Resource Graph</x:v>
      </x:c>
      <x:c r="T8" s="115" t="str">
        <x:v>Cloud Asset Inventory</x:v>
      </x:c>
      <x:c r="U8" s="115" t="n">
        <x:v>3.82</x:v>
      </x:c>
      <x:c r="V8" s="115" t="n">
        <x:v>3.84</x:v>
      </x:c>
      <x:c r="W8" s="115" t="n">
        <x:v>3.81</x:v>
      </x:c>
      <x:c r="X8" s="118" t="str">
        <x:v>Context-dependent tie</x:v>
      </x:c>
      <x:c r="Y8" s="115" t="str">
        <x:v>Scores are close: use ecosystem, data gravity, region, skills, commercials and proof-of-value results to decide.</x:v>
      </x:c>
      <x:c r="Z8" s="115" t="str">
        <x:v>Close</x:v>
      </x:c>
      <x:c r="AA8" s="115"/>
      <x:c r="AB8" s="115" t="str">
        <x:v>2026-07-12</x:v>
      </x:c>
      <x:c r="AC8" s="115" t="str">
        <x:v>Scored and mapped</x:v>
      </x:c>
      <x:c r="AD8" s="115" t="str">
        <x:v>https://docs.cloud.google.com/architecture/landing-zones</x:v>
      </x:c>
    </x:row>
    <x:row r="9">
      <x:c r="A9" s="115" t="str">
        <x:v>1. Strategy, Governance &amp; Commercial</x:v>
      </x:c>
      <x:c r="B9" s="115" t="str">
        <x:v>02. Governance, Organisation, Landing Zones &amp; Policy</x:v>
      </x:c>
      <x:c r="C9" s="115" t="str">
        <x:v>Cloud Operations &amp; Management</x:v>
      </x:c>
      <x:c r="D9" s="115" t="str">
        <x:v>Ready &amp; Govern</x:v>
      </x:c>
      <x:c r="E9" s="115" t="str">
        <x:v>Security, Privacy &amp; Compliance
Cost &amp; FinOps
Operations &amp; Support</x:v>
      </x:c>
      <x:c r="F9" s="115" t="str">
        <x:v>01 Strategy, Governance &amp; FinOps</x:v>
      </x:c>
      <x:c r="G9" s="115" t="str">
        <x:v>Governance &amp; Management</x:v>
      </x:c>
      <x:c r="H9" s="115" t="str">
        <x:v>Configuration management</x:v>
      </x:c>
      <x:c r="I9" s="115" t="str">
        <x:v>Configuration compliance</x:v>
      </x:c>
      <x:c r="J9" s="115" t="str">
        <x:v>Track configuration changes and assess resources against required baselines.</x:v>
      </x:c>
      <x:c r="K9" s="115" t="str">
        <x:v>Choose this capability when you need to track configuration changes and assess resources against required baselines.</x:v>
      </x:c>
      <x:c r="L9" s="115" t="str">
        <x:v>What business outcome, scale, control, integration and operating model justify choosing configuration compliance?</x:v>
      </x:c>
      <x:c r="M9" s="115" t="str">
        <x:v>Native integration and speed versus portability, governance effort and total cost.</x:v>
      </x:c>
      <x:c r="N9" s="115" t="n">
        <x:v>3</x:v>
      </x:c>
      <x:c r="O9" s="115" t="str">
        <x:v>Moderate</x:v>
      </x:c>
      <x:c r="P9" s="115" t="str">
        <x:v>1–3 weeks</x:v>
      </x:c>
      <x:c r="Q9" s="115" t="str">
        <x:v>Medium</x:v>
      </x:c>
      <x:c r="R9" s="115" t="str">
        <x:v>AWS Config</x:v>
      </x:c>
      <x:c r="S9" s="115" t="str">
        <x:v>Azure Policy
Microsoft Defender for Cloud</x:v>
      </x:c>
      <x:c r="T9" s="115" t="str">
        <x:v>Security Command Center
Config Controller</x:v>
      </x:c>
      <x:c r="U9" s="115" t="n">
        <x:v>3.82</x:v>
      </x:c>
      <x:c r="V9" s="115" t="n">
        <x:v>3.75</x:v>
      </x:c>
      <x:c r="W9" s="115" t="n">
        <x:v>3.72</x:v>
      </x:c>
      <x:c r="X9" s="118" t="str">
        <x:v>Context-dependent tie</x:v>
      </x:c>
      <x:c r="Y9" s="115" t="str">
        <x:v>Scores are close: use ecosystem, data gravity, region, skills, commercials and proof-of-value results to decide.</x:v>
      </x:c>
      <x:c r="Z9" s="115" t="str">
        <x:v>Close</x:v>
      </x:c>
      <x:c r="AA9" s="115"/>
      <x:c r="AB9" s="115" t="str">
        <x:v>2026-07-12</x:v>
      </x:c>
      <x:c r="AC9" s="115" t="str">
        <x:v>Scored and mapped</x:v>
      </x:c>
      <x:c r="AD9" s="115" t="str">
        <x:v>https://docs.cloud.google.com/architecture/landing-zones</x:v>
      </x:c>
    </x:row>
    <x:row r="10">
      <x:c r="A10" s="115" t="str">
        <x:v>1. Strategy, Governance &amp; Commercial</x:v>
      </x:c>
      <x:c r="B10" s="115" t="str">
        <x:v>02. Governance, Organisation, Landing Zones &amp; Policy</x:v>
      </x:c>
      <x:c r="C10" s="115" t="str">
        <x:v>Cloud Foundation &amp; Governance</x:v>
      </x:c>
      <x:c r="D10" s="115" t="str">
        <x:v>Ready &amp; Govern</x:v>
      </x:c>
      <x:c r="E10" s="115" t="str">
        <x:v>Security, Privacy &amp; Compliance
Cost &amp; FinOps
Operations &amp; Support</x:v>
      </x:c>
      <x:c r="F10" s="115" t="str">
        <x:v>01 Strategy, Governance &amp; FinOps</x:v>
      </x:c>
      <x:c r="G10" s="115" t="str">
        <x:v>Governance &amp; Management</x:v>
      </x:c>
      <x:c r="H10" s="115" t="str">
        <x:v>Service catalogue</x:v>
      </x:c>
      <x:c r="I10" s="115" t="str">
        <x:v>Approved service catalogue</x:v>
      </x:c>
      <x:c r="J10" s="115" t="str">
        <x:v>Publish governed, reusable infrastructure and application products for internal teams.</x:v>
      </x:c>
      <x:c r="K10" s="115" t="str">
        <x:v>Choose this capability when you need to publish governed, reusable infrastructure and application products for internal teams.</x:v>
      </x:c>
      <x:c r="L10" s="115" t="str">
        <x:v>What business outcome, scale, control, integration and operating model justify choosing approved service catalogue?</x:v>
      </x:c>
      <x:c r="M10" s="115" t="str">
        <x:v>Native integration and speed versus portability, governance effort and total cost.</x:v>
      </x:c>
      <x:c r="N10" s="115" t="n">
        <x:v>3</x:v>
      </x:c>
      <x:c r="O10" s="115" t="str">
        <x:v>Moderate</x:v>
      </x:c>
      <x:c r="P10" s="115" t="str">
        <x:v>1–3 weeks</x:v>
      </x:c>
      <x:c r="Q10" s="115" t="str">
        <x:v>Medium</x:v>
      </x:c>
      <x:c r="R10" s="115" t="str">
        <x:v>AWS Service Catalog</x:v>
      </x:c>
      <x:c r="S10" s="115" t="str">
        <x:v>Azure Managed Applications
Azure Deployment Environments</x:v>
      </x:c>
      <x:c r="T10" s="115" t="str">
        <x:v>Service Catalog
Application Design Center</x:v>
      </x:c>
      <x:c r="U10" s="115" t="n">
        <x:v>3.75</x:v>
      </x:c>
      <x:c r="V10" s="115" t="n">
        <x:v>3.56</x:v>
      </x:c>
      <x:c r="W10" s="115" t="n">
        <x:v>3.53</x:v>
      </x:c>
      <x:c r="X10" s="118" t="str">
        <x:v>AWS</x:v>
      </x:c>
      <x:c r="Y10" s="115" t="str">
        <x:v>Start with AWS when infrastructure breadth, native integration and operational maturity are the main differentiators.</x:v>
      </x:c>
      <x:c r="Z10" s="115" t="str">
        <x:v>Partial</x:v>
      </x:c>
      <x:c r="AA10" s="115"/>
      <x:c r="AB10" s="115" t="str">
        <x:v>2026-07-12</x:v>
      </x:c>
      <x:c r="AC10" s="115" t="str">
        <x:v>Scored and mapped</x:v>
      </x:c>
      <x:c r="AD10" s="115" t="str">
        <x:v>https://docs.cloud.google.com/architecture/landing-zones</x:v>
      </x:c>
    </x:row>
    <x:row r="11">
      <x:c r="A11" s="115" t="str">
        <x:v>1. Strategy, Governance &amp; Commercial</x:v>
      </x:c>
      <x:c r="B11" s="115" t="str">
        <x:v>02. Governance, Organisation, Landing Zones &amp; Policy</x:v>
      </x:c>
      <x:c r="C11" s="115" t="str">
        <x:v>Cloud Operations &amp; Management</x:v>
      </x:c>
      <x:c r="D11" s="115" t="str">
        <x:v>Ready &amp; Govern</x:v>
      </x:c>
      <x:c r="E11" s="115" t="str">
        <x:v>Security, Privacy &amp; Compliance
Cost &amp; FinOps
Operations &amp; Support</x:v>
      </x:c>
      <x:c r="F11" s="115" t="str">
        <x:v>01 Strategy, Governance &amp; FinOps</x:v>
      </x:c>
      <x:c r="G11" s="115" t="str">
        <x:v>Governance &amp; Management</x:v>
      </x:c>
      <x:c r="H11" s="115" t="str">
        <x:v>Infrastructure as code</x:v>
      </x:c>
      <x:c r="I11" s="115" t="str">
        <x:v>Native infrastructure as code</x:v>
      </x:c>
      <x:c r="J11" s="115" t="str">
        <x:v>Provision and manage cloud resources from declarative templates.</x:v>
      </x:c>
      <x:c r="K11" s="115" t="str">
        <x:v>Choose this capability when you need to provision and manage cloud resources from declarative templates.</x:v>
      </x:c>
      <x:c r="L11" s="115" t="str">
        <x:v>What business outcome, scale, control, integration and operating model justify choosing native infrastructure as code?</x:v>
      </x:c>
      <x:c r="M11" s="115" t="str">
        <x:v>Native integration and speed versus portability, governance effort and total cost.</x:v>
      </x:c>
      <x:c r="N11" s="115" t="n">
        <x:v>3</x:v>
      </x:c>
      <x:c r="O11" s="115" t="str">
        <x:v>Moderate</x:v>
      </x:c>
      <x:c r="P11" s="115" t="str">
        <x:v>1–3 weeks</x:v>
      </x:c>
      <x:c r="Q11" s="115" t="str">
        <x:v>Medium</x:v>
      </x:c>
      <x:c r="R11" s="115" t="str">
        <x:v>AWS CloudFormation
AWS Infrastructure Composer</x:v>
      </x:c>
      <x:c r="S11" s="115" t="str">
        <x:v>Azure Resource Manager templates
Bicep</x:v>
      </x:c>
      <x:c r="T11" s="115" t="str">
        <x:v>Infrastructure Manager
Config Connector</x:v>
      </x:c>
      <x:c r="U11" s="115" t="n">
        <x:v>3.73</x:v>
      </x:c>
      <x:c r="V11" s="115" t="n">
        <x:v>3.75</x:v>
      </x:c>
      <x:c r="W11" s="115" t="n">
        <x:v>3.72</x:v>
      </x:c>
      <x:c r="X11" s="118" t="str">
        <x:v>Context-dependent tie</x:v>
      </x:c>
      <x:c r="Y11" s="115" t="str">
        <x:v>Scores are close: use ecosystem, data gravity, region, skills, commercials and proof-of-value results to decide.</x:v>
      </x:c>
      <x:c r="Z11" s="115" t="str">
        <x:v>Close</x:v>
      </x:c>
      <x:c r="AA11" s="115"/>
      <x:c r="AB11" s="115" t="str">
        <x:v>2026-07-12</x:v>
      </x:c>
      <x:c r="AC11" s="115" t="str">
        <x:v>Scored and mapped</x:v>
      </x:c>
      <x:c r="AD11" s="115" t="str">
        <x:v>https://docs.cloud.google.com/architecture/landing-zones</x:v>
      </x:c>
    </x:row>
    <x:row r="12">
      <x:c r="A12" s="115" t="str">
        <x:v>1. Strategy, Governance &amp; Commercial</x:v>
      </x:c>
      <x:c r="B12" s="115" t="str">
        <x:v>02. Governance, Organisation, Landing Zones &amp; Policy</x:v>
      </x:c>
      <x:c r="C12" s="115" t="str">
        <x:v>Cloud Operations &amp; Management</x:v>
      </x:c>
      <x:c r="D12" s="115" t="str">
        <x:v>Ready &amp; Govern</x:v>
      </x:c>
      <x:c r="E12" s="115" t="str">
        <x:v>Security, Privacy &amp; Compliance
Cost &amp; FinOps
Operations &amp; Support</x:v>
      </x:c>
      <x:c r="F12" s="115" t="str">
        <x:v>01 Strategy, Governance &amp; FinOps</x:v>
      </x:c>
      <x:c r="G12" s="115" t="str">
        <x:v>Governance &amp; Management</x:v>
      </x:c>
      <x:c r="H12" s="115" t="str">
        <x:v>Operations automation</x:v>
      </x:c>
      <x:c r="I12" s="115" t="str">
        <x:v>Cloud operations automation</x:v>
      </x:c>
      <x:c r="J12" s="115" t="str">
        <x:v>Automate patching, runbooks, configuration and routine operational actions.</x:v>
      </x:c>
      <x:c r="K12" s="115" t="str">
        <x:v>Choose this capability when you need to automate patching, runbooks, configuration and routine operational actions.</x:v>
      </x:c>
      <x:c r="L12" s="115" t="str">
        <x:v>What business outcome, scale, control, integration and operating model justify choosing cloud operations automation?</x:v>
      </x:c>
      <x:c r="M12" s="115" t="str">
        <x:v>Native integration and speed versus portability, governance effort and total cost.</x:v>
      </x:c>
      <x:c r="N12" s="115" t="n">
        <x:v>3</x:v>
      </x:c>
      <x:c r="O12" s="115" t="str">
        <x:v>Moderate</x:v>
      </x:c>
      <x:c r="P12" s="115" t="str">
        <x:v>1–3 weeks</x:v>
      </x:c>
      <x:c r="Q12" s="115" t="str">
        <x:v>Medium</x:v>
      </x:c>
      <x:c r="R12" s="115" t="str">
        <x:v>AWS Systems Manager</x:v>
      </x:c>
      <x:c r="S12" s="115" t="str">
        <x:v>Azure Automation
Azure Update Manager</x:v>
      </x:c>
      <x:c r="T12" s="115" t="str">
        <x:v>VM Manager
Workflows</x:v>
      </x:c>
      <x:c r="U12" s="115" t="n">
        <x:v>3.82</x:v>
      </x:c>
      <x:c r="V12" s="115" t="n">
        <x:v>3.75</x:v>
      </x:c>
      <x:c r="W12" s="115" t="n">
        <x:v>3.72</x:v>
      </x:c>
      <x:c r="X12" s="118" t="str">
        <x:v>Context-dependent tie</x:v>
      </x:c>
      <x:c r="Y12" s="115" t="str">
        <x:v>Scores are close: use ecosystem, data gravity, region, skills, commercials and proof-of-value results to decide.</x:v>
      </x:c>
      <x:c r="Z12" s="115" t="str">
        <x:v>Close</x:v>
      </x:c>
      <x:c r="AA12" s="115"/>
      <x:c r="AB12" s="115" t="str">
        <x:v>2026-07-12</x:v>
      </x:c>
      <x:c r="AC12" s="115" t="str">
        <x:v>Scored and mapped</x:v>
      </x:c>
      <x:c r="AD12" s="115" t="str">
        <x:v>https://docs.cloud.google.com/architecture/landing-zones</x:v>
      </x:c>
    </x:row>
    <x:row r="13">
      <x:c r="A13" s="115" t="str">
        <x:v>5. Engineering, Operations &amp; Transformation</x:v>
      </x:c>
      <x:c r="B13" s="115" t="str">
        <x:v>19. Observability, Reliability, Performance, Operations, ITSM &amp; Support</x:v>
      </x:c>
      <x:c r="C13" s="115" t="str">
        <x:v>Architecture Assurance &amp; Service Health</x:v>
      </x:c>
      <x:c r="D13" s="115" t="str">
        <x:v>Manage &amp; Optimise</x:v>
      </x:c>
      <x:c r="E13" s="115" t="str">
        <x:v>Security, Privacy &amp; Compliance
Cost &amp; FinOps
Operations &amp; Support
Reliability &amp; Resilience
Performance &amp; Scalability
Sustainability</x:v>
      </x:c>
      <x:c r="F13" s="115" t="str">
        <x:v>01 Strategy, Governance &amp; FinOps</x:v>
      </x:c>
      <x:c r="G13" s="115" t="str">
        <x:v>Governance &amp; Management</x:v>
      </x:c>
      <x:c r="H13" s="115" t="str">
        <x:v>Architecture assurance</x:v>
      </x:c>
      <x:c r="I13" s="115" t="str">
        <x:v>Well-architected assessment</x:v>
      </x:c>
      <x:c r="J13" s="115" t="str">
        <x:v>Assess workloads against cloud architecture, resilience, security and cost practices.</x:v>
      </x:c>
      <x:c r="K13" s="115" t="str">
        <x:v>Choose this capability when you need to assess workloads against cloud architecture, resilience, security and cost practices.</x:v>
      </x:c>
      <x:c r="L13" s="115" t="str">
        <x:v>What business outcome, scale, control, integration and operating model justify choosing well-architected assessment?</x:v>
      </x:c>
      <x:c r="M13" s="115" t="str">
        <x:v>Native integration and speed versus portability, governance effort and total cost.</x:v>
      </x:c>
      <x:c r="N13" s="115" t="n">
        <x:v>3</x:v>
      </x:c>
      <x:c r="O13" s="115" t="str">
        <x:v>Moderate</x:v>
      </x:c>
      <x:c r="P13" s="115" t="str">
        <x:v>1–3 weeks</x:v>
      </x:c>
      <x:c r="Q13" s="115" t="str">
        <x:v>Medium</x:v>
      </x:c>
      <x:c r="R13" s="115" t="str">
        <x:v>AWS Well-Architected Tool
AWS Trusted Advisor</x:v>
      </x:c>
      <x:c r="S13" s="115" t="str">
        <x:v>Azure Advisor
Azure Well-Architected Review</x:v>
      </x:c>
      <x:c r="T13" s="115" t="str">
        <x:v>Recommender
Architecture Framework</x:v>
      </x:c>
      <x:c r="U13" s="115" t="n">
        <x:v>3.73</x:v>
      </x:c>
      <x:c r="V13" s="115" t="n">
        <x:v>3.75</x:v>
      </x:c>
      <x:c r="W13" s="115" t="n">
        <x:v>3.72</x:v>
      </x:c>
      <x:c r="X13" s="118" t="str">
        <x:v>Context-dependent tie</x:v>
      </x:c>
      <x:c r="Y13" s="115" t="str">
        <x:v>Scores are close: use ecosystem, data gravity, region, skills, commercials and proof-of-value results to decide.</x:v>
      </x:c>
      <x:c r="Z13" s="115" t="str">
        <x:v>Close</x:v>
      </x:c>
      <x:c r="AA13" s="115"/>
      <x:c r="AB13" s="115" t="str">
        <x:v>2026-07-12</x:v>
      </x:c>
      <x:c r="AC13" s="115" t="str">
        <x:v>Scored and mapped</x:v>
      </x:c>
      <x:c r="AD13" s="115" t="str">
        <x:v>https://docs.aws.amazon.com/wellarchitected/latest/userguide/waf.html</x:v>
      </x:c>
    </x:row>
    <x:row r="14">
      <x:c r="A14" s="115" t="str">
        <x:v>5. Engineering, Operations &amp; Transformation</x:v>
      </x:c>
      <x:c r="B14" s="115" t="str">
        <x:v>19. Observability, Reliability, Performance, Operations, ITSM &amp; Support</x:v>
      </x:c>
      <x:c r="C14" s="115" t="str">
        <x:v>Architecture Assurance &amp; Service Health</x:v>
      </x:c>
      <x:c r="D14" s="115" t="str">
        <x:v>Manage &amp; Optimise</x:v>
      </x:c>
      <x:c r="E14" s="115" t="str">
        <x:v>Security, Privacy &amp; Compliance
Cost &amp; FinOps
Operations &amp; Support
Reliability &amp; Resilience
Performance &amp; Scalability
Sustainability</x:v>
      </x:c>
      <x:c r="F14" s="115" t="str">
        <x:v>01 Strategy, Governance &amp; FinOps</x:v>
      </x:c>
      <x:c r="G14" s="115" t="str">
        <x:v>Governance &amp; Management</x:v>
      </x:c>
      <x:c r="H14" s="115" t="str">
        <x:v>Health</x:v>
      </x:c>
      <x:c r="I14" s="115" t="str">
        <x:v>Personalised cloud service health</x:v>
      </x:c>
      <x:c r="J14" s="115" t="str">
        <x:v>Show provider incidents, planned maintenance and resource-specific impact.</x:v>
      </x:c>
      <x:c r="K14" s="115" t="str">
        <x:v>Choose this capability when you need to show provider incidents, planned maintenance and resource-specific impact.</x:v>
      </x:c>
      <x:c r="L14" s="115" t="str">
        <x:v>What business outcome, scale, control, integration and operating model justify choosing personalised cloud service health?</x:v>
      </x:c>
      <x:c r="M14" s="115" t="str">
        <x:v>Native integration and speed versus portability, governance effort and total cost.</x:v>
      </x:c>
      <x:c r="N14" s="115" t="n">
        <x:v>3</x:v>
      </x:c>
      <x:c r="O14" s="115" t="str">
        <x:v>Moderate</x:v>
      </x:c>
      <x:c r="P14" s="115" t="str">
        <x:v>1–3 weeks</x:v>
      </x:c>
      <x:c r="Q14" s="115" t="str">
        <x:v>Medium</x:v>
      </x:c>
      <x:c r="R14" s="115" t="str">
        <x:v>AWS Health</x:v>
      </x:c>
      <x:c r="S14" s="115" t="str">
        <x:v>Azure Service Health</x:v>
      </x:c>
      <x:c r="T14" s="115" t="str">
        <x:v>Personalized Service Health</x:v>
      </x:c>
      <x:c r="U14" s="115" t="n">
        <x:v>3.89</x:v>
      </x:c>
      <x:c r="V14" s="115" t="n">
        <x:v>3.9</x:v>
      </x:c>
      <x:c r="W14" s="115" t="n">
        <x:v>3.87</x:v>
      </x:c>
      <x:c r="X14" s="118" t="str">
        <x:v>Context-dependent tie</x:v>
      </x:c>
      <x:c r="Y14" s="115" t="str">
        <x:v>Scores are close: use ecosystem, data gravity, region, skills, commercials and proof-of-value results to decide.</x:v>
      </x:c>
      <x:c r="Z14" s="115" t="str">
        <x:v>Exact</x:v>
      </x:c>
      <x:c r="AA14" s="115"/>
      <x:c r="AB14" s="115" t="str">
        <x:v>2026-07-12</x:v>
      </x:c>
      <x:c r="AC14" s="115" t="str">
        <x:v>Scored and mapped</x:v>
      </x:c>
      <x:c r="AD14" s="115" t="str">
        <x:v>https://docs.aws.amazon.com/wellarchitected/latest/userguide/waf.html</x:v>
      </x:c>
    </x:row>
    <x:row r="15">
      <x:c r="A15" s="115" t="str">
        <x:v>5. Engineering, Operations &amp; Transformation</x:v>
      </x:c>
      <x:c r="B15" s="115" t="str">
        <x:v>19. Observability, Reliability, Performance, Operations, ITSM &amp; Support</x:v>
      </x:c>
      <x:c r="C15" s="115" t="str">
        <x:v>Architecture Assurance &amp; Service Health</x:v>
      </x:c>
      <x:c r="D15" s="115" t="str">
        <x:v>Manage &amp; Optimise</x:v>
      </x:c>
      <x:c r="E15" s="115" t="str">
        <x:v>Security, Privacy &amp; Compliance
Cost &amp; FinOps
Operations &amp; Support
Reliability &amp; Resilience
Performance &amp; Scalability
Sustainability</x:v>
      </x:c>
      <x:c r="F15" s="115" t="str">
        <x:v>01 Strategy, Governance &amp; FinOps</x:v>
      </x:c>
      <x:c r="G15" s="115" t="str">
        <x:v>Governance &amp; Management</x:v>
      </x:c>
      <x:c r="H15" s="115" t="str">
        <x:v>Notifications</x:v>
      </x:c>
      <x:c r="I15" s="115" t="str">
        <x:v>Central cloud notifications</x:v>
      </x:c>
      <x:c r="J15" s="115" t="str">
        <x:v>Route cloud operational and governance notifications to users and channels.</x:v>
      </x:c>
      <x:c r="K15" s="115" t="str">
        <x:v>Choose this capability when you need to route cloud operational and governance notifications to users and channels.</x:v>
      </x:c>
      <x:c r="L15" s="115" t="str">
        <x:v>What business outcome, scale, control, integration and operating model justify choosing central cloud notifications?</x:v>
      </x:c>
      <x:c r="M15" s="115" t="str">
        <x:v>Native integration and speed versus portability, governance effort and total cost.</x:v>
      </x:c>
      <x:c r="N15" s="115" t="n">
        <x:v>4</x:v>
      </x:c>
      <x:c r="O15" s="115" t="str">
        <x:v>Easy</x:v>
      </x:c>
      <x:c r="P15" s="115" t="str">
        <x:v>1–3 days</x:v>
      </x:c>
      <x:c r="Q15" s="115" t="str">
        <x:v>Medium</x:v>
      </x:c>
      <x:c r="R15" s="115" t="str">
        <x:v>AWS User Notifications
Amazon Q Developer in chat applications</x:v>
      </x:c>
      <x:c r="S15" s="115" t="str">
        <x:v>Azure Service Health alerts
Azure Monitor action groups</x:v>
      </x:c>
      <x:c r="T15" s="115" t="str">
        <x:v>Essential Contacts
Advisory Notifications</x:v>
      </x:c>
      <x:c r="U15" s="115" t="n">
        <x:v>3.93</x:v>
      </x:c>
      <x:c r="V15" s="115" t="n">
        <x:v>3.95</x:v>
      </x:c>
      <x:c r="W15" s="115" t="n">
        <x:v>3.91</x:v>
      </x:c>
      <x:c r="X15" s="118" t="str">
        <x:v>Context-dependent tie</x:v>
      </x:c>
      <x:c r="Y15" s="115" t="str">
        <x:v>Scores are close: use ecosystem, data gravity, region, skills, commercials and proof-of-value results to decide.</x:v>
      </x:c>
      <x:c r="Z15" s="115" t="str">
        <x:v>Close</x:v>
      </x:c>
      <x:c r="AA15" s="115"/>
      <x:c r="AB15" s="115" t="str">
        <x:v>2026-07-12</x:v>
      </x:c>
      <x:c r="AC15" s="115" t="str">
        <x:v>Scored and mapped</x:v>
      </x:c>
      <x:c r="AD15" s="115" t="str">
        <x:v>https://docs.aws.amazon.com/wellarchitected/latest/userguide/waf.html</x:v>
      </x:c>
    </x:row>
    <x:row r="16">
      <x:c r="A16" s="115" t="str">
        <x:v>1. Strategy, Governance &amp; Commercial</x:v>
      </x:c>
      <x:c r="B16" s="115" t="str">
        <x:v>03. FinOps, Procurement, Licensing, Marketplace &amp; Sustainability</x:v>
      </x:c>
      <x:c r="C16" s="115" t="str">
        <x:v>Cloud Operations &amp; Management</x:v>
      </x:c>
      <x:c r="D16" s="115" t="str">
        <x:v>Strategy &amp; Plan</x:v>
      </x:c>
      <x:c r="E16" s="115" t="str">
        <x:v>Security, Privacy &amp; Compliance
Cost &amp; FinOps
Operations &amp; Support
Sustainability</x:v>
      </x:c>
      <x:c r="F16" s="115" t="str">
        <x:v>01 Strategy, Governance &amp; FinOps</x:v>
      </x:c>
      <x:c r="G16" s="115" t="str">
        <x:v>Governance &amp; Management</x:v>
      </x:c>
      <x:c r="H16" s="115" t="str">
        <x:v>Licensing</x:v>
      </x:c>
      <x:c r="I16" s="115" t="str">
        <x:v>Software licence management</x:v>
      </x:c>
      <x:c r="J16" s="115" t="str">
        <x:v>Track and enforce licence usage across cloud and hybrid servers.</x:v>
      </x:c>
      <x:c r="K16" s="115" t="str">
        <x:v>Choose this capability when you need to track and enforce licence usage across cloud and hybrid servers.</x:v>
      </x:c>
      <x:c r="L16" s="115" t="str">
        <x:v>What business outcome, scale, control, integration and operating model justify choosing software licence management?</x:v>
      </x:c>
      <x:c r="M16" s="115" t="str">
        <x:v>Native integration and speed versus portability, governance effort and total cost.</x:v>
      </x:c>
      <x:c r="N16" s="115" t="n">
        <x:v>3</x:v>
      </x:c>
      <x:c r="O16" s="115" t="str">
        <x:v>Moderate</x:v>
      </x:c>
      <x:c r="P16" s="115" t="str">
        <x:v>1–3 weeks</x:v>
      </x:c>
      <x:c r="Q16" s="115" t="str">
        <x:v>Medium</x:v>
      </x:c>
      <x:c r="R16" s="115" t="str">
        <x:v>AWS License Manager</x:v>
      </x:c>
      <x:c r="S16" s="115" t="str">
        <x:v>Azure Hybrid Benefit
Azure Arc-enabled licensing</x:v>
      </x:c>
      <x:c r="T16" s="115" t="str">
        <x:v>License Manager</x:v>
      </x:c>
      <x:c r="U16" s="115" t="n">
        <x:v>3.64</x:v>
      </x:c>
      <x:c r="V16" s="115" t="n">
        <x:v>3.56</x:v>
      </x:c>
      <x:c r="W16" s="115" t="n">
        <x:v>3.62</x:v>
      </x:c>
      <x:c r="X16" s="118" t="str">
        <x:v>Context-dependent tie</x:v>
      </x:c>
      <x:c r="Y16" s="115" t="str">
        <x:v>Scores are close: use ecosystem, data gravity, region, skills, commercials and proof-of-value results to decide.</x:v>
      </x:c>
      <x:c r="Z16" s="115" t="str">
        <x:v>Partial</x:v>
      </x:c>
      <x:c r="AA16" s="115"/>
      <x:c r="AB16" s="115" t="str">
        <x:v>2026-07-12</x:v>
      </x:c>
      <x:c r="AC16" s="115" t="str">
        <x:v>Scored and mapped</x:v>
      </x:c>
      <x:c r="AD16" s="115" t="str">
        <x:v>https://docs.cloud.google.com/docs/product-list</x:v>
      </x:c>
    </x:row>
    <x:row r="17">
      <x:c r="A17" s="115" t="str">
        <x:v>1. Strategy, Governance &amp; Commercial</x:v>
      </x:c>
      <x:c r="B17" s="115" t="str">
        <x:v>02. Governance, Organisation, Landing Zones &amp; Policy</x:v>
      </x:c>
      <x:c r="C17" s="115" t="str">
        <x:v>Cloud Foundation &amp; Governance</x:v>
      </x:c>
      <x:c r="D17" s="115" t="str">
        <x:v>Ready &amp; Govern</x:v>
      </x:c>
      <x:c r="E17" s="115" t="str">
        <x:v>Security, Privacy &amp; Compliance
Cost &amp; FinOps
Operations &amp; Support</x:v>
      </x:c>
      <x:c r="F17" s="115" t="str">
        <x:v>01 Strategy, Governance &amp; FinOps</x:v>
      </x:c>
      <x:c r="G17" s="115" t="str">
        <x:v>Governance &amp; Management</x:v>
      </x:c>
      <x:c r="H17" s="115" t="str">
        <x:v>Quotas</x:v>
      </x:c>
      <x:c r="I17" s="115" t="str">
        <x:v>Service quota management</x:v>
      </x:c>
      <x:c r="J17" s="115" t="str">
        <x:v>View, monitor and request changes to cloud service quotas.</x:v>
      </x:c>
      <x:c r="K17" s="115" t="str">
        <x:v>Choose this capability when you need to view, monitor and request changes to cloud service quotas.</x:v>
      </x:c>
      <x:c r="L17" s="115" t="str">
        <x:v>What business outcome, scale, control, integration and operating model justify choosing service quota management?</x:v>
      </x:c>
      <x:c r="M17" s="115" t="str">
        <x:v>Native integration and speed versus portability, governance effort and total cost.</x:v>
      </x:c>
      <x:c r="N17" s="115" t="n">
        <x:v>3</x:v>
      </x:c>
      <x:c r="O17" s="115" t="str">
        <x:v>Moderate</x:v>
      </x:c>
      <x:c r="P17" s="115" t="str">
        <x:v>1–3 weeks</x:v>
      </x:c>
      <x:c r="Q17" s="115" t="str">
        <x:v>Medium</x:v>
      </x:c>
      <x:c r="R17" s="115" t="str">
        <x:v>AWS Service Quotas</x:v>
      </x:c>
      <x:c r="S17" s="115" t="str">
        <x:v>Azure Quotas</x:v>
      </x:c>
      <x:c r="T17" s="115" t="str">
        <x:v>Cloud Quotas</x:v>
      </x:c>
      <x:c r="U17" s="115" t="n">
        <x:v>3.98</x:v>
      </x:c>
      <x:c r="V17" s="115" t="n">
        <x:v>3.9</x:v>
      </x:c>
      <x:c r="W17" s="115" t="n">
        <x:v>3.87</x:v>
      </x:c>
      <x:c r="X17" s="118" t="str">
        <x:v>Context-dependent tie</x:v>
      </x:c>
      <x:c r="Y17" s="115" t="str">
        <x:v>Scores are close: use ecosystem, data gravity, region, skills, commercials and proof-of-value results to decide.</x:v>
      </x:c>
      <x:c r="Z17" s="115" t="str">
        <x:v>Exact</x:v>
      </x:c>
      <x:c r="AA17" s="115"/>
      <x:c r="AB17" s="115" t="str">
        <x:v>2026-07-12</x:v>
      </x:c>
      <x:c r="AC17" s="115" t="str">
        <x:v>Scored and mapped</x:v>
      </x:c>
      <x:c r="AD17" s="115" t="str">
        <x:v>https://docs.cloud.google.com/architecture/landing-zones</x:v>
      </x:c>
    </x:row>
    <x:row r="18">
      <x:c r="A18" s="115" t="str">
        <x:v>5. Engineering, Operations &amp; Transformation</x:v>
      </x:c>
      <x:c r="B18" s="115" t="str">
        <x:v>19. Observability, Reliability, Performance, Operations, ITSM &amp; Support</x:v>
      </x:c>
      <x:c r="C18" s="115" t="str">
        <x:v>Cloud Operations &amp; Management</x:v>
      </x:c>
      <x:c r="D18" s="115" t="str">
        <x:v>Manage &amp; Optimise</x:v>
      </x:c>
      <x:c r="E18" s="115" t="str">
        <x:v>Security, Privacy &amp; Compliance
Cost &amp; FinOps
Operations &amp; Support
Reliability &amp; Resilience
Performance &amp; Scalability
Sustainability</x:v>
      </x:c>
      <x:c r="F18" s="115" t="str">
        <x:v>01 Strategy, Governance &amp; FinOps</x:v>
      </x:c>
      <x:c r="G18" s="115" t="str">
        <x:v>Governance &amp; Management</x:v>
      </x:c>
      <x:c r="H18" s="115" t="str">
        <x:v>Managed operations</x:v>
      </x:c>
      <x:c r="I18" s="115" t="str">
        <x:v>Managed cloud operations</x:v>
      </x:c>
      <x:c r="J18" s="115" t="str">
        <x:v>Provider-operated governance and operations for enterprise cloud estates.</x:v>
      </x:c>
      <x:c r="K18" s="115" t="str">
        <x:v>Choose this capability when you need to provider-operated governance and operations for enterprise cloud estates.</x:v>
      </x:c>
      <x:c r="L18" s="115" t="str">
        <x:v>What business outcome, scale, control, integration and operating model justify choosing managed cloud operations?</x:v>
      </x:c>
      <x:c r="M18" s="115" t="str">
        <x:v>Native integration and speed versus portability, governance effort and total cost.</x:v>
      </x:c>
      <x:c r="N18" s="115" t="n">
        <x:v>3</x:v>
      </x:c>
      <x:c r="O18" s="115" t="str">
        <x:v>Moderate</x:v>
      </x:c>
      <x:c r="P18" s="115" t="str">
        <x:v>1–3 weeks</x:v>
      </x:c>
      <x:c r="Q18" s="115" t="str">
        <x:v>Medium</x:v>
      </x:c>
      <x:c r="R18" s="115" t="str">
        <x:v>AWS Managed Services</x:v>
      </x:c>
      <x:c r="S18" s="115" t="str">
        <x:v>Azure Expert Managed Services ecosystem</x:v>
      </x:c>
      <x:c r="T18" s="115" t="str">
        <x:v>Google Cloud Consulting / managed services ecosystem</x:v>
      </x:c>
      <x:c r="U18" s="115" t="n">
        <x:v>3.64</x:v>
      </x:c>
      <x:c r="V18" s="115" t="n">
        <x:v>3.2</x:v>
      </x:c>
      <x:c r="W18" s="115" t="n">
        <x:v>3.16</x:v>
      </x:c>
      <x:c r="X18" s="118" t="str">
        <x:v>AWS</x:v>
      </x:c>
      <x:c r="Y18" s="115" t="str">
        <x:v>Start with AWS when infrastructure breadth, native integration and operational maturity are the main differentiators.</x:v>
      </x:c>
      <x:c r="Z18" s="115" t="str">
        <x:v>Partial</x:v>
      </x:c>
      <x:c r="AA18" s="115" t="str">
        <x:v>Azure and Google generally deliver this through service offerings and partners rather than a single equivalent product.</x:v>
      </x:c>
      <x:c r="AB18" s="115" t="str">
        <x:v>2026-07-12</x:v>
      </x:c>
      <x:c r="AC18" s="115" t="str">
        <x:v>Scored and mapped</x:v>
      </x:c>
      <x:c r="AD18" s="115" t="str">
        <x:v>https://docs.aws.amazon.com/wellarchitected/latest/userguide/waf.html</x:v>
      </x:c>
    </x:row>
    <x:row r="19">
      <x:c r="A19" s="115" t="str">
        <x:v>1. Strategy, Governance &amp; Commercial</x:v>
      </x:c>
      <x:c r="B19" s="115" t="str">
        <x:v>03. FinOps, Procurement, Licensing, Marketplace &amp; Sustainability</x:v>
      </x:c>
      <x:c r="C19" s="115" t="str">
        <x:v>FinOps, Cost &amp; Sustainability</x:v>
      </x:c>
      <x:c r="D19" s="115" t="str">
        <x:v>Strategy &amp; Plan</x:v>
      </x:c>
      <x:c r="E19" s="115" t="str">
        <x:v>Security, Privacy &amp; Compliance
Cost &amp; FinOps
Operations &amp; Support
Sustainability</x:v>
      </x:c>
      <x:c r="F19" s="115" t="str">
        <x:v>01 Strategy, Governance &amp; FinOps</x:v>
      </x:c>
      <x:c r="G19" s="115" t="str">
        <x:v>FinOps &amp; Commercial</x:v>
      </x:c>
      <x:c r="H19" s="115" t="str">
        <x:v>Cost management</x:v>
      </x:c>
      <x:c r="I19" s="115" t="str">
        <x:v>Cost analysis and optimisation</x:v>
      </x:c>
      <x:c r="J19" s="115" t="str">
        <x:v>Analyse cloud spend, allocation, trends and optimisation opportunities.</x:v>
      </x:c>
      <x:c r="K19" s="115" t="str">
        <x:v>Choose this capability when you need to analyse cloud spend, allocation, trends and optimisation opportunities.</x:v>
      </x:c>
      <x:c r="L19" s="115" t="str">
        <x:v>What business outcome, scale, control, integration and operating model justify choosing cost analysis and optimisation?</x:v>
      </x:c>
      <x:c r="M19" s="115" t="str">
        <x:v>Native integration and speed versus portability, governance effort and total cost.</x:v>
      </x:c>
      <x:c r="N19" s="115" t="n">
        <x:v>3</x:v>
      </x:c>
      <x:c r="O19" s="115" t="str">
        <x:v>Moderate</x:v>
      </x:c>
      <x:c r="P19" s="115" t="str">
        <x:v>1–3 weeks</x:v>
      </x:c>
      <x:c r="Q19" s="115" t="str">
        <x:v>Medium</x:v>
      </x:c>
      <x:c r="R19" s="115" t="str">
        <x:v>AWS Cost Explorer
AWS Compute Optimizer</x:v>
      </x:c>
      <x:c r="S19" s="115" t="str">
        <x:v>Microsoft Cost Management
Azure Advisor</x:v>
      </x:c>
      <x:c r="T19" s="115" t="str">
        <x:v>Cloud Billing
FinOps hub
Recommender</x:v>
      </x:c>
      <x:c r="U19" s="115" t="n">
        <x:v>3.73</x:v>
      </x:c>
      <x:c r="V19" s="115" t="n">
        <x:v>3.8</x:v>
      </x:c>
      <x:c r="W19" s="115" t="n">
        <x:v>3.74</x:v>
      </x:c>
      <x:c r="X19" s="118" t="str">
        <x:v>Context-dependent tie</x:v>
      </x:c>
      <x:c r="Y19" s="115" t="str">
        <x:v>Scores are close: use ecosystem, data gravity, region, skills, commercials and proof-of-value results to decide.</x:v>
      </x:c>
      <x:c r="Z19" s="115" t="str">
        <x:v>Close</x:v>
      </x:c>
      <x:c r="AA19" s="115"/>
      <x:c r="AB19" s="115" t="str">
        <x:v>2026-07-12</x:v>
      </x:c>
      <x:c r="AC19" s="115" t="str">
        <x:v>Scored and mapped</x:v>
      </x:c>
      <x:c r="AD19" s="115" t="str">
        <x:v>https://docs.cloud.google.com/docs/product-list</x:v>
      </x:c>
    </x:row>
    <x:row r="20">
      <x:c r="A20" s="115" t="str">
        <x:v>1. Strategy, Governance &amp; Commercial</x:v>
      </x:c>
      <x:c r="B20" s="115" t="str">
        <x:v>03. FinOps, Procurement, Licensing, Marketplace &amp; Sustainability</x:v>
      </x:c>
      <x:c r="C20" s="115" t="str">
        <x:v>FinOps, Cost &amp; Sustainability</x:v>
      </x:c>
      <x:c r="D20" s="115" t="str">
        <x:v>Strategy &amp; Plan</x:v>
      </x:c>
      <x:c r="E20" s="115" t="str">
        <x:v>Security, Privacy &amp; Compliance
Cost &amp; FinOps
Operations &amp; Support
Sustainability</x:v>
      </x:c>
      <x:c r="F20" s="115" t="str">
        <x:v>01 Strategy, Governance &amp; FinOps</x:v>
      </x:c>
      <x:c r="G20" s="115" t="str">
        <x:v>FinOps &amp; Commercial</x:v>
      </x:c>
      <x:c r="H20" s="115" t="str">
        <x:v>Budgets</x:v>
      </x:c>
      <x:c r="I20" s="115" t="str">
        <x:v>Cloud budgets and alerts</x:v>
      </x:c>
      <x:c r="J20" s="115" t="str">
        <x:v>Set budgets, thresholds and alerts for cloud expenditure.</x:v>
      </x:c>
      <x:c r="K20" s="115" t="str">
        <x:v>Choose this capability when you need to set budgets, thresholds and alerts for cloud expenditure.</x:v>
      </x:c>
      <x:c r="L20" s="115" t="str">
        <x:v>What business outcome, scale, control, integration and operating model justify choosing cloud budgets and alerts?</x:v>
      </x:c>
      <x:c r="M20" s="115" t="str">
        <x:v>Native integration and speed versus portability, governance effort and total cost.</x:v>
      </x:c>
      <x:c r="N20" s="115" t="n">
        <x:v>4</x:v>
      </x:c>
      <x:c r="O20" s="115" t="str">
        <x:v>Easy</x:v>
      </x:c>
      <x:c r="P20" s="115" t="str">
        <x:v>1–3 days</x:v>
      </x:c>
      <x:c r="Q20" s="115" t="str">
        <x:v>Medium</x:v>
      </x:c>
      <x:c r="R20" s="115" t="str">
        <x:v>AWS Budgets</x:v>
      </x:c>
      <x:c r="S20" s="115" t="str">
        <x:v>Microsoft Cost Management budgets</x:v>
      </x:c>
      <x:c r="T20" s="115" t="str">
        <x:v>Cloud Billing budgets and alerts</x:v>
      </x:c>
      <x:c r="U20" s="115" t="n">
        <x:v>4.09</x:v>
      </x:c>
      <x:c r="V20" s="115" t="n">
        <x:v>4.15</x:v>
      </x:c>
      <x:c r="W20" s="115" t="n">
        <x:v>4.11</x:v>
      </x:c>
      <x:c r="X20" s="118" t="str">
        <x:v>Context-dependent tie</x:v>
      </x:c>
      <x:c r="Y20" s="115" t="str">
        <x:v>Scores are close: use ecosystem, data gravity, region, skills, commercials and proof-of-value results to decide.</x:v>
      </x:c>
      <x:c r="Z20" s="115" t="str">
        <x:v>Exact</x:v>
      </x:c>
      <x:c r="AA20" s="115"/>
      <x:c r="AB20" s="115" t="str">
        <x:v>2026-07-12</x:v>
      </x:c>
      <x:c r="AC20" s="115" t="str">
        <x:v>Scored and mapped</x:v>
      </x:c>
      <x:c r="AD20" s="115" t="str">
        <x:v>https://docs.cloud.google.com/docs/product-list</x:v>
      </x:c>
    </x:row>
    <x:row r="21">
      <x:c r="A21" s="115" t="str">
        <x:v>1. Strategy, Governance &amp; Commercial</x:v>
      </x:c>
      <x:c r="B21" s="115" t="str">
        <x:v>03. FinOps, Procurement, Licensing, Marketplace &amp; Sustainability</x:v>
      </x:c>
      <x:c r="C21" s="115" t="str">
        <x:v>FinOps, Cost &amp; Sustainability</x:v>
      </x:c>
      <x:c r="D21" s="115" t="str">
        <x:v>Strategy &amp; Plan</x:v>
      </x:c>
      <x:c r="E21" s="115" t="str">
        <x:v>Security, Privacy &amp; Compliance
Cost &amp; FinOps
Operations &amp; Support
Sustainability</x:v>
      </x:c>
      <x:c r="F21" s="115" t="str">
        <x:v>01 Strategy, Governance &amp; FinOps</x:v>
      </x:c>
      <x:c r="G21" s="115" t="str">
        <x:v>FinOps &amp; Commercial</x:v>
      </x:c>
      <x:c r="H21" s="115" t="str">
        <x:v>Billing allocation</x:v>
      </x:c>
      <x:c r="I21" s="115" t="str">
        <x:v>Custom billing and chargeback</x:v>
      </x:c>
      <x:c r="J21" s="115" t="str">
        <x:v>Allocate, group and charge back cloud costs to internal entities.</x:v>
      </x:c>
      <x:c r="K21" s="115" t="str">
        <x:v>Choose this capability when you need to allocate, group and charge back cloud costs to internal entities.</x:v>
      </x:c>
      <x:c r="L21" s="115" t="str">
        <x:v>What business outcome, scale, control, integration and operating model justify choosing custom billing and chargeback?</x:v>
      </x:c>
      <x:c r="M21" s="115" t="str">
        <x:v>Native integration and speed versus portability, governance effort and total cost.</x:v>
      </x:c>
      <x:c r="N21" s="115" t="n">
        <x:v>3</x:v>
      </x:c>
      <x:c r="O21" s="115" t="str">
        <x:v>Moderate</x:v>
      </x:c>
      <x:c r="P21" s="115" t="str">
        <x:v>1–3 weeks</x:v>
      </x:c>
      <x:c r="Q21" s="115" t="str">
        <x:v>Medium</x:v>
      </x:c>
      <x:c r="R21" s="115" t="str">
        <x:v>AWS Billing Conductor
AWS Cost and Usage Report</x:v>
      </x:c>
      <x:c r="S21" s="115" t="str">
        <x:v>Microsoft Cost Management exports
Cost allocation rules</x:v>
      </x:c>
      <x:c r="T21" s="115" t="str">
        <x:v>Cloud Billing export
Billing account structure</x:v>
      </x:c>
      <x:c r="U21" s="115" t="n">
        <x:v>3.73</x:v>
      </x:c>
      <x:c r="V21" s="115" t="n">
        <x:v>3.8</x:v>
      </x:c>
      <x:c r="W21" s="115" t="n">
        <x:v>3.74</x:v>
      </x:c>
      <x:c r="X21" s="118" t="str">
        <x:v>Context-dependent tie</x:v>
      </x:c>
      <x:c r="Y21" s="115" t="str">
        <x:v>Scores are close: use ecosystem, data gravity, region, skills, commercials and proof-of-value results to decide.</x:v>
      </x:c>
      <x:c r="Z21" s="115" t="str">
        <x:v>Close</x:v>
      </x:c>
      <x:c r="AA21" s="115"/>
      <x:c r="AB21" s="115" t="str">
        <x:v>2026-07-12</x:v>
      </x:c>
      <x:c r="AC21" s="115" t="str">
        <x:v>Scored and mapped</x:v>
      </x:c>
      <x:c r="AD21" s="115" t="str">
        <x:v>https://docs.cloud.google.com/docs/product-list</x:v>
      </x:c>
    </x:row>
    <x:row r="22">
      <x:c r="A22" s="115" t="str">
        <x:v>1. Strategy, Governance &amp; Commercial</x:v>
      </x:c>
      <x:c r="B22" s="115" t="str">
        <x:v>03. FinOps, Procurement, Licensing, Marketplace &amp; Sustainability</x:v>
      </x:c>
      <x:c r="C22" s="115" t="str">
        <x:v>FinOps, Cost &amp; Sustainability</x:v>
      </x:c>
      <x:c r="D22" s="115" t="str">
        <x:v>Strategy &amp; Plan</x:v>
      </x:c>
      <x:c r="E22" s="115" t="str">
        <x:v>Security, Privacy &amp; Compliance
Cost &amp; FinOps
Operations &amp; Support
Sustainability</x:v>
      </x:c>
      <x:c r="F22" s="115" t="str">
        <x:v>01 Strategy, Governance &amp; FinOps</x:v>
      </x:c>
      <x:c r="G22" s="115" t="str">
        <x:v>FinOps &amp; Commercial</x:v>
      </x:c>
      <x:c r="H22" s="115" t="str">
        <x:v>Commitment discounts</x:v>
      </x:c>
      <x:c r="I22" s="115" t="str">
        <x:v>Committed-use savings</x:v>
      </x:c>
      <x:c r="J22" s="115" t="str">
        <x:v>Reduce eligible compute costs through term-based usage commitments.</x:v>
      </x:c>
      <x:c r="K22" s="115" t="str">
        <x:v>Choose this capability when you need to reduce eligible compute costs through term-based usage commitments.</x:v>
      </x:c>
      <x:c r="L22" s="115" t="str">
        <x:v>What business outcome, scale, control, integration and operating model justify choosing committed-use savings?</x:v>
      </x:c>
      <x:c r="M22" s="115" t="str">
        <x:v>Native integration and speed versus portability, governance effort and total cost.</x:v>
      </x:c>
      <x:c r="N22" s="115" t="n">
        <x:v>3</x:v>
      </x:c>
      <x:c r="O22" s="115" t="str">
        <x:v>Moderate</x:v>
      </x:c>
      <x:c r="P22" s="115" t="str">
        <x:v>1–3 weeks</x:v>
      </x:c>
      <x:c r="Q22" s="115" t="str">
        <x:v>Medium</x:v>
      </x:c>
      <x:c r="R22" s="115" t="str">
        <x:v>AWS Savings Plans
Reserved Instances</x:v>
      </x:c>
      <x:c r="S22" s="115" t="str">
        <x:v>Azure Reservations
Azure savings plan for compute</x:v>
      </x:c>
      <x:c r="T22" s="115" t="str">
        <x:v>Committed Use Discounts</x:v>
      </x:c>
      <x:c r="U22" s="115" t="n">
        <x:v>3.78</x:v>
      </x:c>
      <x:c r="V22" s="115" t="n">
        <x:v>3.85</x:v>
      </x:c>
      <x:c r="W22" s="115" t="n">
        <x:v>3.91</x:v>
      </x:c>
      <x:c r="X22" s="118" t="str">
        <x:v>Context-dependent tie</x:v>
      </x:c>
      <x:c r="Y22" s="115" t="str">
        <x:v>Scores are close: use ecosystem, data gravity, region, skills, commercials and proof-of-value results to decide.</x:v>
      </x:c>
      <x:c r="Z22" s="115" t="str">
        <x:v>Exact</x:v>
      </x:c>
      <x:c r="AA22" s="115"/>
      <x:c r="AB22" s="115" t="str">
        <x:v>2026-07-12</x:v>
      </x:c>
      <x:c r="AC22" s="115" t="str">
        <x:v>Scored and mapped</x:v>
      </x:c>
      <x:c r="AD22" s="115" t="str">
        <x:v>https://docs.cloud.google.com/docs/product-list</x:v>
      </x:c>
    </x:row>
    <x:row r="23">
      <x:c r="A23" s="115" t="str">
        <x:v>1. Strategy, Governance &amp; Commercial</x:v>
      </x:c>
      <x:c r="B23" s="115" t="str">
        <x:v>03. FinOps, Procurement, Licensing, Marketplace &amp; Sustainability</x:v>
      </x:c>
      <x:c r="C23" s="115" t="str">
        <x:v>FinOps, Cost &amp; Sustainability</x:v>
      </x:c>
      <x:c r="D23" s="115" t="str">
        <x:v>Strategy &amp; Plan</x:v>
      </x:c>
      <x:c r="E23" s="115" t="str">
        <x:v>Security, Privacy &amp; Compliance
Cost &amp; FinOps
Operations &amp; Support
Sustainability</x:v>
      </x:c>
      <x:c r="F23" s="115" t="str">
        <x:v>01 Strategy, Governance &amp; FinOps</x:v>
      </x:c>
      <x:c r="G23" s="115" t="str">
        <x:v>FinOps &amp; Commercial</x:v>
      </x:c>
      <x:c r="H23" s="115" t="str">
        <x:v>Sustainability</x:v>
      </x:c>
      <x:c r="I23" s="115" t="str">
        <x:v>Cloud carbon reporting</x:v>
      </x:c>
      <x:c r="J23" s="115" t="str">
        <x:v>Estimate carbon emissions associated with cloud usage.</x:v>
      </x:c>
      <x:c r="K23" s="115" t="str">
        <x:v>Choose this capability when you need to estimate carbon emissions associated with cloud usage.</x:v>
      </x:c>
      <x:c r="L23" s="115" t="str">
        <x:v>What business outcome, scale, control, integration and operating model justify choosing cloud carbon reporting?</x:v>
      </x:c>
      <x:c r="M23" s="115" t="str">
        <x:v>Native integration and speed versus portability, governance effort and total cost.</x:v>
      </x:c>
      <x:c r="N23" s="115" t="n">
        <x:v>3</x:v>
      </x:c>
      <x:c r="O23" s="115" t="str">
        <x:v>Moderate</x:v>
      </x:c>
      <x:c r="P23" s="115" t="str">
        <x:v>1–3 weeks</x:v>
      </x:c>
      <x:c r="Q23" s="115" t="str">
        <x:v>Medium</x:v>
      </x:c>
      <x:c r="R23" s="115" t="str">
        <x:v>AWS Customer Carbon Footprint Tool</x:v>
      </x:c>
      <x:c r="S23" s="115" t="str">
        <x:v>Microsoft Emissions Impact Dashboard</x:v>
      </x:c>
      <x:c r="T23" s="115" t="str">
        <x:v>Carbon Footprint</x:v>
      </x:c>
      <x:c r="U23" s="115" t="n">
        <x:v>3.82</x:v>
      </x:c>
      <x:c r="V23" s="115" t="n">
        <x:v>3.89</x:v>
      </x:c>
      <x:c r="W23" s="115" t="n">
        <x:v>3.84</x:v>
      </x:c>
      <x:c r="X23" s="118" t="str">
        <x:v>Context-dependent tie</x:v>
      </x:c>
      <x:c r="Y23" s="115" t="str">
        <x:v>Scores are close: use ecosystem, data gravity, region, skills, commercials and proof-of-value results to decide.</x:v>
      </x:c>
      <x:c r="Z23" s="115" t="str">
        <x:v>Close</x:v>
      </x:c>
      <x:c r="AA23" s="115"/>
      <x:c r="AB23" s="115" t="str">
        <x:v>2026-07-12</x:v>
      </x:c>
      <x:c r="AC23" s="115" t="str">
        <x:v>Scored and mapped</x:v>
      </x:c>
      <x:c r="AD23" s="115" t="str">
        <x:v>https://docs.cloud.google.com/docs/product-list</x:v>
      </x:c>
    </x:row>
    <x:row r="24">
      <x:c r="A24" s="115" t="str">
        <x:v>3. Data &amp; Intelligence</x:v>
      </x:c>
      <x:c r="B24" s="115" t="str">
        <x:v>13. Traditional AI/ML, MLOps &amp; Cognitive APIs</x:v>
      </x:c>
      <x:c r="C24" s="115" t="str">
        <x:v>Industry &amp; Applied AI</x:v>
      </x:c>
      <x:c r="D24" s="115" t="str">
        <x:v>Adopt &amp; Build</x:v>
      </x:c>
      <x:c r="E24" s="115" t="str">
        <x:v>Security, Privacy &amp; Compliance
Cost &amp; FinOps
Operations &amp; Support
Reliability &amp; Resilience
Performance &amp; Scalability
Data Residency &amp; Sovereignty
Portability &amp; Exit
Responsible AI &amp; Model Risk</x:v>
      </x:c>
      <x:c r="F24" s="115" t="str">
        <x:v>07 AI &amp; Intelligent Systems</x:v>
      </x:c>
      <x:c r="G24" s="115" t="str">
        <x:v>AI &amp; Machine Learning</x:v>
      </x:c>
      <x:c r="H24" s="115" t="str">
        <x:v>AI platform</x:v>
      </x:c>
      <x:c r="I24" s="115" t="str">
        <x:v>Unified AI/ML platform</x:v>
      </x:c>
      <x:c r="J24" s="115" t="str">
        <x:v>Develop, train, govern, deploy and operate machine-learning and generative-AI solutions.</x:v>
      </x:c>
      <x:c r="K24" s="115" t="str">
        <x:v>Choose this capability when you need to develop, train, govern, deploy and operate machine-learning and generative-ai solutions.</x:v>
      </x:c>
      <x:c r="L24" s="115" t="str">
        <x:v>What business outcome, scale, control, integration and operating model justify choosing unified ai/ml platform?</x:v>
      </x:c>
      <x:c r="M24" s="115" t="str">
        <x:v>Managed speed and native integration versus model portability, transparency and control.</x:v>
      </x:c>
      <x:c r="N24" s="115" t="n">
        <x:v>3</x:v>
      </x:c>
      <x:c r="O24" s="115" t="str">
        <x:v>Moderate</x:v>
      </x:c>
      <x:c r="P24" s="115" t="str">
        <x:v>1–3 weeks</x:v>
      </x:c>
      <x:c r="Q24" s="115" t="str">
        <x:v>Medium</x:v>
      </x:c>
      <x:c r="R24" s="115" t="str">
        <x:v>Amazon SageMaker AI</x:v>
      </x:c>
      <x:c r="S24" s="115" t="str">
        <x:v>Azure Machine Learning
Microsoft Foundry</x:v>
      </x:c>
      <x:c r="T24" s="115" t="str">
        <x:v>Vertex AI
Gemini Enterprise Agent Platform</x:v>
      </x:c>
      <x:c r="U24" s="115" t="n">
        <x:v>3.88</x:v>
      </x:c>
      <x:c r="V24" s="115" t="n">
        <x:v>3.84</x:v>
      </x:c>
      <x:c r="W24" s="115" t="n">
        <x:v>4.09</x:v>
      </x:c>
      <x:c r="X24" s="118" t="str">
        <x:v>GCP</x:v>
      </x:c>
      <x:c r="Y24" s="115" t="str">
        <x:v>Start with Google Cloud when data, AI, Kubernetes, network or managed developer experience is the main differentiator.</x:v>
      </x:c>
      <x:c r="Z24" s="115" t="str">
        <x:v>Close</x:v>
      </x:c>
      <x:c r="AA24" s="115"/>
      <x:c r="AB24" s="115" t="str">
        <x:v>2026-07-12</x:v>
      </x:c>
      <x:c r="AC24" s="115" t="str">
        <x:v>Scored and mapped</x:v>
      </x:c>
      <x:c r="AD24" s="115" t="str">
        <x:v>https://docs.cloud.google.com/docs/product-list</x:v>
      </x:c>
    </x:row>
    <x:row r="25">
      <x:c r="A25" s="115" t="str">
        <x:v>3. Data &amp; Intelligence</x:v>
      </x:c>
      <x:c r="B25" s="115" t="str">
        <x:v>14. Generative AI, Agents, RAG, AI Safety &amp; Governance</x:v>
      </x:c>
      <x:c r="C25" s="115" t="str">
        <x:v>Responsible AI, Safety &amp; Governance</x:v>
      </x:c>
      <x:c r="D25" s="115" t="str">
        <x:v>Adopt &amp; Build</x:v>
      </x:c>
      <x:c r="E25" s="115" t="str">
        <x:v>Security, Privacy &amp; Compliance
Cost &amp; FinOps
Operations &amp; Support
Reliability &amp; Resilience
Performance &amp; Scalability
Data Residency &amp; Sovereignty
Portability &amp; Exit
Responsible AI &amp; Model Risk</x:v>
      </x:c>
      <x:c r="F25" s="115" t="str">
        <x:v>07 AI &amp; Intelligent Systems</x:v>
      </x:c>
      <x:c r="G25" s="115" t="str">
        <x:v>AI &amp; Machine Learning</x:v>
      </x:c>
      <x:c r="H25" s="115" t="str">
        <x:v>AI governance</x:v>
      </x:c>
      <x:c r="I25" s="115" t="str">
        <x:v>AI governance and control plane</x:v>
      </x:c>
      <x:c r="J25" s="115" t="str">
        <x:v>Inventory AI assets, apply policies, assess risk and oversee AI across its lifecycle.</x:v>
      </x:c>
      <x:c r="K25" s="115" t="str">
        <x:v>Choose this capability when you need to inventory ai assets, apply policies, assess risk and oversee ai across its lifecycle.</x:v>
      </x:c>
      <x:c r="L25" s="115" t="str">
        <x:v>Which risks, policies, evaluations, audit evidence and human controls must be enforced?</x:v>
      </x:c>
      <x:c r="M25" s="115" t="str">
        <x:v>Managed speed and native integration versus model portability, transparency and control.</x:v>
      </x:c>
      <x:c r="N25" s="115" t="n">
        <x:v>2</x:v>
      </x:c>
      <x:c r="O25" s="115" t="str">
        <x:v>Advanced</x:v>
      </x:c>
      <x:c r="P25" s="115" t="str">
        <x:v>3–8 weeks</x:v>
      </x:c>
      <x:c r="Q25" s="115" t="str">
        <x:v>Medium</x:v>
      </x:c>
      <x:c r="R25" s="115" t="str">
        <x:v>Amazon SageMaker Model Cards
Amazon SageMaker Model Dashboard
AWS Audit Manager</x:v>
      </x:c>
      <x:c r="S25" s="115" t="str">
        <x:v>Microsoft Foundry Control Plane
Microsoft Purview
Azure Machine Learning responsible AI</x:v>
      </x:c>
      <x:c r="T25" s="115" t="str">
        <x:v>Vertex AI Model Registry
Model Monitoring
Dataplex Universal Catalog</x:v>
      </x:c>
      <x:c r="U25" s="115" t="n">
        <x:v>3.43</x:v>
      </x:c>
      <x:c r="V25" s="115" t="n">
        <x:v>3.53</x:v>
      </x:c>
      <x:c r="W25" s="115" t="n">
        <x:v>3.47</x:v>
      </x:c>
      <x:c r="X25" s="118" t="str">
        <x:v>Context-dependent tie</x:v>
      </x:c>
      <x:c r="Y25" s="115" t="str">
        <x:v>Scores are close: use ecosystem, data gravity, region, skills, commercials and proof-of-value results to decide.</x:v>
      </x:c>
      <x:c r="Z25" s="115" t="str">
        <x:v>Partial</x:v>
      </x:c>
      <x:c r="AA25" s="115" t="str">
        <x:v>AI governance is a control set rather than one perfectly equivalent product.</x:v>
      </x:c>
      <x:c r="AB25" s="115" t="str">
        <x:v>2026-07-12</x:v>
      </x:c>
      <x:c r="AC25" s="115" t="str">
        <x:v>Scored and mapped</x:v>
      </x:c>
      <x:c r="AD25" s="115" t="str">
        <x:v>https://docs.cloud.google.com/docs/product-list</x:v>
      </x:c>
    </x:row>
    <x:row r="26">
      <x:c r="A26" s="115" t="str">
        <x:v>3. Data &amp; Intelligence</x:v>
      </x:c>
      <x:c r="B26" s="115" t="str">
        <x:v>13. Traditional AI/ML, MLOps &amp; Cognitive APIs</x:v>
      </x:c>
      <x:c r="C26" s="115" t="str">
        <x:v>Responsible AI, Safety &amp; Governance</x:v>
      </x:c>
      <x:c r="D26" s="115" t="str">
        <x:v>Adopt &amp; Build</x:v>
      </x:c>
      <x:c r="E26" s="115" t="str">
        <x:v>Security, Privacy &amp; Compliance
Cost &amp; FinOps
Operations &amp; Support
Reliability &amp; Resilience
Performance &amp; Scalability
Data Residency &amp; Sovereignty
Portability &amp; Exit
Responsible AI &amp; Model Risk</x:v>
      </x:c>
      <x:c r="F26" s="115" t="str">
        <x:v>07 AI &amp; Intelligent Systems</x:v>
      </x:c>
      <x:c r="G26" s="115" t="str">
        <x:v>AI &amp; Machine Learning</x:v>
      </x:c>
      <x:c r="H26" s="115" t="str">
        <x:v>Responsible AI</x:v>
      </x:c>
      <x:c r="I26" s="115" t="str">
        <x:v>Responsible-AI assessment</x:v>
      </x:c>
      <x:c r="J26" s="115" t="str">
        <x:v>Evaluate fairness, explainability, errors and model behaviour before and after deployment.</x:v>
      </x:c>
      <x:c r="K26" s="115" t="str">
        <x:v>Choose this capability when you need to evaluate fairness, explainability, errors and model behaviour before and after deployment.</x:v>
      </x:c>
      <x:c r="L26" s="115" t="str">
        <x:v>Which risks, policies, evaluations, audit evidence and human controls must be enforced?</x:v>
      </x:c>
      <x:c r="M26" s="115" t="str">
        <x:v>Managed speed and native integration versus model portability, transparency and control.</x:v>
      </x:c>
      <x:c r="N26" s="115" t="n">
        <x:v>3</x:v>
      </x:c>
      <x:c r="O26" s="115" t="str">
        <x:v>Moderate</x:v>
      </x:c>
      <x:c r="P26" s="115" t="str">
        <x:v>1–3 weeks</x:v>
      </x:c>
      <x:c r="Q26" s="115" t="str">
        <x:v>Medium</x:v>
      </x:c>
      <x:c r="R26" s="115" t="str">
        <x:v>SageMaker Clarify
SageMaker Model Cards</x:v>
      </x:c>
      <x:c r="S26" s="115" t="str">
        <x:v>Azure Machine Learning Responsible AI dashboard
Foundry evaluations</x:v>
      </x:c>
      <x:c r="T26" s="115" t="str">
        <x:v>Vertex Explainable AI
Vertex AI Evaluation</x:v>
      </x:c>
      <x:c r="U26" s="115" t="n">
        <x:v>3.8</x:v>
      </x:c>
      <x:c r="V26" s="115" t="n">
        <x:v>3.92</x:v>
      </x:c>
      <x:c r="W26" s="115" t="n">
        <x:v>3.85</x:v>
      </x:c>
      <x:c r="X26" s="118" t="str">
        <x:v>Context-dependent tie</x:v>
      </x:c>
      <x:c r="Y26" s="115" t="str">
        <x:v>Scores are close: use ecosystem, data gravity, region, skills, commercials and proof-of-value results to decide.</x:v>
      </x:c>
      <x:c r="Z26" s="115" t="str">
        <x:v>Close</x:v>
      </x:c>
      <x:c r="AA26" s="115"/>
      <x:c r="AB26" s="115" t="str">
        <x:v>2026-07-12</x:v>
      </x:c>
      <x:c r="AC26" s="115" t="str">
        <x:v>Scored and mapped</x:v>
      </x:c>
      <x:c r="AD26" s="115" t="str">
        <x:v>https://docs.cloud.google.com/docs/product-list</x:v>
      </x:c>
    </x:row>
    <x:row r="27">
      <x:c r="A27" s="115" t="str">
        <x:v>3. Data &amp; Intelligence</x:v>
      </x:c>
      <x:c r="B27" s="115" t="str">
        <x:v>14. Generative AI, Agents, RAG, AI Safety &amp; Governance</x:v>
      </x:c>
      <x:c r="C27" s="115" t="str">
        <x:v>Responsible AI, Safety &amp; Governance</x:v>
      </x:c>
      <x:c r="D27" s="115" t="str">
        <x:v>Adopt &amp; Build</x:v>
      </x:c>
      <x:c r="E27" s="115" t="str">
        <x:v>Security, Privacy &amp; Compliance
Cost &amp; FinOps
Operations &amp; Support
Reliability &amp; Resilience
Performance &amp; Scalability
Data Residency &amp; Sovereignty
Portability &amp; Exit
Responsible AI &amp; Model Risk</x:v>
      </x:c>
      <x:c r="F27" s="115" t="str">
        <x:v>07 AI &amp; Intelligent Systems</x:v>
      </x:c>
      <x:c r="G27" s="115" t="str">
        <x:v>AI &amp; Machine Learning</x:v>
      </x:c>
      <x:c r="H27" s="115" t="str">
        <x:v>AI security</x:v>
      </x:c>
      <x:c r="I27" s="115" t="str">
        <x:v>AI security posture management</x:v>
      </x:c>
      <x:c r="J27" s="115" t="str">
        <x:v>Discover AI workloads, identify risks and monitor threats affecting AI systems.</x:v>
      </x:c>
      <x:c r="K27" s="115" t="str">
        <x:v>Choose this capability when you need to discover ai workloads, identify risks and monitor threats affecting ai systems.</x:v>
      </x:c>
      <x:c r="L27" s="115" t="str">
        <x:v>Which risks, policies, evaluations, audit evidence and human controls must be enforced?</x:v>
      </x:c>
      <x:c r="M27" s="115" t="str">
        <x:v>Managed speed and native integration versus model portability, transparency and control.</x:v>
      </x:c>
      <x:c r="N27" s="115" t="n">
        <x:v>3</x:v>
      </x:c>
      <x:c r="O27" s="115" t="str">
        <x:v>Moderate</x:v>
      </x:c>
      <x:c r="P27" s="115" t="str">
        <x:v>1–3 weeks</x:v>
      </x:c>
      <x:c r="Q27" s="115" t="str">
        <x:v>Medium</x:v>
      </x:c>
      <x:c r="R27" s="115" t="str">
        <x:v>Amazon GuardDuty
AWS Security Hub
Amazon Inspector</x:v>
      </x:c>
      <x:c r="S27" s="115" t="str">
        <x:v>Microsoft Defender for Cloud AI security posture management
Microsoft Security Copilot</x:v>
      </x:c>
      <x:c r="T27" s="115" t="str">
        <x:v>Security Command Center AI Protection
Model Armor</x:v>
      </x:c>
      <x:c r="U27" s="115" t="n">
        <x:v>3.63</x:v>
      </x:c>
      <x:c r="V27" s="115" t="n">
        <x:v>3.79</x:v>
      </x:c>
      <x:c r="W27" s="115" t="n">
        <x:v>3.68</x:v>
      </x:c>
      <x:c r="X27" s="118" t="str">
        <x:v>Context-dependent tie</x:v>
      </x:c>
      <x:c r="Y27" s="115" t="str">
        <x:v>Scores are close: use ecosystem, data gravity, region, skills, commercials and proof-of-value results to decide.</x:v>
      </x:c>
      <x:c r="Z27" s="115" t="str">
        <x:v>Partial</x:v>
      </x:c>
      <x:c r="AA27" s="115"/>
      <x:c r="AB27" s="115" t="str">
        <x:v>2026-07-12</x:v>
      </x:c>
      <x:c r="AC27" s="115" t="str">
        <x:v>Scored and mapped</x:v>
      </x:c>
      <x:c r="AD27" s="115" t="str">
        <x:v>https://docs.cloud.google.com/docs/product-list</x:v>
      </x:c>
    </x:row>
    <x:row r="28">
      <x:c r="A28" s="115" t="str">
        <x:v>3. Data &amp; Intelligence</x:v>
      </x:c>
      <x:c r="B28" s="115" t="str">
        <x:v>14. Generative AI, Agents, RAG, AI Safety &amp; Governance</x:v>
      </x:c>
      <x:c r="C28" s="115" t="str">
        <x:v>Responsible AI, Safety &amp; Governance</x:v>
      </x:c>
      <x:c r="D28" s="115" t="str">
        <x:v>Adopt &amp; Build</x:v>
      </x:c>
      <x:c r="E28" s="115" t="str">
        <x:v>Security, Privacy &amp; Compliance
Cost &amp; FinOps
Operations &amp; Support
Reliability &amp; Resilience
Performance &amp; Scalability
Data Residency &amp; Sovereignty
Portability &amp; Exit
Responsible AI &amp; Model Risk</x:v>
      </x:c>
      <x:c r="F28" s="115" t="str">
        <x:v>07 AI &amp; Intelligent Systems</x:v>
      </x:c>
      <x:c r="G28" s="115" t="str">
        <x:v>AI &amp; Machine Learning</x:v>
      </x:c>
      <x:c r="H28" s="115" t="str">
        <x:v>AI safety</x:v>
      </x:c>
      <x:c r="I28" s="115" t="str">
        <x:v>Generative-AI guardrails</x:v>
      </x:c>
      <x:c r="J28" s="115" t="str">
        <x:v>Apply safety policies, topic controls, grounding checks and content filters to model interactions.</x:v>
      </x:c>
      <x:c r="K28" s="115" t="str">
        <x:v>Choose this capability when you need to apply safety policies, topic controls, grounding checks and content filters to model interactions.</x:v>
      </x:c>
      <x:c r="L28" s="115" t="str">
        <x:v>Which risks, policies, evaluations, audit evidence and human controls must be enforced?</x:v>
      </x:c>
      <x:c r="M28" s="115" t="str">
        <x:v>Managed speed and native integration versus model portability, transparency and control.</x:v>
      </x:c>
      <x:c r="N28" s="115" t="n">
        <x:v>3</x:v>
      </x:c>
      <x:c r="O28" s="115" t="str">
        <x:v>Moderate</x:v>
      </x:c>
      <x:c r="P28" s="115" t="str">
        <x:v>1–3 weeks</x:v>
      </x:c>
      <x:c r="Q28" s="115" t="str">
        <x:v>Medium</x:v>
      </x:c>
      <x:c r="R28" s="115" t="str">
        <x:v>Guardrails for Amazon Bedrock</x:v>
      </x:c>
      <x:c r="S28" s="115" t="str">
        <x:v>Azure AI Content Safety
Foundry guardrails</x:v>
      </x:c>
      <x:c r="T28" s="115" t="str">
        <x:v>Model Armor
Vertex AI safety filters</x:v>
      </x:c>
      <x:c r="U28" s="115" t="n">
        <x:v>3.88</x:v>
      </x:c>
      <x:c r="V28" s="115" t="n">
        <x:v>3.92</x:v>
      </x:c>
      <x:c r="W28" s="115" t="n">
        <x:v>3.85</x:v>
      </x:c>
      <x:c r="X28" s="118" t="str">
        <x:v>Context-dependent tie</x:v>
      </x:c>
      <x:c r="Y28" s="115" t="str">
        <x:v>Scores are close: use ecosystem, data gravity, region, skills, commercials and proof-of-value results to decide.</x:v>
      </x:c>
      <x:c r="Z28" s="115" t="str">
        <x:v>Close</x:v>
      </x:c>
      <x:c r="AA28" s="115"/>
      <x:c r="AB28" s="115" t="str">
        <x:v>2026-07-12</x:v>
      </x:c>
      <x:c r="AC28" s="115" t="str">
        <x:v>Scored and mapped</x:v>
      </x:c>
      <x:c r="AD28" s="115" t="str">
        <x:v>https://docs.cloud.google.com/docs/product-list</x:v>
      </x:c>
    </x:row>
    <x:row r="29">
      <x:c r="A29" s="115" t="str">
        <x:v>3. Data &amp; Intelligence</x:v>
      </x:c>
      <x:c r="B29" s="115" t="str">
        <x:v>14. Generative AI, Agents, RAG, AI Safety &amp; Governance</x:v>
      </x:c>
      <x:c r="C29" s="115" t="str">
        <x:v>Responsible AI, Safety &amp; Governance</x:v>
      </x:c>
      <x:c r="D29" s="115" t="str">
        <x:v>Adopt &amp; Build</x:v>
      </x:c>
      <x:c r="E29" s="115" t="str">
        <x:v>Security, Privacy &amp; Compliance
Cost &amp; FinOps
Operations &amp; Support
Reliability &amp; Resilience
Performance &amp; Scalability
Data Residency &amp; Sovereignty
Portability &amp; Exit
Responsible AI &amp; Model Risk</x:v>
      </x:c>
      <x:c r="F29" s="115" t="str">
        <x:v>07 AI &amp; Intelligent Systems</x:v>
      </x:c>
      <x:c r="G29" s="115" t="str">
        <x:v>AI &amp; Machine Learning</x:v>
      </x:c>
      <x:c r="H29" s="115" t="str">
        <x:v>AI safety</x:v>
      </x:c>
      <x:c r="I29" s="115" t="str">
        <x:v>Prompt-injection protection</x:v>
      </x:c>
      <x:c r="J29" s="115" t="str">
        <x:v>Detect and mitigate malicious instructions, jailbreaks and unsafe prompt patterns.</x:v>
      </x:c>
      <x:c r="K29" s="115" t="str">
        <x:v>Choose this capability when you need to detect and mitigate malicious instructions, jailbreaks and unsafe prompt patterns.</x:v>
      </x:c>
      <x:c r="L29" s="115" t="str">
        <x:v>Which risks, policies, evaluations, audit evidence and human controls must be enforced?</x:v>
      </x:c>
      <x:c r="M29" s="115" t="str">
        <x:v>Managed speed and native integration versus model portability, transparency and control.</x:v>
      </x:c>
      <x:c r="N29" s="115" t="n">
        <x:v>3</x:v>
      </x:c>
      <x:c r="O29" s="115" t="str">
        <x:v>Moderate</x:v>
      </x:c>
      <x:c r="P29" s="115" t="str">
        <x:v>1–3 weeks</x:v>
      </x:c>
      <x:c r="Q29" s="115" t="str">
        <x:v>Medium</x:v>
      </x:c>
      <x:c r="R29" s="115" t="str">
        <x:v>Guardrails for Amazon Bedrock</x:v>
      </x:c>
      <x:c r="S29" s="115" t="str">
        <x:v>Prompt Shields in Azure AI Content Safety</x:v>
      </x:c>
      <x:c r="T29" s="115" t="str">
        <x:v>Model Armor</x:v>
      </x:c>
      <x:c r="U29" s="115" t="n">
        <x:v>3.88</x:v>
      </x:c>
      <x:c r="V29" s="115" t="n">
        <x:v>4.01</x:v>
      </x:c>
      <x:c r="W29" s="115" t="n">
        <x:v>3.94</x:v>
      </x:c>
      <x:c r="X29" s="118" t="str">
        <x:v>Context-dependent tie</x:v>
      </x:c>
      <x:c r="Y29" s="115" t="str">
        <x:v>Scores are close: use ecosystem, data gravity, region, skills, commercials and proof-of-value results to decide.</x:v>
      </x:c>
      <x:c r="Z29" s="115" t="str">
        <x:v>Close</x:v>
      </x:c>
      <x:c r="AA29" s="115"/>
      <x:c r="AB29" s="115" t="str">
        <x:v>2026-07-12</x:v>
      </x:c>
      <x:c r="AC29" s="115" t="str">
        <x:v>Scored and mapped</x:v>
      </x:c>
      <x:c r="AD29" s="115" t="str">
        <x:v>https://docs.cloud.google.com/docs/product-list</x:v>
      </x:c>
    </x:row>
    <x:row r="30">
      <x:c r="A30" s="115" t="str">
        <x:v>3. Data &amp; Intelligence</x:v>
      </x:c>
      <x:c r="B30" s="115" t="str">
        <x:v>14. Generative AI, Agents, RAG, AI Safety &amp; Governance</x:v>
      </x:c>
      <x:c r="C30" s="115" t="str">
        <x:v>Responsible AI, Safety &amp; Governance</x:v>
      </x:c>
      <x:c r="D30" s="115" t="str">
        <x:v>Adopt &amp; Build</x:v>
      </x:c>
      <x:c r="E30" s="115" t="str">
        <x:v>Security, Privacy &amp; Compliance
Cost &amp; FinOps
Operations &amp; Support
Reliability &amp; Resilience
Performance &amp; Scalability
Data Residency &amp; Sovereignty
Portability &amp; Exit
Responsible AI &amp; Model Risk</x:v>
      </x:c>
      <x:c r="F30" s="115" t="str">
        <x:v>07 AI &amp; Intelligent Systems</x:v>
      </x:c>
      <x:c r="G30" s="115" t="str">
        <x:v>AI &amp; Machine Learning</x:v>
      </x:c>
      <x:c r="H30" s="115" t="str">
        <x:v>AI evaluation</x:v>
      </x:c>
      <x:c r="I30" s="115" t="str">
        <x:v>Foundation-model evaluation</x:v>
      </x:c>
      <x:c r="J30" s="115" t="str">
        <x:v>Measure quality, safety, groundedness and task performance of generative-AI systems.</x:v>
      </x:c>
      <x:c r="K30" s="115" t="str">
        <x:v>Choose this capability when you need to measure quality, safety, groundedness and task performance of generative-ai systems.</x:v>
      </x:c>
      <x:c r="L30" s="115" t="str">
        <x:v>Which risks, policies, evaluations, audit evidence and human controls must be enforced?</x:v>
      </x:c>
      <x:c r="M30" s="115" t="str">
        <x:v>Managed speed and native integration versus model portability, transparency and control.</x:v>
      </x:c>
      <x:c r="N30" s="115" t="n">
        <x:v>3</x:v>
      </x:c>
      <x:c r="O30" s="115" t="str">
        <x:v>Moderate</x:v>
      </x:c>
      <x:c r="P30" s="115" t="str">
        <x:v>1–3 weeks</x:v>
      </x:c>
      <x:c r="Q30" s="115" t="str">
        <x:v>High</x:v>
      </x:c>
      <x:c r="R30" s="115" t="str">
        <x:v>Amazon Bedrock Evaluations
SageMaker Clarify</x:v>
      </x:c>
      <x:c r="S30" s="115" t="str">
        <x:v>Microsoft Foundry evaluations
Azure Machine Learning</x:v>
      </x:c>
      <x:c r="T30" s="115" t="str">
        <x:v>Vertex AI Evaluation</x:v>
      </x:c>
      <x:c r="U30" s="115" t="n">
        <x:v>3.79</x:v>
      </x:c>
      <x:c r="V30" s="115" t="n">
        <x:v>3.88</x:v>
      </x:c>
      <x:c r="W30" s="115" t="n">
        <x:v>3.9</x:v>
      </x:c>
      <x:c r="X30" s="118" t="str">
        <x:v>Context-dependent tie</x:v>
      </x:c>
      <x:c r="Y30" s="115" t="str">
        <x:v>Scores are close: use ecosystem, data gravity, region, skills, commercials and proof-of-value results to decide.</x:v>
      </x:c>
      <x:c r="Z30" s="115" t="str">
        <x:v>Close</x:v>
      </x:c>
      <x:c r="AA30" s="115"/>
      <x:c r="AB30" s="115" t="str">
        <x:v>2026-07-12</x:v>
      </x:c>
      <x:c r="AC30" s="115" t="str">
        <x:v>Scored and mapped</x:v>
      </x:c>
      <x:c r="AD30" s="115" t="str">
        <x:v>https://docs.cloud.google.com/docs/product-list</x:v>
      </x:c>
    </x:row>
    <x:row r="31">
      <x:c r="A31" s="115" t="str">
        <x:v>3. Data &amp; Intelligence</x:v>
      </x:c>
      <x:c r="B31" s="115" t="str">
        <x:v>14. Generative AI, Agents, RAG, AI Safety &amp; Governance</x:v>
      </x:c>
      <x:c r="C31" s="115" t="str">
        <x:v>Responsible AI, Safety &amp; Governance</x:v>
      </x:c>
      <x:c r="D31" s="115" t="str">
        <x:v>Adopt &amp; Build</x:v>
      </x:c>
      <x:c r="E31" s="115" t="str">
        <x:v>Security, Privacy &amp; Compliance
Cost &amp; FinOps
Operations &amp; Support
Reliability &amp; Resilience
Performance &amp; Scalability
Data Residency &amp; Sovereignty
Portability &amp; Exit
Responsible AI &amp; Model Risk</x:v>
      </x:c>
      <x:c r="F31" s="115" t="str">
        <x:v>07 AI &amp; Intelligent Systems</x:v>
      </x:c>
      <x:c r="G31" s="115" t="str">
        <x:v>AI &amp; Machine Learning</x:v>
      </x:c>
      <x:c r="H31" s="115" t="str">
        <x:v>AI observability</x:v>
      </x:c>
      <x:c r="I31" s="115" t="str">
        <x:v>AI application observability</x:v>
      </x:c>
      <x:c r="J31" s="115" t="str">
        <x:v>Trace prompts, agents, tools, latency, quality and token usage in AI applications.</x:v>
      </x:c>
      <x:c r="K31" s="115" t="str">
        <x:v>Choose this capability when you need to trace prompts, agents, tools, latency, quality and token usage in ai applications.</x:v>
      </x:c>
      <x:c r="L31" s="115" t="str">
        <x:v>Which risks, policies, evaluations, audit evidence and human controls must be enforced?</x:v>
      </x:c>
      <x:c r="M31" s="115" t="str">
        <x:v>Managed speed and native integration versus model portability, transparency and control.</x:v>
      </x:c>
      <x:c r="N31" s="115" t="n">
        <x:v>3</x:v>
      </x:c>
      <x:c r="O31" s="115" t="str">
        <x:v>Moderate</x:v>
      </x:c>
      <x:c r="P31" s="115" t="str">
        <x:v>1–3 weeks</x:v>
      </x:c>
      <x:c r="Q31" s="115" t="str">
        <x:v>Medium</x:v>
      </x:c>
      <x:c r="R31" s="115" t="str">
        <x:v>Amazon Bedrock AgentCore Observability
Amazon CloudWatch</x:v>
      </x:c>
      <x:c r="S31" s="115" t="str">
        <x:v>Observability in Foundry Control Plane
Azure Monitor</x:v>
      </x:c>
      <x:c r="T31" s="115" t="str">
        <x:v>Vertex AI Agent Engine observability
Cloud Trace
Cloud Monitoring</x:v>
      </x:c>
      <x:c r="U31" s="115" t="n">
        <x:v>3.8</x:v>
      </x:c>
      <x:c r="V31" s="115" t="n">
        <x:v>3.96</x:v>
      </x:c>
      <x:c r="W31" s="115" t="n">
        <x:v>3.85</x:v>
      </x:c>
      <x:c r="X31" s="118" t="str">
        <x:v>Context-dependent tie</x:v>
      </x:c>
      <x:c r="Y31" s="115" t="str">
        <x:v>Scores are close: use ecosystem, data gravity, region, skills, commercials and proof-of-value results to decide.</x:v>
      </x:c>
      <x:c r="Z31" s="115" t="str">
        <x:v>Close</x:v>
      </x:c>
      <x:c r="AA31" s="115"/>
      <x:c r="AB31" s="115" t="str">
        <x:v>2026-07-12</x:v>
      </x:c>
      <x:c r="AC31" s="115" t="str">
        <x:v>Scored and mapped</x:v>
      </x:c>
      <x:c r="AD31" s="115" t="str">
        <x:v>https://docs.cloud.google.com/docs/product-list</x:v>
      </x:c>
    </x:row>
    <x:row r="32">
      <x:c r="A32" s="115" t="str">
        <x:v>3. Data &amp; Intelligence</x:v>
      </x:c>
      <x:c r="B32" s="115" t="str">
        <x:v>14. Generative AI, Agents, RAG, AI Safety &amp; Governance</x:v>
      </x:c>
      <x:c r="C32" s="115" t="str">
        <x:v>Foundation Models &amp; GenAI</x:v>
      </x:c>
      <x:c r="D32" s="115" t="str">
        <x:v>Adopt &amp; Build</x:v>
      </x:c>
      <x:c r="E32" s="115" t="str">
        <x:v>Security, Privacy &amp; Compliance
Cost &amp; FinOps
Operations &amp; Support
Reliability &amp; Resilience
Performance &amp; Scalability
Data Residency &amp; Sovereignty
Portability &amp; Exit
Responsible AI &amp; Model Risk</x:v>
      </x:c>
      <x:c r="F32" s="115" t="str">
        <x:v>07 AI &amp; Intelligent Systems</x:v>
      </x:c>
      <x:c r="G32" s="115" t="str">
        <x:v>AI &amp; Machine Learning</x:v>
      </x:c>
      <x:c r="H32" s="115" t="str">
        <x:v>Foundation models</x:v>
      </x:c>
      <x:c r="I32" s="115" t="str">
        <x:v>Managed foundation-model platform</x:v>
      </x:c>
      <x:c r="J32" s="115" t="str">
        <x:v>Access, customise and govern foundation models through managed APIs and tooling.</x:v>
      </x:c>
      <x:c r="K32" s="115" t="str">
        <x:v>Choose this capability when you need to access, customise and govern foundation models through managed apis and tooling.</x:v>
      </x:c>
      <x:c r="L32" s="115" t="str">
        <x:v>Do you need model choice, provider-native models, customisation, enterprise controls, or lowest operational effort?</x:v>
      </x:c>
      <x:c r="M32" s="115" t="str">
        <x:v>Managed speed and native integration versus model portability, transparency and control.</x:v>
      </x:c>
      <x:c r="N32" s="115" t="n">
        <x:v>3</x:v>
      </x:c>
      <x:c r="O32" s="115" t="str">
        <x:v>Moderate</x:v>
      </x:c>
      <x:c r="P32" s="115" t="str">
        <x:v>1–3 weeks</x:v>
      </x:c>
      <x:c r="Q32" s="115" t="str">
        <x:v>High</x:v>
      </x:c>
      <x:c r="R32" s="115" t="str">
        <x:v>Amazon Bedrock</x:v>
      </x:c>
      <x:c r="S32" s="115" t="str">
        <x:v>Microsoft Foundry
Azure OpenAI in Foundry Models</x:v>
      </x:c>
      <x:c r="T32" s="115" t="str">
        <x:v>Vertex AI</x:v>
      </x:c>
      <x:c r="U32" s="115" t="n">
        <x:v>3.87</x:v>
      </x:c>
      <x:c r="V32" s="115" t="n">
        <x:v>3.88</x:v>
      </x:c>
      <x:c r="W32" s="115" t="n">
        <x:v>4.14</x:v>
      </x:c>
      <x:c r="X32" s="118" t="str">
        <x:v>GCP</x:v>
      </x:c>
      <x:c r="Y32" s="115" t="str">
        <x:v>Start with Google Cloud when data, AI, Kubernetes, network or managed developer experience is the main differentiator.</x:v>
      </x:c>
      <x:c r="Z32" s="115" t="str">
        <x:v>Close</x:v>
      </x:c>
      <x:c r="AA32" s="115"/>
      <x:c r="AB32" s="115" t="str">
        <x:v>2026-07-12</x:v>
      </x:c>
      <x:c r="AC32" s="115" t="str">
        <x:v>Scored and mapped</x:v>
      </x:c>
      <x:c r="AD32" s="115" t="str">
        <x:v>https://docs.cloud.google.com/docs/product-list</x:v>
      </x:c>
    </x:row>
    <x:row r="33">
      <x:c r="A33" s="115" t="str">
        <x:v>3. Data &amp; Intelligence</x:v>
      </x:c>
      <x:c r="B33" s="115" t="str">
        <x:v>14. Generative AI, Agents, RAG, AI Safety &amp; Governance</x:v>
      </x:c>
      <x:c r="C33" s="115" t="str">
        <x:v>Foundation Models &amp; GenAI</x:v>
      </x:c>
      <x:c r="D33" s="115" t="str">
        <x:v>Adopt &amp; Build</x:v>
      </x:c>
      <x:c r="E33" s="115" t="str">
        <x:v>Security, Privacy &amp; Compliance
Cost &amp; FinOps
Operations &amp; Support
Reliability &amp; Resilience
Performance &amp; Scalability
Data Residency &amp; Sovereignty
Portability &amp; Exit
Responsible AI &amp; Model Risk</x:v>
      </x:c>
      <x:c r="F33" s="115" t="str">
        <x:v>07 AI &amp; Intelligent Systems</x:v>
      </x:c>
      <x:c r="G33" s="115" t="str">
        <x:v>AI &amp; Machine Learning</x:v>
      </x:c>
      <x:c r="H33" s="115" t="str">
        <x:v>Foundation models</x:v>
      </x:c>
      <x:c r="I33" s="115" t="str">
        <x:v>Provider foundation models</x:v>
      </x:c>
      <x:c r="J33" s="115" t="str">
        <x:v>Cloud-provider-developed multimodal foundation-model family.</x:v>
      </x:c>
      <x:c r="K33" s="115" t="str">
        <x:v>Choose this capability when you need to cloud-provider-developed multimodal foundation-model family.</x:v>
      </x:c>
      <x:c r="L33" s="115" t="str">
        <x:v>Do you need model choice, provider-native models, customisation, enterprise controls, or lowest operational effort?</x:v>
      </x:c>
      <x:c r="M33" s="115" t="str">
        <x:v>Managed speed and native integration versus model portability, transparency and control.</x:v>
      </x:c>
      <x:c r="N33" s="115" t="n">
        <x:v>3</x:v>
      </x:c>
      <x:c r="O33" s="115" t="str">
        <x:v>Moderate</x:v>
      </x:c>
      <x:c r="P33" s="115" t="str">
        <x:v>1–3 weeks</x:v>
      </x:c>
      <x:c r="Q33" s="115" t="str">
        <x:v>Medium</x:v>
      </x:c>
      <x:c r="R33" s="115" t="str">
        <x:v>Amazon Nova</x:v>
      </x:c>
      <x:c r="S33" s="115" t="str">
        <x:v>Phi models</x:v>
      </x:c>
      <x:c r="T33" s="115" t="str">
        <x:v>Gemini models</x:v>
      </x:c>
      <x:c r="U33" s="115" t="n">
        <x:v>3.91</x:v>
      </x:c>
      <x:c r="V33" s="115" t="n">
        <x:v>4.01</x:v>
      </x:c>
      <x:c r="W33" s="115" t="n">
        <x:v>4.18</x:v>
      </x:c>
      <x:c r="X33" s="118" t="str">
        <x:v>GCP</x:v>
      </x:c>
      <x:c r="Y33" s="115" t="str">
        <x:v>Start with Google Cloud when data, AI, Kubernetes, network or managed developer experience is the main differentiator.</x:v>
      </x:c>
      <x:c r="Z33" s="115" t="str">
        <x:v>Close</x:v>
      </x:c>
      <x:c r="AA33" s="115"/>
      <x:c r="AB33" s="115" t="str">
        <x:v>2026-07-12</x:v>
      </x:c>
      <x:c r="AC33" s="115" t="str">
        <x:v>Scored and mapped</x:v>
      </x:c>
      <x:c r="AD33" s="115" t="str">
        <x:v>https://docs.cloud.google.com/docs/product-list</x:v>
      </x:c>
    </x:row>
    <x:row r="34">
      <x:c r="A34" s="115" t="str">
        <x:v>3. Data &amp; Intelligence</x:v>
      </x:c>
      <x:c r="B34" s="115" t="str">
        <x:v>14. Generative AI, Agents, RAG, AI Safety &amp; Governance</x:v>
      </x:c>
      <x:c r="C34" s="115" t="str">
        <x:v>Foundation Models &amp; GenAI</x:v>
      </x:c>
      <x:c r="D34" s="115" t="str">
        <x:v>Adopt &amp; Build</x:v>
      </x:c>
      <x:c r="E34" s="115" t="str">
        <x:v>Security, Privacy &amp; Compliance
Cost &amp; FinOps
Operations &amp; Support
Reliability &amp; Resilience
Performance &amp; Scalability
Data Residency &amp; Sovereignty
Portability &amp; Exit
Responsible AI &amp; Model Risk</x:v>
      </x:c>
      <x:c r="F34" s="115" t="str">
        <x:v>07 AI &amp; Intelligent Systems</x:v>
      </x:c>
      <x:c r="G34" s="115" t="str">
        <x:v>AI &amp; Machine Learning</x:v>
      </x:c>
      <x:c r="H34" s="115" t="str">
        <x:v>Model catalogue</x:v>
      </x:c>
      <x:c r="I34" s="115" t="str">
        <x:v>Foundation-model catalogue</x:v>
      </x:c>
      <x:c r="J34" s="115" t="str">
        <x:v>Discover and deploy first-party and partner models from a managed catalogue.</x:v>
      </x:c>
      <x:c r="K34" s="115" t="str">
        <x:v>Choose this capability when you need to discover and deploy first-party and partner models from a managed catalogue.</x:v>
      </x:c>
      <x:c r="L34" s="115" t="str">
        <x:v>Do you need model choice, provider-native models, customisation, enterprise controls, or lowest operational effort?</x:v>
      </x:c>
      <x:c r="M34" s="115" t="str">
        <x:v>Managed speed and native integration versus model portability, transparency and control.</x:v>
      </x:c>
      <x:c r="N34" s="115" t="n">
        <x:v>3</x:v>
      </x:c>
      <x:c r="O34" s="115" t="str">
        <x:v>Moderate</x:v>
      </x:c>
      <x:c r="P34" s="115" t="str">
        <x:v>1–3 weeks</x:v>
      </x:c>
      <x:c r="Q34" s="115" t="str">
        <x:v>High</x:v>
      </x:c>
      <x:c r="R34" s="115" t="str">
        <x:v>Amazon Bedrock model catalog
Amazon SageMaker JumpStart</x:v>
      </x:c>
      <x:c r="S34" s="115" t="str">
        <x:v>Foundry Models</x:v>
      </x:c>
      <x:c r="T34" s="115" t="str">
        <x:v>Vertex AI Model Garden</x:v>
      </x:c>
      <x:c r="U34" s="115" t="n">
        <x:v>3.79</x:v>
      </x:c>
      <x:c r="V34" s="115" t="n">
        <x:v>3.97</x:v>
      </x:c>
      <x:c r="W34" s="115" t="n">
        <x:v>4.14</x:v>
      </x:c>
      <x:c r="X34" s="118" t="str">
        <x:v>GCP</x:v>
      </x:c>
      <x:c r="Y34" s="115" t="str">
        <x:v>Start with Google Cloud when data, AI, Kubernetes, network or managed developer experience is the main differentiator.</x:v>
      </x:c>
      <x:c r="Z34" s="115" t="str">
        <x:v>Close</x:v>
      </x:c>
      <x:c r="AA34" s="115"/>
      <x:c r="AB34" s="115" t="str">
        <x:v>2026-07-12</x:v>
      </x:c>
      <x:c r="AC34" s="115" t="str">
        <x:v>Scored and mapped</x:v>
      </x:c>
      <x:c r="AD34" s="115" t="str">
        <x:v>https://docs.cloud.google.com/docs/product-list</x:v>
      </x:c>
    </x:row>
    <x:row r="35">
      <x:c r="A35" s="115" t="str">
        <x:v>3. Data &amp; Intelligence</x:v>
      </x:c>
      <x:c r="B35" s="115" t="str">
        <x:v>14. Generative AI, Agents, RAG, AI Safety &amp; Governance</x:v>
      </x:c>
      <x:c r="C35" s="115" t="str">
        <x:v>Agents, RAG &amp; Enterprise Search</x:v>
      </x:c>
      <x:c r="D35" s="115" t="str">
        <x:v>Adopt &amp; Build</x:v>
      </x:c>
      <x:c r="E35" s="115" t="str">
        <x:v>Security, Privacy &amp; Compliance
Cost &amp; FinOps
Operations &amp; Support
Reliability &amp; Resilience
Performance &amp; Scalability
Data Residency &amp; Sovereignty
Portability &amp; Exit
Responsible AI &amp; Model Risk</x:v>
      </x:c>
      <x:c r="F35" s="115" t="str">
        <x:v>07 AI &amp; Intelligent Systems</x:v>
      </x:c>
      <x:c r="G35" s="115" t="str">
        <x:v>AI &amp; Machine Learning</x:v>
      </x:c>
      <x:c r="H35" s="115" t="str">
        <x:v>Agents</x:v>
      </x:c>
      <x:c r="I35" s="115" t="str">
        <x:v>Managed AI agent platform</x:v>
      </x:c>
      <x:c r="J35" s="115" t="str">
        <x:v>Build, deploy and operate agents that reason, retrieve information and invoke tools.</x:v>
      </x:c>
      <x:c r="K35" s="115" t="str">
        <x:v>Choose this capability when you need to build, deploy and operate agents that reason, retrieve information and invoke tools.</x:v>
      </x:c>
      <x:c r="L35" s="115" t="str">
        <x:v>What must the system retrieve, reason over, call as tools, govern and observe?</x:v>
      </x:c>
      <x:c r="M35" s="115" t="str">
        <x:v>Managed speed and native integration versus model portability, transparency and control.</x:v>
      </x:c>
      <x:c r="N35" s="115" t="n">
        <x:v>3</x:v>
      </x:c>
      <x:c r="O35" s="115" t="str">
        <x:v>Moderate</x:v>
      </x:c>
      <x:c r="P35" s="115" t="str">
        <x:v>1–3 weeks</x:v>
      </x:c>
      <x:c r="Q35" s="115" t="str">
        <x:v>Medium</x:v>
      </x:c>
      <x:c r="R35" s="115" t="str">
        <x:v>Agents for Amazon Bedrock
Amazon Bedrock AgentCore</x:v>
      </x:c>
      <x:c r="S35" s="115" t="str">
        <x:v>Foundry Agent Service</x:v>
      </x:c>
      <x:c r="T35" s="115" t="str">
        <x:v>Vertex AI Agent Engine
Gemini Enterprise Agent Platform</x:v>
      </x:c>
      <x:c r="U35" s="115" t="n">
        <x:v>3.8</x:v>
      </x:c>
      <x:c r="V35" s="115" t="n">
        <x:v>3.93</x:v>
      </x:c>
      <x:c r="W35" s="115" t="n">
        <x:v>3.98</x:v>
      </x:c>
      <x:c r="X35" s="118" t="str">
        <x:v>Context-dependent tie</x:v>
      </x:c>
      <x:c r="Y35" s="115" t="str">
        <x:v>Scores are close: use ecosystem, data gravity, region, skills, commercials and proof-of-value results to decide.</x:v>
      </x:c>
      <x:c r="Z35" s="115" t="str">
        <x:v>Close</x:v>
      </x:c>
      <x:c r="AA35" s="115"/>
      <x:c r="AB35" s="115" t="str">
        <x:v>2026-07-12</x:v>
      </x:c>
      <x:c r="AC35" s="115" t="str">
        <x:v>Scored and mapped</x:v>
      </x:c>
      <x:c r="AD35" s="115" t="str">
        <x:v>https://docs.cloud.google.com/docs/product-list</x:v>
      </x:c>
    </x:row>
    <x:row r="36">
      <x:c r="A36" s="115" t="str">
        <x:v>3. Data &amp; Intelligence</x:v>
      </x:c>
      <x:c r="B36" s="115" t="str">
        <x:v>14. Generative AI, Agents, RAG, AI Safety &amp; Governance</x:v>
      </x:c>
      <x:c r="C36" s="115" t="str">
        <x:v>Agents, RAG &amp; Enterprise Search</x:v>
      </x:c>
      <x:c r="D36" s="115" t="str">
        <x:v>Adopt &amp; Build</x:v>
      </x:c>
      <x:c r="E36" s="115" t="str">
        <x:v>Security, Privacy &amp; Compliance
Cost &amp; FinOps
Operations &amp; Support
Reliability &amp; Resilience
Performance &amp; Scalability
Data Residency &amp; Sovereignty
Portability &amp; Exit
Responsible AI &amp; Model Risk</x:v>
      </x:c>
      <x:c r="F36" s="115" t="str">
        <x:v>07 AI &amp; Intelligent Systems</x:v>
      </x:c>
      <x:c r="G36" s="115" t="str">
        <x:v>AI &amp; Machine Learning</x:v>
      </x:c>
      <x:c r="H36" s="115" t="str">
        <x:v>Agents</x:v>
      </x:c>
      <x:c r="I36" s="115" t="str">
        <x:v>Multi-agent orchestration</x:v>
      </x:c>
      <x:c r="J36" s="115" t="str">
        <x:v>Coordinate specialised AI agents, workflows and tools to complete complex tasks.</x:v>
      </x:c>
      <x:c r="K36" s="115" t="str">
        <x:v>Choose this capability when you need to coordinate specialised ai agents, workflows and tools to complete complex tasks.</x:v>
      </x:c>
      <x:c r="L36" s="115" t="str">
        <x:v>What must the system retrieve, reason over, call as tools, govern and observe?</x:v>
      </x:c>
      <x:c r="M36" s="115" t="str">
        <x:v>Managed speed and native integration versus model portability, transparency and control.</x:v>
      </x:c>
      <x:c r="N36" s="115" t="n">
        <x:v>2</x:v>
      </x:c>
      <x:c r="O36" s="115" t="str">
        <x:v>Advanced</x:v>
      </x:c>
      <x:c r="P36" s="115" t="str">
        <x:v>3–8 weeks</x:v>
      </x:c>
      <x:c r="Q36" s="115" t="str">
        <x:v>Medium</x:v>
      </x:c>
      <x:c r="R36" s="115" t="str">
        <x:v>Amazon Bedrock multi-agent collaboration</x:v>
      </x:c>
      <x:c r="S36" s="115" t="str">
        <x:v>Foundry Agent Service</x:v>
      </x:c>
      <x:c r="T36" s="115" t="str">
        <x:v>Agent Development Kit
Vertex AI Agent Engine</x:v>
      </x:c>
      <x:c r="U36" s="115" t="n">
        <x:v>3.68</x:v>
      </x:c>
      <x:c r="V36" s="115" t="n">
        <x:v>3.73</x:v>
      </x:c>
      <x:c r="W36" s="115" t="n">
        <x:v>3.75</x:v>
      </x:c>
      <x:c r="X36" s="118" t="str">
        <x:v>Context-dependent tie</x:v>
      </x:c>
      <x:c r="Y36" s="115" t="str">
        <x:v>Scores are close: use ecosystem, data gravity, region, skills, commercials and proof-of-value results to decide.</x:v>
      </x:c>
      <x:c r="Z36" s="115" t="str">
        <x:v>Close</x:v>
      </x:c>
      <x:c r="AA36" s="115"/>
      <x:c r="AB36" s="115" t="str">
        <x:v>2026-07-12</x:v>
      </x:c>
      <x:c r="AC36" s="115" t="str">
        <x:v>Scored and mapped</x:v>
      </x:c>
      <x:c r="AD36" s="115" t="str">
        <x:v>https://docs.cloud.google.com/docs/product-list</x:v>
      </x:c>
    </x:row>
    <x:row r="37">
      <x:c r="A37" s="115" t="str">
        <x:v>3. Data &amp; Intelligence</x:v>
      </x:c>
      <x:c r="B37" s="115" t="str">
        <x:v>14. Generative AI, Agents, RAG, AI Safety &amp; Governance</x:v>
      </x:c>
      <x:c r="C37" s="115" t="str">
        <x:v>Agents, RAG &amp; Enterprise Search</x:v>
      </x:c>
      <x:c r="D37" s="115" t="str">
        <x:v>Adopt &amp; Build</x:v>
      </x:c>
      <x:c r="E37" s="115" t="str">
        <x:v>Security, Privacy &amp; Compliance
Cost &amp; FinOps
Operations &amp; Support
Reliability &amp; Resilience
Performance &amp; Scalability
Data Residency &amp; Sovereignty
Portability &amp; Exit
Responsible AI &amp; Model Risk</x:v>
      </x:c>
      <x:c r="F37" s="115" t="str">
        <x:v>07 AI &amp; Intelligent Systems</x:v>
      </x:c>
      <x:c r="G37" s="115" t="str">
        <x:v>AI &amp; Machine Learning</x:v>
      </x:c>
      <x:c r="H37" s="115" t="str">
        <x:v>RAG</x:v>
      </x:c>
      <x:c r="I37" s="115" t="str">
        <x:v>Managed knowledge bases for RAG</x:v>
      </x:c>
      <x:c r="J37" s="115" t="str">
        <x:v>Connect enterprise content to foundation models for grounded retrieval-augmented generation.</x:v>
      </x:c>
      <x:c r="K37" s="115" t="str">
        <x:v>Choose this capability when you need to connect enterprise content to foundation models for grounded retrieval-augmented generation.</x:v>
      </x:c>
      <x:c r="L37" s="115" t="str">
        <x:v>What must the system retrieve, reason over, call as tools, govern and observe?</x:v>
      </x:c>
      <x:c r="M37" s="115" t="str">
        <x:v>Managed speed and native integration versus model portability, transparency and control.</x:v>
      </x:c>
      <x:c r="N37" s="115" t="n">
        <x:v>3</x:v>
      </x:c>
      <x:c r="O37" s="115" t="str">
        <x:v>Moderate</x:v>
      </x:c>
      <x:c r="P37" s="115" t="str">
        <x:v>1–3 weeks</x:v>
      </x:c>
      <x:c r="Q37" s="115" t="str">
        <x:v>Medium</x:v>
      </x:c>
      <x:c r="R37" s="115" t="str">
        <x:v>Knowledge Bases for Amazon Bedrock</x:v>
      </x:c>
      <x:c r="S37" s="115" t="str">
        <x:v>Azure AI Search
Foundry IQ</x:v>
      </x:c>
      <x:c r="T37" s="115" t="str">
        <x:v>Vertex AI Search
Vertex AI RAG Engine</x:v>
      </x:c>
      <x:c r="U37" s="115" t="n">
        <x:v>3.88</x:v>
      </x:c>
      <x:c r="V37" s="115" t="n">
        <x:v>3.84</x:v>
      </x:c>
      <x:c r="W37" s="115" t="n">
        <x:v>3.95</x:v>
      </x:c>
      <x:c r="X37" s="118" t="str">
        <x:v>Context-dependent tie</x:v>
      </x:c>
      <x:c r="Y37" s="115" t="str">
        <x:v>Scores are close: use ecosystem, data gravity, region, skills, commercials and proof-of-value results to decide.</x:v>
      </x:c>
      <x:c r="Z37" s="115" t="str">
        <x:v>Close</x:v>
      </x:c>
      <x:c r="AA37" s="115"/>
      <x:c r="AB37" s="115" t="str">
        <x:v>2026-07-12</x:v>
      </x:c>
      <x:c r="AC37" s="115" t="str">
        <x:v>Scored and mapped</x:v>
      </x:c>
      <x:c r="AD37" s="115" t="str">
        <x:v>https://docs.cloud.google.com/docs/product-list</x:v>
      </x:c>
    </x:row>
    <x:row r="38">
      <x:c r="A38" s="115" t="str">
        <x:v>3. Data &amp; Intelligence</x:v>
      </x:c>
      <x:c r="B38" s="115" t="str">
        <x:v>14. Generative AI, Agents, RAG, AI Safety &amp; Governance</x:v>
      </x:c>
      <x:c r="C38" s="115" t="str">
        <x:v>Agents, RAG &amp; Enterprise Search</x:v>
      </x:c>
      <x:c r="D38" s="115" t="str">
        <x:v>Adopt &amp; Build</x:v>
      </x:c>
      <x:c r="E38" s="115" t="str">
        <x:v>Security, Privacy &amp; Compliance
Cost &amp; FinOps
Operations &amp; Support
Reliability &amp; Resilience
Performance &amp; Scalability
Data Residency &amp; Sovereignty
Portability &amp; Exit
Responsible AI &amp; Model Risk</x:v>
      </x:c>
      <x:c r="F38" s="115" t="str">
        <x:v>07 AI &amp; Intelligent Systems</x:v>
      </x:c>
      <x:c r="G38" s="115" t="str">
        <x:v>AI &amp; Machine Learning</x:v>
      </x:c>
      <x:c r="H38" s="115" t="str">
        <x:v>Enterprise search</x:v>
      </x:c>
      <x:c r="I38" s="115" t="str">
        <x:v>AI-powered enterprise search</x:v>
      </x:c>
      <x:c r="J38" s="115" t="str">
        <x:v>Index and retrieve enterprise information using semantic and generative search.</x:v>
      </x:c>
      <x:c r="K38" s="115" t="str">
        <x:v>Choose this capability when you need to index and retrieve enterprise information using semantic and generative search.</x:v>
      </x:c>
      <x:c r="L38" s="115" t="str">
        <x:v>What must the system retrieve, reason over, call as tools, govern and observe?</x:v>
      </x:c>
      <x:c r="M38" s="115" t="str">
        <x:v>Managed speed and native integration versus model portability, transparency and control.</x:v>
      </x:c>
      <x:c r="N38" s="115" t="n">
        <x:v>3</x:v>
      </x:c>
      <x:c r="O38" s="115" t="str">
        <x:v>Moderate</x:v>
      </x:c>
      <x:c r="P38" s="115" t="str">
        <x:v>1–3 weeks</x:v>
      </x:c>
      <x:c r="Q38" s="115" t="str">
        <x:v>Medium</x:v>
      </x:c>
      <x:c r="R38" s="115" t="str">
        <x:v>Amazon Kendra
Amazon OpenSearch Service</x:v>
      </x:c>
      <x:c r="S38" s="115" t="str">
        <x:v>Azure AI Search</x:v>
      </x:c>
      <x:c r="T38" s="115" t="str">
        <x:v>Vertex AI Search</x:v>
      </x:c>
      <x:c r="U38" s="115" t="n">
        <x:v>3.8</x:v>
      </x:c>
      <x:c r="V38" s="115" t="n">
        <x:v>3.93</x:v>
      </x:c>
      <x:c r="W38" s="115" t="n">
        <x:v>4.1</x:v>
      </x:c>
      <x:c r="X38" s="118" t="str">
        <x:v>GCP</x:v>
      </x:c>
      <x:c r="Y38" s="115" t="str">
        <x:v>Start with Google Cloud when data, AI, Kubernetes, network or managed developer experience is the main differentiator.</x:v>
      </x:c>
      <x:c r="Z38" s="115" t="str">
        <x:v>Close</x:v>
      </x:c>
      <x:c r="AA38" s="115"/>
      <x:c r="AB38" s="115" t="str">
        <x:v>2026-07-12</x:v>
      </x:c>
      <x:c r="AC38" s="115" t="str">
        <x:v>Scored and mapped</x:v>
      </x:c>
      <x:c r="AD38" s="115" t="str">
        <x:v>https://docs.cloud.google.com/docs/product-list</x:v>
      </x:c>
    </x:row>
    <x:row r="39">
      <x:c r="A39" s="115" t="str">
        <x:v>3. Data &amp; Intelligence</x:v>
      </x:c>
      <x:c r="B39" s="115" t="str">
        <x:v>14. Generative AI, Agents, RAG, AI Safety &amp; Governance</x:v>
      </x:c>
      <x:c r="C39" s="115" t="str">
        <x:v>Agents, RAG &amp; Enterprise Search</x:v>
      </x:c>
      <x:c r="D39" s="115" t="str">
        <x:v>Adopt &amp; Build</x:v>
      </x:c>
      <x:c r="E39" s="115" t="str">
        <x:v>Security, Privacy &amp; Compliance
Cost &amp; FinOps
Operations &amp; Support
Reliability &amp; Resilience
Performance &amp; Scalability
Data Residency &amp; Sovereignty
Portability &amp; Exit
Responsible AI &amp; Model Risk</x:v>
      </x:c>
      <x:c r="F39" s="115" t="str">
        <x:v>07 AI &amp; Intelligent Systems</x:v>
      </x:c>
      <x:c r="G39" s="115" t="str">
        <x:v>AI &amp; Machine Learning</x:v>
      </x:c>
      <x:c r="H39" s="115" t="str">
        <x:v>Vector search</x:v>
      </x:c>
      <x:c r="I39" s="115" t="str">
        <x:v>Managed vector search</x:v>
      </x:c>
      <x:c r="J39" s="115" t="str">
        <x:v>Store embeddings and run similarity search for RAG and recommendation workloads.</x:v>
      </x:c>
      <x:c r="K39" s="115" t="str">
        <x:v>Choose this capability when you need to store embeddings and run similarity search for rag and recommendation workloads.</x:v>
      </x:c>
      <x:c r="L39" s="115" t="str">
        <x:v>What must the system retrieve, reason over, call as tools, govern and observe?</x:v>
      </x:c>
      <x:c r="M39" s="115" t="str">
        <x:v>Managed speed and native integration versus model portability, transparency and control.</x:v>
      </x:c>
      <x:c r="N39" s="115" t="n">
        <x:v>3</x:v>
      </x:c>
      <x:c r="O39" s="115" t="str">
        <x:v>Moderate</x:v>
      </x:c>
      <x:c r="P39" s="115" t="str">
        <x:v>1–3 weeks</x:v>
      </x:c>
      <x:c r="Q39" s="115" t="str">
        <x:v>Medium</x:v>
      </x:c>
      <x:c r="R39" s="115" t="str">
        <x:v>Amazon OpenSearch Service vector engine
Amazon Aurora PostgreSQL pgvector
Amazon DocumentDB vector search</x:v>
      </x:c>
      <x:c r="S39" s="115" t="str">
        <x:v>Azure AI Search vector search
Azure Cosmos DB vector search
Azure Database for PostgreSQL pgvector</x:v>
      </x:c>
      <x:c r="T39" s="115" t="str">
        <x:v>Vertex AI Vector Search
AlloyDB AI
Cloud SQL pgvector</x:v>
      </x:c>
      <x:c r="U39" s="115" t="n">
        <x:v>3.8</x:v>
      </x:c>
      <x:c r="V39" s="115" t="n">
        <x:v>3.84</x:v>
      </x:c>
      <x:c r="W39" s="115" t="n">
        <x:v>3.95</x:v>
      </x:c>
      <x:c r="X39" s="118" t="str">
        <x:v>Context-dependent tie</x:v>
      </x:c>
      <x:c r="Y39" s="115" t="str">
        <x:v>Scores are close: use ecosystem, data gravity, region, skills, commercials and proof-of-value results to decide.</x:v>
      </x:c>
      <x:c r="Z39" s="115" t="str">
        <x:v>Close</x:v>
      </x:c>
      <x:c r="AA39" s="115"/>
      <x:c r="AB39" s="115" t="str">
        <x:v>2026-07-12</x:v>
      </x:c>
      <x:c r="AC39" s="115" t="str">
        <x:v>Scored and mapped</x:v>
      </x:c>
      <x:c r="AD39" s="115" t="str">
        <x:v>https://docs.cloud.google.com/docs/product-list</x:v>
      </x:c>
    </x:row>
    <x:row r="40">
      <x:c r="A40" s="115" t="str">
        <x:v>3. Data &amp; Intelligence</x:v>
      </x:c>
      <x:c r="B40" s="115" t="str">
        <x:v>14. Generative AI, Agents, RAG, AI Safety &amp; Governance</x:v>
      </x:c>
      <x:c r="C40" s="115" t="str">
        <x:v>Foundation Models &amp; GenAI</x:v>
      </x:c>
      <x:c r="D40" s="115" t="str">
        <x:v>Adopt &amp; Build</x:v>
      </x:c>
      <x:c r="E40" s="115" t="str">
        <x:v>Security, Privacy &amp; Compliance
Cost &amp; FinOps
Operations &amp; Support
Reliability &amp; Resilience
Performance &amp; Scalability
Data Residency &amp; Sovereignty
Portability &amp; Exit
Responsible AI &amp; Model Risk</x:v>
      </x:c>
      <x:c r="F40" s="115" t="str">
        <x:v>07 AI &amp; Intelligent Systems</x:v>
      </x:c>
      <x:c r="G40" s="115" t="str">
        <x:v>AI &amp; Machine Learning</x:v>
      </x:c>
      <x:c r="H40" s="115" t="str">
        <x:v>Model customisation</x:v>
      </x:c>
      <x:c r="I40" s="115" t="str">
        <x:v>Foundation-model customisation</x:v>
      </x:c>
      <x:c r="J40" s="115" t="str">
        <x:v>Adapt a foundation model using fine-tuning, continued pre-training or customisation techniques.</x:v>
      </x:c>
      <x:c r="K40" s="115" t="str">
        <x:v>Choose this capability when you need to adapt a foundation model using fine-tuning, continued pre-training or customisation techniques.</x:v>
      </x:c>
      <x:c r="L40" s="115" t="str">
        <x:v>Do you need model choice, provider-native models, customisation, enterprise controls, or lowest operational effort?</x:v>
      </x:c>
      <x:c r="M40" s="115" t="str">
        <x:v>Managed speed and native integration versus model portability, transparency and control.</x:v>
      </x:c>
      <x:c r="N40" s="115" t="n">
        <x:v>3</x:v>
      </x:c>
      <x:c r="O40" s="115" t="str">
        <x:v>Moderate</x:v>
      </x:c>
      <x:c r="P40" s="115" t="str">
        <x:v>1–3 weeks</x:v>
      </x:c>
      <x:c r="Q40" s="115" t="str">
        <x:v>High</x:v>
      </x:c>
      <x:c r="R40" s="115" t="str">
        <x:v>Amazon Bedrock model customization
Amazon SageMaker AI</x:v>
      </x:c>
      <x:c r="S40" s="115" t="str">
        <x:v>Azure OpenAI fine-tuning
Azure Machine Learning</x:v>
      </x:c>
      <x:c r="T40" s="115" t="str">
        <x:v>Vertex AI tuning</x:v>
      </x:c>
      <x:c r="U40" s="115" t="n">
        <x:v>3.79</x:v>
      </x:c>
      <x:c r="V40" s="115" t="n">
        <x:v>3.88</x:v>
      </x:c>
      <x:c r="W40" s="115" t="n">
        <x:v>4.14</x:v>
      </x:c>
      <x:c r="X40" s="118" t="str">
        <x:v>GCP</x:v>
      </x:c>
      <x:c r="Y40" s="115" t="str">
        <x:v>Start with Google Cloud when data, AI, Kubernetes, network or managed developer experience is the main differentiator.</x:v>
      </x:c>
      <x:c r="Z40" s="115" t="str">
        <x:v>Close</x:v>
      </x:c>
      <x:c r="AA40" s="115"/>
      <x:c r="AB40" s="115" t="str">
        <x:v>2026-07-12</x:v>
      </x:c>
      <x:c r="AC40" s="115" t="str">
        <x:v>Scored and mapped</x:v>
      </x:c>
      <x:c r="AD40" s="115" t="str">
        <x:v>https://docs.cloud.google.com/docs/product-list</x:v>
      </x:c>
    </x:row>
    <x:row r="41">
      <x:c r="A41" s="115" t="str">
        <x:v>3. Data &amp; Intelligence</x:v>
      </x:c>
      <x:c r="B41" s="115" t="str">
        <x:v>14. Generative AI, Agents, RAG, AI Safety &amp; Governance</x:v>
      </x:c>
      <x:c r="C41" s="115" t="str">
        <x:v>Foundation Models &amp; GenAI</x:v>
      </x:c>
      <x:c r="D41" s="115" t="str">
        <x:v>Adopt &amp; Build</x:v>
      </x:c>
      <x:c r="E41" s="115" t="str">
        <x:v>Security, Privacy &amp; Compliance
Cost &amp; FinOps
Operations &amp; Support
Reliability &amp; Resilience
Performance &amp; Scalability
Data Residency &amp; Sovereignty
Portability &amp; Exit
Responsible AI &amp; Model Risk</x:v>
      </x:c>
      <x:c r="F41" s="115" t="str">
        <x:v>07 AI &amp; Intelligent Systems</x:v>
      </x:c>
      <x:c r="G41" s="115" t="str">
        <x:v>AI &amp; Machine Learning</x:v>
      </x:c>
      <x:c r="H41" s="115" t="str">
        <x:v>Prompt engineering</x:v>
      </x:c>
      <x:c r="I41" s="115" t="str">
        <x:v>Prompt development and orchestration</x:v>
      </x:c>
      <x:c r="J41" s="115" t="str">
        <x:v>Design, test, version and connect prompts into AI workflows.</x:v>
      </x:c>
      <x:c r="K41" s="115" t="str">
        <x:v>Choose this capability when you need to design, test, version and connect prompts into ai workflows.</x:v>
      </x:c>
      <x:c r="L41" s="115" t="str">
        <x:v>Do you need model choice, provider-native models, customisation, enterprise controls, or lowest operational effort?</x:v>
      </x:c>
      <x:c r="M41" s="115" t="str">
        <x:v>Managed speed and native integration versus model portability, transparency and control.</x:v>
      </x:c>
      <x:c r="N41" s="115" t="n">
        <x:v>3</x:v>
      </x:c>
      <x:c r="O41" s="115" t="str">
        <x:v>Moderate</x:v>
      </x:c>
      <x:c r="P41" s="115" t="str">
        <x:v>1–3 weeks</x:v>
      </x:c>
      <x:c r="Q41" s="115" t="str">
        <x:v>Medium</x:v>
      </x:c>
      <x:c r="R41" s="115" t="str">
        <x:v>Amazon Bedrock Prompt management
Amazon Bedrock Flows</x:v>
      </x:c>
      <x:c r="S41" s="115" t="str">
        <x:v>Prompt flow in Microsoft Foundry</x:v>
      </x:c>
      <x:c r="T41" s="115" t="str">
        <x:v>Vertex AI Studio
Vertex AI prompt management</x:v>
      </x:c>
      <x:c r="U41" s="115" t="n">
        <x:v>3.83</x:v>
      </x:c>
      <x:c r="V41" s="115" t="n">
        <x:v>4.01</x:v>
      </x:c>
      <x:c r="W41" s="115" t="n">
        <x:v>4.06</x:v>
      </x:c>
      <x:c r="X41" s="118" t="str">
        <x:v>Context-dependent tie</x:v>
      </x:c>
      <x:c r="Y41" s="115" t="str">
        <x:v>Scores are close: use ecosystem, data gravity, region, skills, commercials and proof-of-value results to decide.</x:v>
      </x:c>
      <x:c r="Z41" s="115" t="str">
        <x:v>Close</x:v>
      </x:c>
      <x:c r="AA41" s="115"/>
      <x:c r="AB41" s="115" t="str">
        <x:v>2026-07-12</x:v>
      </x:c>
      <x:c r="AC41" s="115" t="str">
        <x:v>Scored and mapped</x:v>
      </x:c>
      <x:c r="AD41" s="115" t="str">
        <x:v>https://docs.cloud.google.com/docs/product-list</x:v>
      </x:c>
    </x:row>
    <x:row r="42">
      <x:c r="A42" s="115" t="str">
        <x:v>3. Data &amp; Intelligence</x:v>
      </x:c>
      <x:c r="B42" s="115" t="str">
        <x:v>13. Traditional AI/ML, MLOps &amp; Cognitive APIs</x:v>
      </x:c>
      <x:c r="C42" s="115" t="str">
        <x:v>ML Platform &amp; MLOps</x:v>
      </x:c>
      <x:c r="D42" s="115" t="str">
        <x:v>Adopt &amp; Build</x:v>
      </x:c>
      <x:c r="E42" s="115" t="str">
        <x:v>Security, Privacy &amp; Compliance
Cost &amp; FinOps
Operations &amp; Support
Reliability &amp; Resilience
Performance &amp; Scalability
Data Residency &amp; Sovereignty
Portability &amp; Exit
Responsible AI &amp; Model Risk</x:v>
      </x:c>
      <x:c r="F42" s="115" t="str">
        <x:v>07 AI &amp; Intelligent Systems</x:v>
      </x:c>
      <x:c r="G42" s="115" t="str">
        <x:v>AI &amp; Machine Learning</x:v>
      </x:c>
      <x:c r="H42" s="115" t="str">
        <x:v>ML workbench</x:v>
      </x:c>
      <x:c r="I42" s="115" t="str">
        <x:v>Managed data-science notebooks</x:v>
      </x:c>
      <x:c r="J42" s="115" t="str">
        <x:v>Provide managed notebook environments for data exploration and model development.</x:v>
      </x:c>
      <x:c r="K42" s="115" t="str">
        <x:v>Choose this capability when you need to provide managed notebook environments for data exploration and model development.</x:v>
      </x:c>
      <x:c r="L42" s="115" t="str">
        <x:v>Do you need notebooks only, or an end-to-end governed training, registry, deployment and monitoring platform?</x:v>
      </x:c>
      <x:c r="M42" s="115" t="str">
        <x:v>Managed speed and native integration versus model portability, transparency and control.</x:v>
      </x:c>
      <x:c r="N42" s="115" t="n">
        <x:v>3</x:v>
      </x:c>
      <x:c r="O42" s="115" t="str">
        <x:v>Moderate</x:v>
      </x:c>
      <x:c r="P42" s="115" t="str">
        <x:v>1–3 weeks</x:v>
      </x:c>
      <x:c r="Q42" s="115" t="str">
        <x:v>Medium</x:v>
      </x:c>
      <x:c r="R42" s="115" t="str">
        <x:v>Amazon SageMaker Studio</x:v>
      </x:c>
      <x:c r="S42" s="115" t="str">
        <x:v>Azure Machine Learning notebooks
Data Science Virtual Machines</x:v>
      </x:c>
      <x:c r="T42" s="115" t="str">
        <x:v>Vertex AI Workbench
Colab Enterprise</x:v>
      </x:c>
      <x:c r="U42" s="115" t="n">
        <x:v>3.88</x:v>
      </x:c>
      <x:c r="V42" s="115" t="n">
        <x:v>3.84</x:v>
      </x:c>
      <x:c r="W42" s="115" t="n">
        <x:v>4.09</x:v>
      </x:c>
      <x:c r="X42" s="118" t="str">
        <x:v>GCP</x:v>
      </x:c>
      <x:c r="Y42" s="115" t="str">
        <x:v>Start with Google Cloud when data, AI, Kubernetes, network or managed developer experience is the main differentiator.</x:v>
      </x:c>
      <x:c r="Z42" s="115" t="str">
        <x:v>Close</x:v>
      </x:c>
      <x:c r="AA42" s="115"/>
      <x:c r="AB42" s="115" t="str">
        <x:v>2026-07-12</x:v>
      </x:c>
      <x:c r="AC42" s="115" t="str">
        <x:v>Scored and mapped</x:v>
      </x:c>
      <x:c r="AD42" s="115" t="str">
        <x:v>https://docs.cloud.google.com/docs/product-list</x:v>
      </x:c>
    </x:row>
    <x:row r="43">
      <x:c r="A43" s="115" t="str">
        <x:v>3. Data &amp; Intelligence</x:v>
      </x:c>
      <x:c r="B43" s="115" t="str">
        <x:v>13. Traditional AI/ML, MLOps &amp; Cognitive APIs</x:v>
      </x:c>
      <x:c r="C43" s="115" t="str">
        <x:v>ML Platform &amp; MLOps</x:v>
      </x:c>
      <x:c r="D43" s="115" t="str">
        <x:v>Adopt &amp; Build</x:v>
      </x:c>
      <x:c r="E43" s="115" t="str">
        <x:v>Security, Privacy &amp; Compliance
Cost &amp; FinOps
Operations &amp; Support
Reliability &amp; Resilience
Performance &amp; Scalability
Data Residency &amp; Sovereignty
Portability &amp; Exit
Responsible AI &amp; Model Risk</x:v>
      </x:c>
      <x:c r="F43" s="115" t="str">
        <x:v>07 AI &amp; Intelligent Systems</x:v>
      </x:c>
      <x:c r="G43" s="115" t="str">
        <x:v>AI &amp; Machine Learning</x:v>
      </x:c>
      <x:c r="H43" s="115" t="str">
        <x:v>Training</x:v>
      </x:c>
      <x:c r="I43" s="115" t="str">
        <x:v>Managed model training</x:v>
      </x:c>
      <x:c r="J43" s="115" t="str">
        <x:v>Run managed, scalable training jobs using CPUs, GPUs or specialised accelerators.</x:v>
      </x:c>
      <x:c r="K43" s="115" t="str">
        <x:v>Choose this capability when you need to run managed, scalable training jobs using cpus, gpus or specialised accelerators.</x:v>
      </x:c>
      <x:c r="L43" s="115" t="str">
        <x:v>Do you need notebooks only, or an end-to-end governed training, registry, deployment and monitoring platform?</x:v>
      </x:c>
      <x:c r="M43" s="115" t="str">
        <x:v>Managed speed and native integration versus model portability, transparency and control.</x:v>
      </x:c>
      <x:c r="N43" s="115" t="n">
        <x:v>3</x:v>
      </x:c>
      <x:c r="O43" s="115" t="str">
        <x:v>Moderate</x:v>
      </x:c>
      <x:c r="P43" s="115" t="str">
        <x:v>1–3 weeks</x:v>
      </x:c>
      <x:c r="Q43" s="115" t="str">
        <x:v>Medium</x:v>
      </x:c>
      <x:c r="R43" s="115" t="str">
        <x:v>Amazon SageMaker Training</x:v>
      </x:c>
      <x:c r="S43" s="115" t="str">
        <x:v>Azure Machine Learning training</x:v>
      </x:c>
      <x:c r="T43" s="115" t="str">
        <x:v>Vertex AI Training
Agent Platform Managed Training</x:v>
      </x:c>
      <x:c r="U43" s="115" t="n">
        <x:v>3.88</x:v>
      </x:c>
      <x:c r="V43" s="115" t="n">
        <x:v>3.93</x:v>
      </x:c>
      <x:c r="W43" s="115" t="n">
        <x:v>4.09</x:v>
      </x:c>
      <x:c r="X43" s="118" t="str">
        <x:v>GCP</x:v>
      </x:c>
      <x:c r="Y43" s="115" t="str">
        <x:v>Start with Google Cloud when data, AI, Kubernetes, network or managed developer experience is the main differentiator.</x:v>
      </x:c>
      <x:c r="Z43" s="115" t="str">
        <x:v>Close</x:v>
      </x:c>
      <x:c r="AA43" s="115"/>
      <x:c r="AB43" s="115" t="str">
        <x:v>2026-07-12</x:v>
      </x:c>
      <x:c r="AC43" s="115" t="str">
        <x:v>Scored and mapped</x:v>
      </x:c>
      <x:c r="AD43" s="115" t="str">
        <x:v>https://docs.cloud.google.com/docs/product-list</x:v>
      </x:c>
    </x:row>
    <x:row r="44">
      <x:c r="A44" s="115" t="str">
        <x:v>3. Data &amp; Intelligence</x:v>
      </x:c>
      <x:c r="B44" s="115" t="str">
        <x:v>13. Traditional AI/ML, MLOps &amp; Cognitive APIs</x:v>
      </x:c>
      <x:c r="C44" s="115" t="str">
        <x:v>ML Platform &amp; MLOps</x:v>
      </x:c>
      <x:c r="D44" s="115" t="str">
        <x:v>Adopt &amp; Build</x:v>
      </x:c>
      <x:c r="E44" s="115" t="str">
        <x:v>Security, Privacy &amp; Compliance
Cost &amp; FinOps
Operations &amp; Support
Reliability &amp; Resilience
Performance &amp; Scalability
Data Residency &amp; Sovereignty
Portability &amp; Exit
Responsible AI &amp; Model Risk</x:v>
      </x:c>
      <x:c r="F44" s="115" t="str">
        <x:v>07 AI &amp; Intelligent Systems</x:v>
      </x:c>
      <x:c r="G44" s="115" t="str">
        <x:v>AI &amp; Machine Learning</x:v>
      </x:c>
      <x:c r="H44" s="115" t="str">
        <x:v>AutoML</x:v>
      </x:c>
      <x:c r="I44" s="115" t="str">
        <x:v>Automated machine learning</x:v>
      </x:c>
      <x:c r="J44" s="115" t="str">
        <x:v>Automatically build and optimise models with reduced manual feature and algorithm work.</x:v>
      </x:c>
      <x:c r="K44" s="115" t="str">
        <x:v>Choose this capability when you need to automatically build and optimise models with reduced manual feature and algorithm work.</x:v>
      </x:c>
      <x:c r="L44" s="115" t="str">
        <x:v>Do you need notebooks only, or an end-to-end governed training, registry, deployment and monitoring platform?</x:v>
      </x:c>
      <x:c r="M44" s="115" t="str">
        <x:v>Managed speed and native integration versus model portability, transparency and control.</x:v>
      </x:c>
      <x:c r="N44" s="115" t="n">
        <x:v>3</x:v>
      </x:c>
      <x:c r="O44" s="115" t="str">
        <x:v>Moderate</x:v>
      </x:c>
      <x:c r="P44" s="115" t="str">
        <x:v>1–3 weeks</x:v>
      </x:c>
      <x:c r="Q44" s="115" t="str">
        <x:v>Medium</x:v>
      </x:c>
      <x:c r="R44" s="115" t="str">
        <x:v>SageMaker Autopilot</x:v>
      </x:c>
      <x:c r="S44" s="115" t="str">
        <x:v>Azure Automated ML</x:v>
      </x:c>
      <x:c r="T44" s="115" t="str">
        <x:v>Vertex AI AutoML</x:v>
      </x:c>
      <x:c r="U44" s="115" t="n">
        <x:v>3.95</x:v>
      </x:c>
      <x:c r="V44" s="115" t="n">
        <x:v>3.99</x:v>
      </x:c>
      <x:c r="W44" s="115" t="n">
        <x:v>4.24</x:v>
      </x:c>
      <x:c r="X44" s="118" t="str">
        <x:v>GCP</x:v>
      </x:c>
      <x:c r="Y44" s="115" t="str">
        <x:v>Start with Google Cloud when data, AI, Kubernetes, network or managed developer experience is the main differentiator.</x:v>
      </x:c>
      <x:c r="Z44" s="115" t="str">
        <x:v>Exact</x:v>
      </x:c>
      <x:c r="AA44" s="115"/>
      <x:c r="AB44" s="115" t="str">
        <x:v>2026-07-12</x:v>
      </x:c>
      <x:c r="AC44" s="115" t="str">
        <x:v>Scored and mapped</x:v>
      </x:c>
      <x:c r="AD44" s="115" t="str">
        <x:v>https://docs.cloud.google.com/docs/product-list</x:v>
      </x:c>
    </x:row>
    <x:row r="45">
      <x:c r="A45" s="115" t="str">
        <x:v>3. Data &amp; Intelligence</x:v>
      </x:c>
      <x:c r="B45" s="115" t="str">
        <x:v>13. Traditional AI/ML, MLOps &amp; Cognitive APIs</x:v>
      </x:c>
      <x:c r="C45" s="115" t="str">
        <x:v>ML Platform &amp; MLOps</x:v>
      </x:c>
      <x:c r="D45" s="115" t="str">
        <x:v>Adopt &amp; Build</x:v>
      </x:c>
      <x:c r="E45" s="115" t="str">
        <x:v>Security, Privacy &amp; Compliance
Cost &amp; FinOps
Operations &amp; Support
Reliability &amp; Resilience
Performance &amp; Scalability
Data Residency &amp; Sovereignty
Portability &amp; Exit
Responsible AI &amp; Model Risk</x:v>
      </x:c>
      <x:c r="F45" s="115" t="str">
        <x:v>07 AI &amp; Intelligent Systems</x:v>
      </x:c>
      <x:c r="G45" s="115" t="str">
        <x:v>AI &amp; Machine Learning</x:v>
      </x:c>
      <x:c r="H45" s="115" t="str">
        <x:v>MLOps</x:v>
      </x:c>
      <x:c r="I45" s="115" t="str">
        <x:v>ML pipelines</x:v>
      </x:c>
      <x:c r="J45" s="115" t="str">
        <x:v>Orchestrate repeatable data preparation, training, validation and deployment pipelines.</x:v>
      </x:c>
      <x:c r="K45" s="115" t="str">
        <x:v>Choose this capability when you need to orchestrate repeatable data preparation, training, validation and deployment pipelines.</x:v>
      </x:c>
      <x:c r="L45" s="115" t="str">
        <x:v>Do you need notebooks only, or an end-to-end governed training, registry, deployment and monitoring platform?</x:v>
      </x:c>
      <x:c r="M45" s="115" t="str">
        <x:v>Managed speed and native integration versus model portability, transparency and control.</x:v>
      </x:c>
      <x:c r="N45" s="115" t="n">
        <x:v>3</x:v>
      </x:c>
      <x:c r="O45" s="115" t="str">
        <x:v>Moderate</x:v>
      </x:c>
      <x:c r="P45" s="115" t="str">
        <x:v>1–3 weeks</x:v>
      </x:c>
      <x:c r="Q45" s="115" t="str">
        <x:v>Medium</x:v>
      </x:c>
      <x:c r="R45" s="115" t="str">
        <x:v>SageMaker Pipelines</x:v>
      </x:c>
      <x:c r="S45" s="115" t="str">
        <x:v>Azure Machine Learning pipelines</x:v>
      </x:c>
      <x:c r="T45" s="115" t="str">
        <x:v>Vertex AI Pipelines
Agent Platform Pipelines</x:v>
      </x:c>
      <x:c r="U45" s="115" t="n">
        <x:v>3.95</x:v>
      </x:c>
      <x:c r="V45" s="115" t="n">
        <x:v>3.99</x:v>
      </x:c>
      <x:c r="W45" s="115" t="n">
        <x:v>4.14</x:v>
      </x:c>
      <x:c r="X45" s="118" t="str">
        <x:v>GCP</x:v>
      </x:c>
      <x:c r="Y45" s="115" t="str">
        <x:v>Start with Google Cloud when data, AI, Kubernetes, network or managed developer experience is the main differentiator.</x:v>
      </x:c>
      <x:c r="Z45" s="115" t="str">
        <x:v>Exact</x:v>
      </x:c>
      <x:c r="AA45" s="115"/>
      <x:c r="AB45" s="115" t="str">
        <x:v>2026-07-12</x:v>
      </x:c>
      <x:c r="AC45" s="115" t="str">
        <x:v>Scored and mapped</x:v>
      </x:c>
      <x:c r="AD45" s="115" t="str">
        <x:v>https://docs.cloud.google.com/docs/product-list</x:v>
      </x:c>
    </x:row>
    <x:row r="46">
      <x:c r="A46" s="115" t="str">
        <x:v>3. Data &amp; Intelligence</x:v>
      </x:c>
      <x:c r="B46" s="115" t="str">
        <x:v>13. Traditional AI/ML, MLOps &amp; Cognitive APIs</x:v>
      </x:c>
      <x:c r="C46" s="115" t="str">
        <x:v>ML Platform &amp; MLOps</x:v>
      </x:c>
      <x:c r="D46" s="115" t="str">
        <x:v>Adopt &amp; Build</x:v>
      </x:c>
      <x:c r="E46" s="115" t="str">
        <x:v>Security, Privacy &amp; Compliance
Cost &amp; FinOps
Operations &amp; Support
Reliability &amp; Resilience
Performance &amp; Scalability
Data Residency &amp; Sovereignty
Portability &amp; Exit
Responsible AI &amp; Model Risk</x:v>
      </x:c>
      <x:c r="F46" s="115" t="str">
        <x:v>07 AI &amp; Intelligent Systems</x:v>
      </x:c>
      <x:c r="G46" s="115" t="str">
        <x:v>AI &amp; Machine Learning</x:v>
      </x:c>
      <x:c r="H46" s="115" t="str">
        <x:v>MLOps</x:v>
      </x:c>
      <x:c r="I46" s="115" t="str">
        <x:v>Model registry</x:v>
      </x:c>
      <x:c r="J46" s="115" t="str">
        <x:v>Register, version, approve and promote trained models through lifecycle stages.</x:v>
      </x:c>
      <x:c r="K46" s="115" t="str">
        <x:v>Choose this capability when you need to register, version, approve and promote trained models through lifecycle stages.</x:v>
      </x:c>
      <x:c r="L46" s="115" t="str">
        <x:v>Do you need notebooks only, or an end-to-end governed training, registry, deployment and monitoring platform?</x:v>
      </x:c>
      <x:c r="M46" s="115" t="str">
        <x:v>Managed speed and native integration versus model portability, transparency and control.</x:v>
      </x:c>
      <x:c r="N46" s="115" t="n">
        <x:v>3</x:v>
      </x:c>
      <x:c r="O46" s="115" t="str">
        <x:v>Moderate</x:v>
      </x:c>
      <x:c r="P46" s="115" t="str">
        <x:v>1–3 weeks</x:v>
      </x:c>
      <x:c r="Q46" s="115" t="str">
        <x:v>Medium</x:v>
      </x:c>
      <x:c r="R46" s="115" t="str">
        <x:v>SageMaker Model Registry</x:v>
      </x:c>
      <x:c r="S46" s="115" t="str">
        <x:v>Azure Machine Learning model registry</x:v>
      </x:c>
      <x:c r="T46" s="115" t="str">
        <x:v>Vertex AI Model Registry</x:v>
      </x:c>
      <x:c r="U46" s="115" t="n">
        <x:v>3.95</x:v>
      </x:c>
      <x:c r="V46" s="115" t="n">
        <x:v>3.99</x:v>
      </x:c>
      <x:c r="W46" s="115" t="n">
        <x:v>4.24</x:v>
      </x:c>
      <x:c r="X46" s="118" t="str">
        <x:v>GCP</x:v>
      </x:c>
      <x:c r="Y46" s="115" t="str">
        <x:v>Start with Google Cloud when data, AI, Kubernetes, network or managed developer experience is the main differentiator.</x:v>
      </x:c>
      <x:c r="Z46" s="115" t="str">
        <x:v>Exact</x:v>
      </x:c>
      <x:c r="AA46" s="115"/>
      <x:c r="AB46" s="115" t="str">
        <x:v>2026-07-12</x:v>
      </x:c>
      <x:c r="AC46" s="115" t="str">
        <x:v>Scored and mapped</x:v>
      </x:c>
      <x:c r="AD46" s="115" t="str">
        <x:v>https://docs.cloud.google.com/docs/product-list</x:v>
      </x:c>
    </x:row>
    <x:row r="47">
      <x:c r="A47" s="115" t="str">
        <x:v>3. Data &amp; Intelligence</x:v>
      </x:c>
      <x:c r="B47" s="115" t="str">
        <x:v>13. Traditional AI/ML, MLOps &amp; Cognitive APIs</x:v>
      </x:c>
      <x:c r="C47" s="115" t="str">
        <x:v>ML Platform &amp; MLOps</x:v>
      </x:c>
      <x:c r="D47" s="115" t="str">
        <x:v>Adopt &amp; Build</x:v>
      </x:c>
      <x:c r="E47" s="115" t="str">
        <x:v>Security, Privacy &amp; Compliance
Cost &amp; FinOps
Operations &amp; Support
Reliability &amp; Resilience
Performance &amp; Scalability
Data Residency &amp; Sovereignty
Portability &amp; Exit
Responsible AI &amp; Model Risk</x:v>
      </x:c>
      <x:c r="F47" s="115" t="str">
        <x:v>07 AI &amp; Intelligent Systems</x:v>
      </x:c>
      <x:c r="G47" s="115" t="str">
        <x:v>AI &amp; Machine Learning</x:v>
      </x:c>
      <x:c r="H47" s="115" t="str">
        <x:v>MLOps</x:v>
      </x:c>
      <x:c r="I47" s="115" t="str">
        <x:v>Feature store</x:v>
      </x:c>
      <x:c r="J47" s="115" t="str">
        <x:v>Create, govern and serve reusable machine-learning features online and offline.</x:v>
      </x:c>
      <x:c r="K47" s="115" t="str">
        <x:v>Choose this capability when you need to create, govern and serve reusable machine-learning features online and offline.</x:v>
      </x:c>
      <x:c r="L47" s="115" t="str">
        <x:v>Do you need notebooks only, or an end-to-end governed training, registry, deployment and monitoring platform?</x:v>
      </x:c>
      <x:c r="M47" s="115" t="str">
        <x:v>Managed speed and native integration versus model portability, transparency and control.</x:v>
      </x:c>
      <x:c r="N47" s="115" t="n">
        <x:v>3</x:v>
      </x:c>
      <x:c r="O47" s="115" t="str">
        <x:v>Moderate</x:v>
      </x:c>
      <x:c r="P47" s="115" t="str">
        <x:v>1–3 weeks</x:v>
      </x:c>
      <x:c r="Q47" s="115" t="str">
        <x:v>Medium</x:v>
      </x:c>
      <x:c r="R47" s="115" t="str">
        <x:v>SageMaker Feature Store</x:v>
      </x:c>
      <x:c r="S47" s="115" t="str">
        <x:v>Azure Machine Learning managed feature store</x:v>
      </x:c>
      <x:c r="T47" s="115" t="str">
        <x:v>Vertex AI Feature Store</x:v>
      </x:c>
      <x:c r="U47" s="115" t="n">
        <x:v>3.95</x:v>
      </x:c>
      <x:c r="V47" s="115" t="n">
        <x:v>3.99</x:v>
      </x:c>
      <x:c r="W47" s="115" t="n">
        <x:v>4.24</x:v>
      </x:c>
      <x:c r="X47" s="118" t="str">
        <x:v>GCP</x:v>
      </x:c>
      <x:c r="Y47" s="115" t="str">
        <x:v>Start with Google Cloud when data, AI, Kubernetes, network or managed developer experience is the main differentiator.</x:v>
      </x:c>
      <x:c r="Z47" s="115" t="str">
        <x:v>Exact</x:v>
      </x:c>
      <x:c r="AA47" s="115"/>
      <x:c r="AB47" s="115" t="str">
        <x:v>2026-07-12</x:v>
      </x:c>
      <x:c r="AC47" s="115" t="str">
        <x:v>Scored and mapped</x:v>
      </x:c>
      <x:c r="AD47" s="115" t="str">
        <x:v>https://docs.cloud.google.com/docs/product-list</x:v>
      </x:c>
    </x:row>
    <x:row r="48">
      <x:c r="A48" s="115" t="str">
        <x:v>3. Data &amp; Intelligence</x:v>
      </x:c>
      <x:c r="B48" s="115" t="str">
        <x:v>13. Traditional AI/ML, MLOps &amp; Cognitive APIs</x:v>
      </x:c>
      <x:c r="C48" s="115" t="str">
        <x:v>ML Platform &amp; MLOps</x:v>
      </x:c>
      <x:c r="D48" s="115" t="str">
        <x:v>Adopt &amp; Build</x:v>
      </x:c>
      <x:c r="E48" s="115" t="str">
        <x:v>Security, Privacy &amp; Compliance
Cost &amp; FinOps
Operations &amp; Support
Reliability &amp; Resilience
Performance &amp; Scalability
Data Residency &amp; Sovereignty
Portability &amp; Exit
Responsible AI &amp; Model Risk</x:v>
      </x:c>
      <x:c r="F48" s="115" t="str">
        <x:v>07 AI &amp; Intelligent Systems</x:v>
      </x:c>
      <x:c r="G48" s="115" t="str">
        <x:v>AI &amp; Machine Learning</x:v>
      </x:c>
      <x:c r="H48" s="115" t="str">
        <x:v>MLOps</x:v>
      </x:c>
      <x:c r="I48" s="115" t="str">
        <x:v>Model monitoring</x:v>
      </x:c>
      <x:c r="J48" s="115" t="str">
        <x:v>Monitor deployed models for drift, skew, quality and operational issues.</x:v>
      </x:c>
      <x:c r="K48" s="115" t="str">
        <x:v>Choose this capability when you need to monitor deployed models for drift, skew, quality and operational issues.</x:v>
      </x:c>
      <x:c r="L48" s="115" t="str">
        <x:v>Do you need notebooks only, or an end-to-end governed training, registry, deployment and monitoring platform?</x:v>
      </x:c>
      <x:c r="M48" s="115" t="str">
        <x:v>Managed speed and native integration versus model portability, transparency and control.</x:v>
      </x:c>
      <x:c r="N48" s="115" t="n">
        <x:v>3</x:v>
      </x:c>
      <x:c r="O48" s="115" t="str">
        <x:v>Moderate</x:v>
      </x:c>
      <x:c r="P48" s="115" t="str">
        <x:v>1–3 weeks</x:v>
      </x:c>
      <x:c r="Q48" s="115" t="str">
        <x:v>Medium</x:v>
      </x:c>
      <x:c r="R48" s="115" t="str">
        <x:v>SageMaker Model Monitor</x:v>
      </x:c>
      <x:c r="S48" s="115" t="str">
        <x:v>Azure Machine Learning model monitoring</x:v>
      </x:c>
      <x:c r="T48" s="115" t="str">
        <x:v>Vertex AI Model Monitoring</x:v>
      </x:c>
      <x:c r="U48" s="115" t="n">
        <x:v>3.95</x:v>
      </x:c>
      <x:c r="V48" s="115" t="n">
        <x:v>3.99</x:v>
      </x:c>
      <x:c r="W48" s="115" t="n">
        <x:v>4.24</x:v>
      </x:c>
      <x:c r="X48" s="118" t="str">
        <x:v>GCP</x:v>
      </x:c>
      <x:c r="Y48" s="115" t="str">
        <x:v>Start with Google Cloud when data, AI, Kubernetes, network or managed developer experience is the main differentiator.</x:v>
      </x:c>
      <x:c r="Z48" s="115" t="str">
        <x:v>Exact</x:v>
      </x:c>
      <x:c r="AA48" s="115"/>
      <x:c r="AB48" s="115" t="str">
        <x:v>2026-07-12</x:v>
      </x:c>
      <x:c r="AC48" s="115" t="str">
        <x:v>Scored and mapped</x:v>
      </x:c>
      <x:c r="AD48" s="115" t="str">
        <x:v>https://docs.cloud.google.com/docs/product-list</x:v>
      </x:c>
    </x:row>
    <x:row r="49">
      <x:c r="A49" s="115" t="str">
        <x:v>3. Data &amp; Intelligence</x:v>
      </x:c>
      <x:c r="B49" s="115" t="str">
        <x:v>13. Traditional AI/ML, MLOps &amp; Cognitive APIs</x:v>
      </x:c>
      <x:c r="C49" s="115" t="str">
        <x:v>ML Platform &amp; MLOps</x:v>
      </x:c>
      <x:c r="D49" s="115" t="str">
        <x:v>Adopt &amp; Build</x:v>
      </x:c>
      <x:c r="E49" s="115" t="str">
        <x:v>Security, Privacy &amp; Compliance
Cost &amp; FinOps
Operations &amp; Support
Reliability &amp; Resilience
Performance &amp; Scalability
Data Residency &amp; Sovereignty
Portability &amp; Exit
Responsible AI &amp; Model Risk</x:v>
      </x:c>
      <x:c r="F49" s="115" t="str">
        <x:v>07 AI &amp; Intelligent Systems</x:v>
      </x:c>
      <x:c r="G49" s="115" t="str">
        <x:v>AI &amp; Machine Learning</x:v>
      </x:c>
      <x:c r="H49" s="115" t="str">
        <x:v>Inference</x:v>
      </x:c>
      <x:c r="I49" s="115" t="str">
        <x:v>Managed real-time model endpoints</x:v>
      </x:c>
      <x:c r="J49" s="115" t="str">
        <x:v>Serve machine-learning models through autoscaling online inference endpoints.</x:v>
      </x:c>
      <x:c r="K49" s="115" t="str">
        <x:v>Choose this capability when you need to serve machine-learning models through autoscaling online inference endpoints.</x:v>
      </x:c>
      <x:c r="L49" s="115" t="str">
        <x:v>Do you need notebooks only, or an end-to-end governed training, registry, deployment and monitoring platform?</x:v>
      </x:c>
      <x:c r="M49" s="115" t="str">
        <x:v>Managed speed and native integration versus model portability, transparency and control.</x:v>
      </x:c>
      <x:c r="N49" s="115" t="n">
        <x:v>3</x:v>
      </x:c>
      <x:c r="O49" s="115" t="str">
        <x:v>Moderate</x:v>
      </x:c>
      <x:c r="P49" s="115" t="str">
        <x:v>1–3 weeks</x:v>
      </x:c>
      <x:c r="Q49" s="115" t="str">
        <x:v>Medium</x:v>
      </x:c>
      <x:c r="R49" s="115" t="str">
        <x:v>SageMaker real-time inference</x:v>
      </x:c>
      <x:c r="S49" s="115" t="str">
        <x:v>Azure Machine Learning managed online endpoints</x:v>
      </x:c>
      <x:c r="T49" s="115" t="str">
        <x:v>Vertex AI Online Prediction
Agent Platform Inference</x:v>
      </x:c>
      <x:c r="U49" s="115" t="n">
        <x:v>3.95</x:v>
      </x:c>
      <x:c r="V49" s="115" t="n">
        <x:v>3.99</x:v>
      </x:c>
      <x:c r="W49" s="115" t="n">
        <x:v>4.14</x:v>
      </x:c>
      <x:c r="X49" s="118" t="str">
        <x:v>GCP</x:v>
      </x:c>
      <x:c r="Y49" s="115" t="str">
        <x:v>Start with Google Cloud when data, AI, Kubernetes, network or managed developer experience is the main differentiator.</x:v>
      </x:c>
      <x:c r="Z49" s="115" t="str">
        <x:v>Exact</x:v>
      </x:c>
      <x:c r="AA49" s="115"/>
      <x:c r="AB49" s="115" t="str">
        <x:v>2026-07-12</x:v>
      </x:c>
      <x:c r="AC49" s="115" t="str">
        <x:v>Scored and mapped</x:v>
      </x:c>
      <x:c r="AD49" s="115" t="str">
        <x:v>https://docs.cloud.google.com/docs/product-list</x:v>
      </x:c>
    </x:row>
    <x:row r="50">
      <x:c r="A50" s="115" t="str">
        <x:v>3. Data &amp; Intelligence</x:v>
      </x:c>
      <x:c r="B50" s="115" t="str">
        <x:v>13. Traditional AI/ML, MLOps &amp; Cognitive APIs</x:v>
      </x:c>
      <x:c r="C50" s="115" t="str">
        <x:v>ML Platform &amp; MLOps</x:v>
      </x:c>
      <x:c r="D50" s="115" t="str">
        <x:v>Adopt &amp; Build</x:v>
      </x:c>
      <x:c r="E50" s="115" t="str">
        <x:v>Security, Privacy &amp; Compliance
Cost &amp; FinOps
Operations &amp; Support
Reliability &amp; Resilience
Performance &amp; Scalability
Data Residency &amp; Sovereignty
Portability &amp; Exit
Responsible AI &amp; Model Risk</x:v>
      </x:c>
      <x:c r="F50" s="115" t="str">
        <x:v>07 AI &amp; Intelligent Systems</x:v>
      </x:c>
      <x:c r="G50" s="115" t="str">
        <x:v>AI &amp; Machine Learning</x:v>
      </x:c>
      <x:c r="H50" s="115" t="str">
        <x:v>Inference</x:v>
      </x:c>
      <x:c r="I50" s="115" t="str">
        <x:v>Batch model inference</x:v>
      </x:c>
      <x:c r="J50" s="115" t="str">
        <x:v>Run asynchronous predictions over large datasets.</x:v>
      </x:c>
      <x:c r="K50" s="115" t="str">
        <x:v>Choose this capability when you need to run asynchronous predictions over large datasets.</x:v>
      </x:c>
      <x:c r="L50" s="115" t="str">
        <x:v>Do you need notebooks only, or an end-to-end governed training, registry, deployment and monitoring platform?</x:v>
      </x:c>
      <x:c r="M50" s="115" t="str">
        <x:v>Managed speed and native integration versus model portability, transparency and control.</x:v>
      </x:c>
      <x:c r="N50" s="115" t="n">
        <x:v>3</x:v>
      </x:c>
      <x:c r="O50" s="115" t="str">
        <x:v>Moderate</x:v>
      </x:c>
      <x:c r="P50" s="115" t="str">
        <x:v>1–3 weeks</x:v>
      </x:c>
      <x:c r="Q50" s="115" t="str">
        <x:v>Medium</x:v>
      </x:c>
      <x:c r="R50" s="115" t="str">
        <x:v>SageMaker Batch Transform</x:v>
      </x:c>
      <x:c r="S50" s="115" t="str">
        <x:v>Azure Machine Learning batch endpoints</x:v>
      </x:c>
      <x:c r="T50" s="115" t="str">
        <x:v>Vertex AI Batch Prediction</x:v>
      </x:c>
      <x:c r="U50" s="115" t="n">
        <x:v>3.95</x:v>
      </x:c>
      <x:c r="V50" s="115" t="n">
        <x:v>3.99</x:v>
      </x:c>
      <x:c r="W50" s="115" t="n">
        <x:v>4.24</x:v>
      </x:c>
      <x:c r="X50" s="118" t="str">
        <x:v>GCP</x:v>
      </x:c>
      <x:c r="Y50" s="115" t="str">
        <x:v>Start with Google Cloud when data, AI, Kubernetes, network or managed developer experience is the main differentiator.</x:v>
      </x:c>
      <x:c r="Z50" s="115" t="str">
        <x:v>Exact</x:v>
      </x:c>
      <x:c r="AA50" s="115"/>
      <x:c r="AB50" s="115" t="str">
        <x:v>2026-07-12</x:v>
      </x:c>
      <x:c r="AC50" s="115" t="str">
        <x:v>Scored and mapped</x:v>
      </x:c>
      <x:c r="AD50" s="115" t="str">
        <x:v>https://docs.cloud.google.com/docs/product-list</x:v>
      </x:c>
    </x:row>
    <x:row r="51">
      <x:c r="A51" s="115" t="str">
        <x:v>3. Data &amp; Intelligence</x:v>
      </x:c>
      <x:c r="B51" s="115" t="str">
        <x:v>13. Traditional AI/ML, MLOps &amp; Cognitive APIs</x:v>
      </x:c>
      <x:c r="C51" s="115" t="str">
        <x:v>Industry &amp; Applied AI</x:v>
      </x:c>
      <x:c r="D51" s="115" t="str">
        <x:v>Adopt &amp; Build</x:v>
      </x:c>
      <x:c r="E51" s="115" t="str">
        <x:v>Security, Privacy &amp; Compliance
Cost &amp; FinOps
Operations &amp; Support
Reliability &amp; Resilience
Performance &amp; Scalability
Data Residency &amp; Sovereignty
Portability &amp; Exit
Responsible AI &amp; Model Risk</x:v>
      </x:c>
      <x:c r="F51" s="115" t="str">
        <x:v>07 AI &amp; Intelligent Systems</x:v>
      </x:c>
      <x:c r="G51" s="115" t="str">
        <x:v>AI &amp; Machine Learning</x:v>
      </x:c>
      <x:c r="H51" s="115" t="str">
        <x:v>AI infrastructure</x:v>
      </x:c>
      <x:c r="I51" s="115" t="str">
        <x:v>AI accelerators</x:v>
      </x:c>
      <x:c r="J51" s="115" t="str">
        <x:v>Provide specialised GPU or accelerator infrastructure for training and inference.</x:v>
      </x:c>
      <x:c r="K51" s="115" t="str">
        <x:v>Choose this capability when you need to provide specialised gpu or accelerator infrastructure for training and inference.</x:v>
      </x:c>
      <x:c r="L51" s="115" t="str">
        <x:v>What business outcome, scale, control, integration and operating model justify choosing ai accelerators?</x:v>
      </x:c>
      <x:c r="M51" s="115" t="str">
        <x:v>Managed speed and native integration versus model portability, transparency and control.</x:v>
      </x:c>
      <x:c r="N51" s="115" t="n">
        <x:v>3</x:v>
      </x:c>
      <x:c r="O51" s="115" t="str">
        <x:v>Moderate</x:v>
      </x:c>
      <x:c r="P51" s="115" t="str">
        <x:v>1–3 weeks</x:v>
      </x:c>
      <x:c r="Q51" s="115" t="str">
        <x:v>Medium</x:v>
      </x:c>
      <x:c r="R51" s="115" t="str">
        <x:v>Amazon EC2 GPU instances
AWS Trainium
AWS Inferentia</x:v>
      </x:c>
      <x:c r="S51" s="115" t="str">
        <x:v>Azure GPU virtual machines
Azure Maia</x:v>
      </x:c>
      <x:c r="T51" s="115" t="str">
        <x:v>Cloud GPUs
Cloud TPU
AI Hypercomputer</x:v>
      </x:c>
      <x:c r="U51" s="115" t="n">
        <x:v>3.8</x:v>
      </x:c>
      <x:c r="V51" s="115" t="n">
        <x:v>3.84</x:v>
      </x:c>
      <x:c r="W51" s="115" t="n">
        <x:v>3.85</x:v>
      </x:c>
      <x:c r="X51" s="118" t="str">
        <x:v>Context-dependent tie</x:v>
      </x:c>
      <x:c r="Y51" s="115" t="str">
        <x:v>Scores are close: use ecosystem, data gravity, region, skills, commercials and proof-of-value results to decide.</x:v>
      </x:c>
      <x:c r="Z51" s="115" t="str">
        <x:v>Close</x:v>
      </x:c>
      <x:c r="AA51" s="115"/>
      <x:c r="AB51" s="115" t="str">
        <x:v>2026-07-12</x:v>
      </x:c>
      <x:c r="AC51" s="115" t="str">
        <x:v>Scored and mapped</x:v>
      </x:c>
      <x:c r="AD51" s="115" t="str">
        <x:v>https://docs.cloud.google.com/docs/product-list</x:v>
      </x:c>
    </x:row>
    <x:row r="52">
      <x:c r="A52" s="115" t="str">
        <x:v>3. Data &amp; Intelligence</x:v>
      </x:c>
      <x:c r="B52" s="115" t="str">
        <x:v>13. Traditional AI/ML, MLOps &amp; Cognitive APIs</x:v>
      </x:c>
      <x:c r="C52" s="115" t="str">
        <x:v>ML Platform &amp; MLOps</x:v>
      </x:c>
      <x:c r="D52" s="115" t="str">
        <x:v>Adopt &amp; Build</x:v>
      </x:c>
      <x:c r="E52" s="115" t="str">
        <x:v>Security, Privacy &amp; Compliance
Cost &amp; FinOps
Operations &amp; Support
Reliability &amp; Resilience
Performance &amp; Scalability
Data Residency &amp; Sovereignty
Portability &amp; Exit
Responsible AI &amp; Model Risk</x:v>
      </x:c>
      <x:c r="F52" s="115" t="str">
        <x:v>07 AI &amp; Intelligent Systems</x:v>
      </x:c>
      <x:c r="G52" s="115" t="str">
        <x:v>AI &amp; Machine Learning</x:v>
      </x:c>
      <x:c r="H52" s="115" t="str">
        <x:v>Distributed ML</x:v>
      </x:c>
      <x:c r="I52" s="115" t="str">
        <x:v>Distributed ML execution</x:v>
      </x:c>
      <x:c r="J52" s="115" t="str">
        <x:v>Scale Python, ML and AI workloads across distributed compute clusters.</x:v>
      </x:c>
      <x:c r="K52" s="115" t="str">
        <x:v>Choose this capability when you need to scale python, ml and ai workloads across distributed compute clusters.</x:v>
      </x:c>
      <x:c r="L52" s="115" t="str">
        <x:v>Do you need notebooks only, or an end-to-end governed training, registry, deployment and monitoring platform?</x:v>
      </x:c>
      <x:c r="M52" s="115" t="str">
        <x:v>Managed speed and native integration versus model portability, transparency and control.</x:v>
      </x:c>
      <x:c r="N52" s="115" t="n">
        <x:v>3</x:v>
      </x:c>
      <x:c r="O52" s="115" t="str">
        <x:v>Moderate</x:v>
      </x:c>
      <x:c r="P52" s="115" t="str">
        <x:v>1–3 weeks</x:v>
      </x:c>
      <x:c r="Q52" s="115" t="str">
        <x:v>Medium</x:v>
      </x:c>
      <x:c r="R52" s="115" t="str">
        <x:v>SageMaker HyperPod
AWS ParallelCluster</x:v>
      </x:c>
      <x:c r="S52" s="115" t="str">
        <x:v>Azure Machine Learning compute clusters
Azure Databricks</x:v>
      </x:c>
      <x:c r="T52" s="115" t="str">
        <x:v>Ray on Gemini Enterprise Agent Platform
Cluster Director</x:v>
      </x:c>
      <x:c r="U52" s="115" t="n">
        <x:v>3.8</x:v>
      </x:c>
      <x:c r="V52" s="115" t="n">
        <x:v>3.84</x:v>
      </x:c>
      <x:c r="W52" s="115" t="n">
        <x:v>4.06</x:v>
      </x:c>
      <x:c r="X52" s="118" t="str">
        <x:v>GCP</x:v>
      </x:c>
      <x:c r="Y52" s="115" t="str">
        <x:v>Start with Google Cloud when data, AI, Kubernetes, network or managed developer experience is the main differentiator.</x:v>
      </x:c>
      <x:c r="Z52" s="115" t="str">
        <x:v>Close</x:v>
      </x:c>
      <x:c r="AA52" s="115"/>
      <x:c r="AB52" s="115" t="str">
        <x:v>2026-07-12</x:v>
      </x:c>
      <x:c r="AC52" s="115" t="str">
        <x:v>Scored and mapped</x:v>
      </x:c>
      <x:c r="AD52" s="115" t="str">
        <x:v>https://docs.cloud.google.com/docs/product-list</x:v>
      </x:c>
    </x:row>
    <x:row r="53">
      <x:c r="A53" s="115" t="str">
        <x:v>3. Data &amp; Intelligence</x:v>
      </x:c>
      <x:c r="B53" s="115" t="str">
        <x:v>13. Traditional AI/ML, MLOps &amp; Cognitive APIs</x:v>
      </x:c>
      <x:c r="C53" s="115" t="str">
        <x:v>Prebuilt Cognitive AI Services</x:v>
      </x:c>
      <x:c r="D53" s="115" t="str">
        <x:v>Adopt &amp; Build</x:v>
      </x:c>
      <x:c r="E53" s="115" t="str">
        <x:v>Security, Privacy &amp; Compliance
Cost &amp; FinOps
Operations &amp; Support
Reliability &amp; Resilience
Performance &amp; Scalability
Data Residency &amp; Sovereignty
Portability &amp; Exit
Responsible AI &amp; Model Risk</x:v>
      </x:c>
      <x:c r="F53" s="115" t="str">
        <x:v>07 AI &amp; Intelligent Systems</x:v>
      </x:c>
      <x:c r="G53" s="115" t="str">
        <x:v>AI &amp; Machine Learning</x:v>
      </x:c>
      <x:c r="H53" s="115" t="str">
        <x:v>NLP</x:v>
      </x:c>
      <x:c r="I53" s="115" t="str">
        <x:v>Natural-language analysis</x:v>
      </x:c>
      <x:c r="J53" s="115" t="str">
        <x:v>Extract entities, sentiment, classifications and insights from text.</x:v>
      </x:c>
      <x:c r="K53" s="115" t="str">
        <x:v>Choose this capability when you need to extract entities, sentiment, classifications and insights from text.</x:v>
      </x:c>
      <x:c r="L53" s="115" t="str">
        <x:v>What business outcome, scale, control, integration and operating model justify choosing natural-language analysis?</x:v>
      </x:c>
      <x:c r="M53" s="115" t="str">
        <x:v>Managed speed and native integration versus model portability, transparency and control.</x:v>
      </x:c>
      <x:c r="N53" s="115" t="n">
        <x:v>3</x:v>
      </x:c>
      <x:c r="O53" s="115" t="str">
        <x:v>Moderate</x:v>
      </x:c>
      <x:c r="P53" s="115" t="str">
        <x:v>1–3 weeks</x:v>
      </x:c>
      <x:c r="Q53" s="115" t="str">
        <x:v>Medium</x:v>
      </x:c>
      <x:c r="R53" s="115" t="str">
        <x:v>Amazon Comprehend</x:v>
      </x:c>
      <x:c r="S53" s="115" t="str">
        <x:v>Azure Language in Foundry Tools</x:v>
      </x:c>
      <x:c r="T53" s="115" t="str">
        <x:v>Cloud Natural Language</x:v>
      </x:c>
      <x:c r="U53" s="115" t="n">
        <x:v>3.95</x:v>
      </x:c>
      <x:c r="V53" s="115" t="n">
        <x:v>3.99</x:v>
      </x:c>
      <x:c r="W53" s="115" t="n">
        <x:v>4.02</x:v>
      </x:c>
      <x:c r="X53" s="118" t="str">
        <x:v>Context-dependent tie</x:v>
      </x:c>
      <x:c r="Y53" s="115" t="str">
        <x:v>Scores are close: use ecosystem, data gravity, region, skills, commercials and proof-of-value results to decide.</x:v>
      </x:c>
      <x:c r="Z53" s="115" t="str">
        <x:v>Exact</x:v>
      </x:c>
      <x:c r="AA53" s="115"/>
      <x:c r="AB53" s="115" t="str">
        <x:v>2026-07-12</x:v>
      </x:c>
      <x:c r="AC53" s="115" t="str">
        <x:v>Scored and mapped</x:v>
      </x:c>
      <x:c r="AD53" s="115" t="str">
        <x:v>https://docs.cloud.google.com/docs/product-list</x:v>
      </x:c>
    </x:row>
    <x:row r="54">
      <x:c r="A54" s="115" t="str">
        <x:v>3. Data &amp; Intelligence</x:v>
      </x:c>
      <x:c r="B54" s="115" t="str">
        <x:v>13. Traditional AI/ML, MLOps &amp; Cognitive APIs</x:v>
      </x:c>
      <x:c r="C54" s="115" t="str">
        <x:v>Prebuilt Cognitive AI Services</x:v>
      </x:c>
      <x:c r="D54" s="115" t="str">
        <x:v>Adopt &amp; Build</x:v>
      </x:c>
      <x:c r="E54" s="115" t="str">
        <x:v>Security, Privacy &amp; Compliance
Cost &amp; FinOps
Operations &amp; Support
Reliability &amp; Resilience
Performance &amp; Scalability
Data Residency &amp; Sovereignty
Portability &amp; Exit
Responsible AI &amp; Model Risk</x:v>
      </x:c>
      <x:c r="F54" s="115" t="str">
        <x:v>07 AI &amp; Intelligent Systems</x:v>
      </x:c>
      <x:c r="G54" s="115" t="str">
        <x:v>AI &amp; Machine Learning</x:v>
      </x:c>
      <x:c r="H54" s="115" t="str">
        <x:v>Translation</x:v>
      </x:c>
      <x:c r="I54" s="115" t="str">
        <x:v>Machine translation</x:v>
      </x:c>
      <x:c r="J54" s="115" t="str">
        <x:v>Translate text and documents between languages using managed AI.</x:v>
      </x:c>
      <x:c r="K54" s="115" t="str">
        <x:v>Choose this capability when you need to translate text and documents between languages using managed ai.</x:v>
      </x:c>
      <x:c r="L54" s="115" t="str">
        <x:v>What business outcome, scale, control, integration and operating model justify choosing machine translation?</x:v>
      </x:c>
      <x:c r="M54" s="115" t="str">
        <x:v>Managed speed and native integration versus model portability, transparency and control.</x:v>
      </x:c>
      <x:c r="N54" s="115" t="n">
        <x:v>3</x:v>
      </x:c>
      <x:c r="O54" s="115" t="str">
        <x:v>Moderate</x:v>
      </x:c>
      <x:c r="P54" s="115" t="str">
        <x:v>1–3 weeks</x:v>
      </x:c>
      <x:c r="Q54" s="115" t="str">
        <x:v>Medium</x:v>
      </x:c>
      <x:c r="R54" s="115" t="str">
        <x:v>Amazon Translate</x:v>
      </x:c>
      <x:c r="S54" s="115" t="str">
        <x:v>Azure Translator</x:v>
      </x:c>
      <x:c r="T54" s="115" t="str">
        <x:v>Cloud Translation</x:v>
      </x:c>
      <x:c r="U54" s="115" t="n">
        <x:v>3.95</x:v>
      </x:c>
      <x:c r="V54" s="115" t="n">
        <x:v>3.99</x:v>
      </x:c>
      <x:c r="W54" s="115" t="n">
        <x:v>4.02</x:v>
      </x:c>
      <x:c r="X54" s="118" t="str">
        <x:v>Context-dependent tie</x:v>
      </x:c>
      <x:c r="Y54" s="115" t="str">
        <x:v>Scores are close: use ecosystem, data gravity, region, skills, commercials and proof-of-value results to decide.</x:v>
      </x:c>
      <x:c r="Z54" s="115" t="str">
        <x:v>Exact</x:v>
      </x:c>
      <x:c r="AA54" s="115"/>
      <x:c r="AB54" s="115" t="str">
        <x:v>2026-07-12</x:v>
      </x:c>
      <x:c r="AC54" s="115" t="str">
        <x:v>Scored and mapped</x:v>
      </x:c>
      <x:c r="AD54" s="115" t="str">
        <x:v>https://docs.cloud.google.com/docs/product-list</x:v>
      </x:c>
    </x:row>
    <x:row r="55">
      <x:c r="A55" s="115" t="str">
        <x:v>3. Data &amp; Intelligence</x:v>
      </x:c>
      <x:c r="B55" s="115" t="str">
        <x:v>13. Traditional AI/ML, MLOps &amp; Cognitive APIs</x:v>
      </x:c>
      <x:c r="C55" s="115" t="str">
        <x:v>Prebuilt Cognitive AI Services</x:v>
      </x:c>
      <x:c r="D55" s="115" t="str">
        <x:v>Adopt &amp; Build</x:v>
      </x:c>
      <x:c r="E55" s="115" t="str">
        <x:v>Security, Privacy &amp; Compliance
Cost &amp; FinOps
Operations &amp; Support
Reliability &amp; Resilience
Performance &amp; Scalability
Data Residency &amp; Sovereignty
Portability &amp; Exit
Responsible AI &amp; Model Risk</x:v>
      </x:c>
      <x:c r="F55" s="115" t="str">
        <x:v>07 AI &amp; Intelligent Systems</x:v>
      </x:c>
      <x:c r="G55" s="115" t="str">
        <x:v>AI &amp; Machine Learning</x:v>
      </x:c>
      <x:c r="H55" s="115" t="str">
        <x:v>Speech</x:v>
      </x:c>
      <x:c r="I55" s="115" t="str">
        <x:v>Speech-to-text</x:v>
      </x:c>
      <x:c r="J55" s="115" t="str">
        <x:v>Convert live or recorded speech into text.</x:v>
      </x:c>
      <x:c r="K55" s="115" t="str">
        <x:v>Choose this capability when you need to convert live or recorded speech into text.</x:v>
      </x:c>
      <x:c r="L55" s="115" t="str">
        <x:v>What business outcome, scale, control, integration and operating model justify choosing speech-to-text?</x:v>
      </x:c>
      <x:c r="M55" s="115" t="str">
        <x:v>Managed speed and native integration versus model portability, transparency and control.</x:v>
      </x:c>
      <x:c r="N55" s="115" t="n">
        <x:v>3</x:v>
      </x:c>
      <x:c r="O55" s="115" t="str">
        <x:v>Moderate</x:v>
      </x:c>
      <x:c r="P55" s="115" t="str">
        <x:v>1–3 weeks</x:v>
      </x:c>
      <x:c r="Q55" s="115" t="str">
        <x:v>Medium</x:v>
      </x:c>
      <x:c r="R55" s="115" t="str">
        <x:v>Amazon Transcribe</x:v>
      </x:c>
      <x:c r="S55" s="115" t="str">
        <x:v>Azure Speech</x:v>
      </x:c>
      <x:c r="T55" s="115" t="str">
        <x:v>Speech-to-Text</x:v>
      </x:c>
      <x:c r="U55" s="115" t="n">
        <x:v>3.95</x:v>
      </x:c>
      <x:c r="V55" s="115" t="n">
        <x:v>3.99</x:v>
      </x:c>
      <x:c r="W55" s="115" t="n">
        <x:v>4.02</x:v>
      </x:c>
      <x:c r="X55" s="118" t="str">
        <x:v>Context-dependent tie</x:v>
      </x:c>
      <x:c r="Y55" s="115" t="str">
        <x:v>Scores are close: use ecosystem, data gravity, region, skills, commercials and proof-of-value results to decide.</x:v>
      </x:c>
      <x:c r="Z55" s="115" t="str">
        <x:v>Exact</x:v>
      </x:c>
      <x:c r="AA55" s="115"/>
      <x:c r="AB55" s="115" t="str">
        <x:v>2026-07-12</x:v>
      </x:c>
      <x:c r="AC55" s="115" t="str">
        <x:v>Scored and mapped</x:v>
      </x:c>
      <x:c r="AD55" s="115" t="str">
        <x:v>https://docs.cloud.google.com/docs/product-list</x:v>
      </x:c>
    </x:row>
    <x:row r="56">
      <x:c r="A56" s="115" t="str">
        <x:v>3. Data &amp; Intelligence</x:v>
      </x:c>
      <x:c r="B56" s="115" t="str">
        <x:v>13. Traditional AI/ML, MLOps &amp; Cognitive APIs</x:v>
      </x:c>
      <x:c r="C56" s="115" t="str">
        <x:v>Prebuilt Cognitive AI Services</x:v>
      </x:c>
      <x:c r="D56" s="115" t="str">
        <x:v>Adopt &amp; Build</x:v>
      </x:c>
      <x:c r="E56" s="115" t="str">
        <x:v>Security, Privacy &amp; Compliance
Cost &amp; FinOps
Operations &amp; Support
Reliability &amp; Resilience
Performance &amp; Scalability
Data Residency &amp; Sovereignty
Portability &amp; Exit
Responsible AI &amp; Model Risk</x:v>
      </x:c>
      <x:c r="F56" s="115" t="str">
        <x:v>07 AI &amp; Intelligent Systems</x:v>
      </x:c>
      <x:c r="G56" s="115" t="str">
        <x:v>AI &amp; Machine Learning</x:v>
      </x:c>
      <x:c r="H56" s="115" t="str">
        <x:v>Speech</x:v>
      </x:c>
      <x:c r="I56" s="115" t="str">
        <x:v>Text-to-speech</x:v>
      </x:c>
      <x:c r="J56" s="115" t="str">
        <x:v>Generate natural-sounding speech from text.</x:v>
      </x:c>
      <x:c r="K56" s="115" t="str">
        <x:v>Choose this capability when you need to generate natural-sounding speech from text.</x:v>
      </x:c>
      <x:c r="L56" s="115" t="str">
        <x:v>What business outcome, scale, control, integration and operating model justify choosing text-to-speech?</x:v>
      </x:c>
      <x:c r="M56" s="115" t="str">
        <x:v>Managed speed and native integration versus model portability, transparency and control.</x:v>
      </x:c>
      <x:c r="N56" s="115" t="n">
        <x:v>3</x:v>
      </x:c>
      <x:c r="O56" s="115" t="str">
        <x:v>Moderate</x:v>
      </x:c>
      <x:c r="P56" s="115" t="str">
        <x:v>1–3 weeks</x:v>
      </x:c>
      <x:c r="Q56" s="115" t="str">
        <x:v>Medium</x:v>
      </x:c>
      <x:c r="R56" s="115" t="str">
        <x:v>Amazon Polly</x:v>
      </x:c>
      <x:c r="S56" s="115" t="str">
        <x:v>Azure Speech</x:v>
      </x:c>
      <x:c r="T56" s="115" t="str">
        <x:v>Text-to-Speech</x:v>
      </x:c>
      <x:c r="U56" s="115" t="n">
        <x:v>3.95</x:v>
      </x:c>
      <x:c r="V56" s="115" t="n">
        <x:v>3.99</x:v>
      </x:c>
      <x:c r="W56" s="115" t="n">
        <x:v>4.02</x:v>
      </x:c>
      <x:c r="X56" s="118" t="str">
        <x:v>Context-dependent tie</x:v>
      </x:c>
      <x:c r="Y56" s="115" t="str">
        <x:v>Scores are close: use ecosystem, data gravity, region, skills, commercials and proof-of-value results to decide.</x:v>
      </x:c>
      <x:c r="Z56" s="115" t="str">
        <x:v>Exact</x:v>
      </x:c>
      <x:c r="AA56" s="115"/>
      <x:c r="AB56" s="115" t="str">
        <x:v>2026-07-12</x:v>
      </x:c>
      <x:c r="AC56" s="115" t="str">
        <x:v>Scored and mapped</x:v>
      </x:c>
      <x:c r="AD56" s="115" t="str">
        <x:v>https://docs.cloud.google.com/docs/product-list</x:v>
      </x:c>
    </x:row>
    <x:row r="57">
      <x:c r="A57" s="115" t="str">
        <x:v>3. Data &amp; Intelligence</x:v>
      </x:c>
      <x:c r="B57" s="115" t="str">
        <x:v>13. Traditional AI/ML, MLOps &amp; Cognitive APIs</x:v>
      </x:c>
      <x:c r="C57" s="115" t="str">
        <x:v>Prebuilt Cognitive AI Services</x:v>
      </x:c>
      <x:c r="D57" s="115" t="str">
        <x:v>Adopt &amp; Build</x:v>
      </x:c>
      <x:c r="E57" s="115" t="str">
        <x:v>Security, Privacy &amp; Compliance
Cost &amp; FinOps
Operations &amp; Support
Reliability &amp; Resilience
Performance &amp; Scalability
Data Residency &amp; Sovereignty
Portability &amp; Exit
Responsible AI &amp; Model Risk</x:v>
      </x:c>
      <x:c r="F57" s="115" t="str">
        <x:v>07 AI &amp; Intelligent Systems</x:v>
      </x:c>
      <x:c r="G57" s="115" t="str">
        <x:v>AI &amp; Machine Learning</x:v>
      </x:c>
      <x:c r="H57" s="115" t="str">
        <x:v>Vision</x:v>
      </x:c>
      <x:c r="I57" s="115" t="str">
        <x:v>Image analysis</x:v>
      </x:c>
      <x:c r="J57" s="115" t="str">
        <x:v>Detect, classify and extract information from images.</x:v>
      </x:c>
      <x:c r="K57" s="115" t="str">
        <x:v>Choose this capability when you need to detect, classify and extract information from images.</x:v>
      </x:c>
      <x:c r="L57" s="115" t="str">
        <x:v>What business outcome, scale, control, integration and operating model justify choosing image analysis?</x:v>
      </x:c>
      <x:c r="M57" s="115" t="str">
        <x:v>Managed speed and native integration versus model portability, transparency and control.</x:v>
      </x:c>
      <x:c r="N57" s="115" t="n">
        <x:v>3</x:v>
      </x:c>
      <x:c r="O57" s="115" t="str">
        <x:v>Moderate</x:v>
      </x:c>
      <x:c r="P57" s="115" t="str">
        <x:v>1–3 weeks</x:v>
      </x:c>
      <x:c r="Q57" s="115" t="str">
        <x:v>Medium</x:v>
      </x:c>
      <x:c r="R57" s="115" t="str">
        <x:v>Amazon Rekognition</x:v>
      </x:c>
      <x:c r="S57" s="115" t="str">
        <x:v>Azure Vision</x:v>
      </x:c>
      <x:c r="T57" s="115" t="str">
        <x:v>Cloud Vision API</x:v>
      </x:c>
      <x:c r="U57" s="115" t="n">
        <x:v>3.95</x:v>
      </x:c>
      <x:c r="V57" s="115" t="n">
        <x:v>3.99</x:v>
      </x:c>
      <x:c r="W57" s="115" t="n">
        <x:v>4.02</x:v>
      </x:c>
      <x:c r="X57" s="118" t="str">
        <x:v>Context-dependent tie</x:v>
      </x:c>
      <x:c r="Y57" s="115" t="str">
        <x:v>Scores are close: use ecosystem, data gravity, region, skills, commercials and proof-of-value results to decide.</x:v>
      </x:c>
      <x:c r="Z57" s="115" t="str">
        <x:v>Exact</x:v>
      </x:c>
      <x:c r="AA57" s="115"/>
      <x:c r="AB57" s="115" t="str">
        <x:v>2026-07-12</x:v>
      </x:c>
      <x:c r="AC57" s="115" t="str">
        <x:v>Scored and mapped</x:v>
      </x:c>
      <x:c r="AD57" s="115" t="str">
        <x:v>https://docs.cloud.google.com/docs/product-list</x:v>
      </x:c>
    </x:row>
    <x:row r="58">
      <x:c r="A58" s="115" t="str">
        <x:v>3. Data &amp; Intelligence</x:v>
      </x:c>
      <x:c r="B58" s="115" t="str">
        <x:v>13. Traditional AI/ML, MLOps &amp; Cognitive APIs</x:v>
      </x:c>
      <x:c r="C58" s="115" t="str">
        <x:v>Industry &amp; Applied AI</x:v>
      </x:c>
      <x:c r="D58" s="115" t="str">
        <x:v>Adopt &amp; Build</x:v>
      </x:c>
      <x:c r="E58" s="115" t="str">
        <x:v>Security, Privacy &amp; Compliance
Cost &amp; FinOps
Operations &amp; Support
Reliability &amp; Resilience
Performance &amp; Scalability
Data Residency &amp; Sovereignty
Portability &amp; Exit
Responsible AI &amp; Model Risk</x:v>
      </x:c>
      <x:c r="F58" s="115" t="str">
        <x:v>07 AI &amp; Intelligent Systems</x:v>
      </x:c>
      <x:c r="G58" s="115" t="str">
        <x:v>AI &amp; Machine Learning</x:v>
      </x:c>
      <x:c r="H58" s="115" t="str">
        <x:v>Video AI</x:v>
      </x:c>
      <x:c r="I58" s="115" t="str">
        <x:v>Video intelligence</x:v>
      </x:c>
      <x:c r="J58" s="115" t="str">
        <x:v>Analyse, index and extract metadata from video content.</x:v>
      </x:c>
      <x:c r="K58" s="115" t="str">
        <x:v>Choose this capability when you need to analyse, index and extract metadata from video content.</x:v>
      </x:c>
      <x:c r="L58" s="115" t="str">
        <x:v>What business outcome, scale, control, integration and operating model justify choosing video intelligence?</x:v>
      </x:c>
      <x:c r="M58" s="115" t="str">
        <x:v>Managed speed and native integration versus model portability, transparency and control.</x:v>
      </x:c>
      <x:c r="N58" s="115" t="n">
        <x:v>3</x:v>
      </x:c>
      <x:c r="O58" s="115" t="str">
        <x:v>Moderate</x:v>
      </x:c>
      <x:c r="P58" s="115" t="str">
        <x:v>1–3 weeks</x:v>
      </x:c>
      <x:c r="Q58" s="115" t="str">
        <x:v>Medium</x:v>
      </x:c>
      <x:c r="R58" s="115" t="str">
        <x:v>Amazon Rekognition Video</x:v>
      </x:c>
      <x:c r="S58" s="115" t="str">
        <x:v>Azure AI Video Indexer
Azure Content Understanding</x:v>
      </x:c>
      <x:c r="T58" s="115" t="str">
        <x:v>Video Intelligence API
Agent Platform Vision</x:v>
      </x:c>
      <x:c r="U58" s="115" t="n">
        <x:v>3.88</x:v>
      </x:c>
      <x:c r="V58" s="115" t="n">
        <x:v>3.84</x:v>
      </x:c>
      <x:c r="W58" s="115" t="n">
        <x:v>3.85</x:v>
      </x:c>
      <x:c r="X58" s="118" t="str">
        <x:v>Context-dependent tie</x:v>
      </x:c>
      <x:c r="Y58" s="115" t="str">
        <x:v>Scores are close: use ecosystem, data gravity, region, skills, commercials and proof-of-value results to decide.</x:v>
      </x:c>
      <x:c r="Z58" s="115" t="str">
        <x:v>Close</x:v>
      </x:c>
      <x:c r="AA58" s="115"/>
      <x:c r="AB58" s="115" t="str">
        <x:v>2026-07-12</x:v>
      </x:c>
      <x:c r="AC58" s="115" t="str">
        <x:v>Scored and mapped</x:v>
      </x:c>
      <x:c r="AD58" s="115" t="str">
        <x:v>https://docs.cloud.google.com/docs/product-list</x:v>
      </x:c>
    </x:row>
    <x:row r="59">
      <x:c r="A59" s="115" t="str">
        <x:v>3. Data &amp; Intelligence</x:v>
      </x:c>
      <x:c r="B59" s="115" t="str">
        <x:v>13. Traditional AI/ML, MLOps &amp; Cognitive APIs</x:v>
      </x:c>
      <x:c r="C59" s="115" t="str">
        <x:v>Prebuilt Cognitive AI Services</x:v>
      </x:c>
      <x:c r="D59" s="115" t="str">
        <x:v>Adopt &amp; Build</x:v>
      </x:c>
      <x:c r="E59" s="115" t="str">
        <x:v>Security, Privacy &amp; Compliance
Cost &amp; FinOps
Operations &amp; Support
Reliability &amp; Resilience
Performance &amp; Scalability
Data Residency &amp; Sovereignty
Portability &amp; Exit
Responsible AI &amp; Model Risk</x:v>
      </x:c>
      <x:c r="F59" s="115" t="str">
        <x:v>07 AI &amp; Intelligent Systems</x:v>
      </x:c>
      <x:c r="G59" s="115" t="str">
        <x:v>AI &amp; Machine Learning</x:v>
      </x:c>
      <x:c r="H59" s="115" t="str">
        <x:v>Document AI</x:v>
      </x:c>
      <x:c r="I59" s="115" t="str">
        <x:v>Document extraction and OCR</x:v>
      </x:c>
      <x:c r="J59" s="115" t="str">
        <x:v>Extract text, tables, forms and structured fields from documents.</x:v>
      </x:c>
      <x:c r="K59" s="115" t="str">
        <x:v>Choose this capability when you need to extract text, tables, forms and structured fields from documents.</x:v>
      </x:c>
      <x:c r="L59" s="115" t="str">
        <x:v>What business outcome, scale, control, integration and operating model justify choosing document extraction and ocr?</x:v>
      </x:c>
      <x:c r="M59" s="115" t="str">
        <x:v>Managed speed and native integration versus model portability, transparency and control.</x:v>
      </x:c>
      <x:c r="N59" s="115" t="n">
        <x:v>3</x:v>
      </x:c>
      <x:c r="O59" s="115" t="str">
        <x:v>Moderate</x:v>
      </x:c>
      <x:c r="P59" s="115" t="str">
        <x:v>1–3 weeks</x:v>
      </x:c>
      <x:c r="Q59" s="115" t="str">
        <x:v>Medium</x:v>
      </x:c>
      <x:c r="R59" s="115" t="str">
        <x:v>Amazon Textract</x:v>
      </x:c>
      <x:c r="S59" s="115" t="str">
        <x:v>Azure Document Intelligence
Azure Content Understanding</x:v>
      </x:c>
      <x:c r="T59" s="115" t="str">
        <x:v>Document AI</x:v>
      </x:c>
      <x:c r="U59" s="115" t="n">
        <x:v>3.95</x:v>
      </x:c>
      <x:c r="V59" s="115" t="n">
        <x:v>3.89</x:v>
      </x:c>
      <x:c r="W59" s="115" t="n">
        <x:v>4.02</x:v>
      </x:c>
      <x:c r="X59" s="118" t="str">
        <x:v>Context-dependent tie</x:v>
      </x:c>
      <x:c r="Y59" s="115" t="str">
        <x:v>Scores are close: use ecosystem, data gravity, region, skills, commercials and proof-of-value results to decide.</x:v>
      </x:c>
      <x:c r="Z59" s="115" t="str">
        <x:v>Exact</x:v>
      </x:c>
      <x:c r="AA59" s="115"/>
      <x:c r="AB59" s="115" t="str">
        <x:v>2026-07-12</x:v>
      </x:c>
      <x:c r="AC59" s="115" t="str">
        <x:v>Scored and mapped</x:v>
      </x:c>
      <x:c r="AD59" s="115" t="str">
        <x:v>https://docs.cloud.google.com/docs/product-list</x:v>
      </x:c>
    </x:row>
    <x:row r="60">
      <x:c r="A60" s="115" t="str">
        <x:v>3. Data &amp; Intelligence</x:v>
      </x:c>
      <x:c r="B60" s="115" t="str">
        <x:v>13. Traditional AI/ML, MLOps &amp; Cognitive APIs</x:v>
      </x:c>
      <x:c r="C60" s="115" t="str">
        <x:v>Prebuilt Cognitive AI Services</x:v>
      </x:c>
      <x:c r="D60" s="115" t="str">
        <x:v>Adopt &amp; Build</x:v>
      </x:c>
      <x:c r="E60" s="115" t="str">
        <x:v>Security, Privacy &amp; Compliance
Cost &amp; FinOps
Operations &amp; Support
Reliability &amp; Resilience
Performance &amp; Scalability
Data Residency &amp; Sovereignty
Portability &amp; Exit
Responsible AI &amp; Model Risk</x:v>
      </x:c>
      <x:c r="F60" s="115" t="str">
        <x:v>07 AI &amp; Intelligent Systems</x:v>
      </x:c>
      <x:c r="G60" s="115" t="str">
        <x:v>AI &amp; Machine Learning</x:v>
      </x:c>
      <x:c r="H60" s="115" t="str">
        <x:v>Conversational AI</x:v>
      </x:c>
      <x:c r="I60" s="115" t="str">
        <x:v>Conversational bot platform</x:v>
      </x:c>
      <x:c r="J60" s="115" t="str">
        <x:v>Build intent-based conversational assistants for voice and text channels.</x:v>
      </x:c>
      <x:c r="K60" s="115" t="str">
        <x:v>Choose this capability when you need to build intent-based conversational assistants for voice and text channels.</x:v>
      </x:c>
      <x:c r="L60" s="115" t="str">
        <x:v>What business outcome, scale, control, integration and operating model justify choosing conversational bot platform?</x:v>
      </x:c>
      <x:c r="M60" s="115" t="str">
        <x:v>Managed speed and native integration versus model portability, transparency and control.</x:v>
      </x:c>
      <x:c r="N60" s="115" t="n">
        <x:v>3</x:v>
      </x:c>
      <x:c r="O60" s="115" t="str">
        <x:v>Moderate</x:v>
      </x:c>
      <x:c r="P60" s="115" t="str">
        <x:v>1–3 weeks</x:v>
      </x:c>
      <x:c r="Q60" s="115" t="str">
        <x:v>Medium</x:v>
      </x:c>
      <x:c r="R60" s="115" t="str">
        <x:v>Amazon Lex</x:v>
      </x:c>
      <x:c r="S60" s="115" t="str">
        <x:v>Azure AI Bot Service
Azure Language</x:v>
      </x:c>
      <x:c r="T60" s="115" t="str">
        <x:v>Conversational Agents (Dialogflow CX)
Dialogflow ES</x:v>
      </x:c>
      <x:c r="U60" s="115" t="n">
        <x:v>3.88</x:v>
      </x:c>
      <x:c r="V60" s="115" t="n">
        <x:v>3.84</x:v>
      </x:c>
      <x:c r="W60" s="115" t="n">
        <x:v>3.85</x:v>
      </x:c>
      <x:c r="X60" s="118" t="str">
        <x:v>Context-dependent tie</x:v>
      </x:c>
      <x:c r="Y60" s="115" t="str">
        <x:v>Scores are close: use ecosystem, data gravity, region, skills, commercials and proof-of-value results to decide.</x:v>
      </x:c>
      <x:c r="Z60" s="115" t="str">
        <x:v>Close</x:v>
      </x:c>
      <x:c r="AA60" s="115"/>
      <x:c r="AB60" s="115" t="str">
        <x:v>2026-07-12</x:v>
      </x:c>
      <x:c r="AC60" s="115" t="str">
        <x:v>Scored and mapped</x:v>
      </x:c>
      <x:c r="AD60" s="115" t="str">
        <x:v>https://docs.cloud.google.com/docs/product-list</x:v>
      </x:c>
    </x:row>
    <x:row r="61">
      <x:c r="A61" s="115" t="str">
        <x:v>3. Data &amp; Intelligence</x:v>
      </x:c>
      <x:c r="B61" s="115" t="str">
        <x:v>14. Generative AI, Agents, RAG, AI Safety &amp; Governance</x:v>
      </x:c>
      <x:c r="C61" s="115" t="str">
        <x:v>Agents, RAG &amp; Enterprise Search</x:v>
      </x:c>
      <x:c r="D61" s="115" t="str">
        <x:v>Adopt &amp; Build</x:v>
      </x:c>
      <x:c r="E61" s="115" t="str">
        <x:v>Security, Privacy &amp; Compliance
Cost &amp; FinOps
Operations &amp; Support
Reliability &amp; Resilience
Performance &amp; Scalability
Data Residency &amp; Sovereignty
Portability &amp; Exit
Responsible AI &amp; Model Risk</x:v>
      </x:c>
      <x:c r="F61" s="115" t="str">
        <x:v>07 AI &amp; Intelligent Systems</x:v>
      </x:c>
      <x:c r="G61" s="115" t="str">
        <x:v>AI &amp; Machine Learning</x:v>
      </x:c>
      <x:c r="H61" s="115" t="str">
        <x:v>Contact-centre AI</x:v>
      </x:c>
      <x:c r="I61" s="115" t="str">
        <x:v>Agent assistance and conversation analytics</x:v>
      </x:c>
      <x:c r="J61" s="115" t="str">
        <x:v>Assist human contact-centre agents and analyse customer interactions.</x:v>
      </x:c>
      <x:c r="K61" s="115" t="str">
        <x:v>Choose this capability when you need to assist human contact-centre agents and analyse customer interactions.</x:v>
      </x:c>
      <x:c r="L61" s="115" t="str">
        <x:v>What must the system retrieve, reason over, call as tools, govern and observe?</x:v>
      </x:c>
      <x:c r="M61" s="115" t="str">
        <x:v>Managed speed and native integration versus model portability, transparency and control.</x:v>
      </x:c>
      <x:c r="N61" s="115" t="n">
        <x:v>3</x:v>
      </x:c>
      <x:c r="O61" s="115" t="str">
        <x:v>Moderate</x:v>
      </x:c>
      <x:c r="P61" s="115" t="str">
        <x:v>1–3 weeks</x:v>
      </x:c>
      <x:c r="Q61" s="115" t="str">
        <x:v>Medium</x:v>
      </x:c>
      <x:c r="R61" s="115" t="str">
        <x:v>Amazon Connect
Amazon Q in Connect
Contact Lens</x:v>
      </x:c>
      <x:c r="S61" s="115" t="str">
        <x:v>Dynamics 365 Contact Center
Azure Communication Services
Microsoft Foundry</x:v>
      </x:c>
      <x:c r="T61" s="115" t="str">
        <x:v>Agent Assist
Customer Experience Insights
Google Cloud CCaaS</x:v>
      </x:c>
      <x:c r="U61" s="115" t="n">
        <x:v>3.63</x:v>
      </x:c>
      <x:c r="V61" s="115" t="n">
        <x:v>3.65</x:v>
      </x:c>
      <x:c r="W61" s="115" t="n">
        <x:v>3.83</x:v>
      </x:c>
      <x:c r="X61" s="118" t="str">
        <x:v>GCP</x:v>
      </x:c>
      <x:c r="Y61" s="115" t="str">
        <x:v>Start with Google Cloud when data, AI, Kubernetes, network or managed developer experience is the main differentiator.</x:v>
      </x:c>
      <x:c r="Z61" s="115" t="str">
        <x:v>Partial</x:v>
      </x:c>
      <x:c r="AA61" s="115"/>
      <x:c r="AB61" s="115" t="str">
        <x:v>2026-07-12</x:v>
      </x:c>
      <x:c r="AC61" s="115" t="str">
        <x:v>Scored and mapped</x:v>
      </x:c>
      <x:c r="AD61" s="115" t="str">
        <x:v>https://docs.cloud.google.com/docs/product-list</x:v>
      </x:c>
    </x:row>
    <x:row r="62">
      <x:c r="A62" s="115" t="str">
        <x:v>3. Data &amp; Intelligence</x:v>
      </x:c>
      <x:c r="B62" s="115" t="str">
        <x:v>13. Traditional AI/ML, MLOps &amp; Cognitive APIs</x:v>
      </x:c>
      <x:c r="C62" s="115" t="str">
        <x:v>Industry &amp; Applied AI</x:v>
      </x:c>
      <x:c r="D62" s="115" t="str">
        <x:v>Adopt &amp; Build</x:v>
      </x:c>
      <x:c r="E62" s="115" t="str">
        <x:v>Security, Privacy &amp; Compliance
Cost &amp; FinOps
Operations &amp; Support
Reliability &amp; Resilience
Performance &amp; Scalability
Data Residency &amp; Sovereignty
Portability &amp; Exit
Responsible AI &amp; Model Risk</x:v>
      </x:c>
      <x:c r="F62" s="115" t="str">
        <x:v>07 AI &amp; Intelligent Systems</x:v>
      </x:c>
      <x:c r="G62" s="115" t="str">
        <x:v>AI &amp; Machine Learning</x:v>
      </x:c>
      <x:c r="H62" s="115" t="str">
        <x:v>Personalisation</x:v>
      </x:c>
      <x:c r="I62" s="115" t="str">
        <x:v>Managed recommendations</x:v>
      </x:c>
      <x:c r="J62" s="115" t="str">
        <x:v>Deliver personalised rankings and recommendations from behavioural data.</x:v>
      </x:c>
      <x:c r="K62" s="115" t="str">
        <x:v>Choose this capability when you need to deliver personalised rankings and recommendations from behavioural data.</x:v>
      </x:c>
      <x:c r="L62" s="115" t="str">
        <x:v>What business outcome, scale, control, integration and operating model justify choosing managed recommendations?</x:v>
      </x:c>
      <x:c r="M62" s="115" t="str">
        <x:v>Managed speed and native integration versus model portability, transparency and control.</x:v>
      </x:c>
      <x:c r="N62" s="115" t="n">
        <x:v>3</x:v>
      </x:c>
      <x:c r="O62" s="115" t="str">
        <x:v>Moderate</x:v>
      </x:c>
      <x:c r="P62" s="115" t="str">
        <x:v>1–3 weeks</x:v>
      </x:c>
      <x:c r="Q62" s="115" t="str">
        <x:v>Medium</x:v>
      </x:c>
      <x:c r="R62" s="115" t="str">
        <x:v>Amazon Personalize</x:v>
      </x:c>
      <x:c r="S62" s="115" t="str">
        <x:v>Azure Machine Learning</x:v>
      </x:c>
      <x:c r="T62" s="115" t="str">
        <x:v>Recommendations AI / AI Commerce Search</x:v>
      </x:c>
      <x:c r="U62" s="115" t="n">
        <x:v>3.7</x:v>
      </x:c>
      <x:c r="V62" s="115" t="n">
        <x:v>3.74</x:v>
      </x:c>
      <x:c r="W62" s="115" t="n">
        <x:v>3.68</x:v>
      </x:c>
      <x:c r="X62" s="118" t="str">
        <x:v>Context-dependent tie</x:v>
      </x:c>
      <x:c r="Y62" s="115" t="str">
        <x:v>Scores are close: use ecosystem, data gravity, region, skills, commercials and proof-of-value results to decide.</x:v>
      </x:c>
      <x:c r="Z62" s="115" t="str">
        <x:v>Partial</x:v>
      </x:c>
      <x:c r="AA62" s="115"/>
      <x:c r="AB62" s="115" t="str">
        <x:v>2026-07-12</x:v>
      </x:c>
      <x:c r="AC62" s="115" t="str">
        <x:v>Scored and mapped</x:v>
      </x:c>
      <x:c r="AD62" s="115" t="str">
        <x:v>https://docs.cloud.google.com/docs/product-list</x:v>
      </x:c>
    </x:row>
    <x:row r="63">
      <x:c r="A63" s="115" t="str">
        <x:v>3. Data &amp; Intelligence</x:v>
      </x:c>
      <x:c r="B63" s="115" t="str">
        <x:v>13. Traditional AI/ML, MLOps &amp; Cognitive APIs</x:v>
      </x:c>
      <x:c r="C63" s="115" t="str">
        <x:v>Industry &amp; Applied AI</x:v>
      </x:c>
      <x:c r="D63" s="115" t="str">
        <x:v>Adopt &amp; Build</x:v>
      </x:c>
      <x:c r="E63" s="115" t="str">
        <x:v>Security, Privacy &amp; Compliance
Cost &amp; FinOps
Operations &amp; Support
Reliability &amp; Resilience
Performance &amp; Scalability
Data Residency &amp; Sovereignty
Portability &amp; Exit
Responsible AI &amp; Model Risk</x:v>
      </x:c>
      <x:c r="F63" s="115" t="str">
        <x:v>07 AI &amp; Intelligent Systems</x:v>
      </x:c>
      <x:c r="G63" s="115" t="str">
        <x:v>AI &amp; Machine Learning</x:v>
      </x:c>
      <x:c r="H63" s="115" t="str">
        <x:v>Forecasting</x:v>
      </x:c>
      <x:c r="I63" s="115" t="str">
        <x:v>Demand and time-series forecasting</x:v>
      </x:c>
      <x:c r="J63" s="115" t="str">
        <x:v>Create forecasts from historical time-series and related data.</x:v>
      </x:c>
      <x:c r="K63" s="115" t="str">
        <x:v>Choose this capability when you need to create forecasts from historical time-series and related data.</x:v>
      </x:c>
      <x:c r="L63" s="115" t="str">
        <x:v>What business outcome, scale, control, integration and operating model justify choosing demand and time-series forecasting?</x:v>
      </x:c>
      <x:c r="M63" s="115" t="str">
        <x:v>Managed speed and native integration versus model portability, transparency and control.</x:v>
      </x:c>
      <x:c r="N63" s="115" t="n">
        <x:v>3</x:v>
      </x:c>
      <x:c r="O63" s="115" t="str">
        <x:v>Moderate</x:v>
      </x:c>
      <x:c r="P63" s="115" t="str">
        <x:v>1–3 weeks</x:v>
      </x:c>
      <x:c r="Q63" s="115" t="str">
        <x:v>Medium</x:v>
      </x:c>
      <x:c r="R63" s="115" t="str">
        <x:v>Amazon SageMaker AI
Amazon Forecast legacy</x:v>
      </x:c>
      <x:c r="S63" s="115" t="str">
        <x:v>Azure Machine Learning
Azure Databricks</x:v>
      </x:c>
      <x:c r="T63" s="115" t="str">
        <x:v>Vertex AI
BigQuery ML</x:v>
      </x:c>
      <x:c r="U63" s="115" t="n">
        <x:v>3.26</x:v>
      </x:c>
      <x:c r="V63" s="115" t="n">
        <x:v>3.65</x:v>
      </x:c>
      <x:c r="W63" s="115" t="n">
        <x:v>3.68</x:v>
      </x:c>
      <x:c r="X63" s="118" t="str">
        <x:v>Context-dependent tie</x:v>
      </x:c>
      <x:c r="Y63" s="115" t="str">
        <x:v>Scores are close: use ecosystem, data gravity, region, skills, commercials and proof-of-value results to decide.</x:v>
      </x:c>
      <x:c r="Z63" s="115" t="str">
        <x:v>Partial</x:v>
      </x:c>
      <x:c r="AA63" s="115"/>
      <x:c r="AB63" s="115" t="str">
        <x:v>2026-07-12</x:v>
      </x:c>
      <x:c r="AC63" s="115" t="str">
        <x:v>Scored and mapped</x:v>
      </x:c>
      <x:c r="AD63" s="115" t="str">
        <x:v>https://docs.cloud.google.com/docs/product-list</x:v>
      </x:c>
    </x:row>
    <x:row r="64">
      <x:c r="A64" s="115" t="str">
        <x:v>3. Data &amp; Intelligence</x:v>
      </x:c>
      <x:c r="B64" s="115" t="str">
        <x:v>13. Traditional AI/ML, MLOps &amp; Cognitive APIs</x:v>
      </x:c>
      <x:c r="C64" s="115" t="str">
        <x:v>Industry &amp; Applied AI</x:v>
      </x:c>
      <x:c r="D64" s="115" t="str">
        <x:v>Adopt &amp; Build</x:v>
      </x:c>
      <x:c r="E64" s="115" t="str">
        <x:v>Security, Privacy &amp; Compliance
Cost &amp; FinOps
Operations &amp; Support
Reliability &amp; Resilience
Performance &amp; Scalability
Data Residency &amp; Sovereignty
Portability &amp; Exit
Responsible AI &amp; Model Risk</x:v>
      </x:c>
      <x:c r="F64" s="115" t="str">
        <x:v>07 AI &amp; Intelligent Systems</x:v>
      </x:c>
      <x:c r="G64" s="115" t="str">
        <x:v>AI &amp; Machine Learning</x:v>
      </x:c>
      <x:c r="H64" s="115" t="str">
        <x:v>Fraud &amp; risk</x:v>
      </x:c>
      <x:c r="I64" s="115" t="str">
        <x:v>Fraud detection</x:v>
      </x:c>
      <x:c r="J64" s="115" t="str">
        <x:v>Build or consume models that identify suspicious transactions and behaviour.</x:v>
      </x:c>
      <x:c r="K64" s="115" t="str">
        <x:v>Choose this capability when you need to build or consume models that identify suspicious transactions and behaviour.</x:v>
      </x:c>
      <x:c r="L64" s="115" t="str">
        <x:v>What business outcome, scale, control, integration and operating model justify choosing fraud detection?</x:v>
      </x:c>
      <x:c r="M64" s="115" t="str">
        <x:v>Managed speed and native integration versus model portability, transparency and control.</x:v>
      </x:c>
      <x:c r="N64" s="115" t="n">
        <x:v>3</x:v>
      </x:c>
      <x:c r="O64" s="115" t="str">
        <x:v>Moderate</x:v>
      </x:c>
      <x:c r="P64" s="115" t="str">
        <x:v>1–3 weeks</x:v>
      </x:c>
      <x:c r="Q64" s="115" t="str">
        <x:v>Medium</x:v>
      </x:c>
      <x:c r="R64" s="115" t="str">
        <x:v>Amazon Fraud Detector
SageMaker AI</x:v>
      </x:c>
      <x:c r="S64" s="115" t="str">
        <x:v>Azure Machine Learning
Microsoft Fabric</x:v>
      </x:c>
      <x:c r="T64" s="115" t="str">
        <x:v>Anti Money Laundering AI
Vertex AI</x:v>
      </x:c>
      <x:c r="U64" s="115" t="n">
        <x:v>3.63</x:v>
      </x:c>
      <x:c r="V64" s="115" t="n">
        <x:v>3.65</x:v>
      </x:c>
      <x:c r="W64" s="115" t="n">
        <x:v>3.68</x:v>
      </x:c>
      <x:c r="X64" s="118" t="str">
        <x:v>Context-dependent tie</x:v>
      </x:c>
      <x:c r="Y64" s="115" t="str">
        <x:v>Scores are close: use ecosystem, data gravity, region, skills, commercials and proof-of-value results to decide.</x:v>
      </x:c>
      <x:c r="Z64" s="115" t="str">
        <x:v>Partial</x:v>
      </x:c>
      <x:c r="AA64" s="115"/>
      <x:c r="AB64" s="115" t="str">
        <x:v>2026-07-12</x:v>
      </x:c>
      <x:c r="AC64" s="115" t="str">
        <x:v>Scored and mapped</x:v>
      </x:c>
      <x:c r="AD64" s="115" t="str">
        <x:v>https://docs.cloud.google.com/docs/product-list</x:v>
      </x:c>
    </x:row>
    <x:row r="65">
      <x:c r="A65" s="115" t="str">
        <x:v>3. Data &amp; Intelligence</x:v>
      </x:c>
      <x:c r="B65" s="115" t="str">
        <x:v>13. Traditional AI/ML, MLOps &amp; Cognitive APIs</x:v>
      </x:c>
      <x:c r="C65" s="115" t="str">
        <x:v>Industry &amp; Applied AI</x:v>
      </x:c>
      <x:c r="D65" s="115" t="str">
        <x:v>Adopt &amp; Build</x:v>
      </x:c>
      <x:c r="E65" s="115" t="str">
        <x:v>Security, Privacy &amp; Compliance
Cost &amp; FinOps
Operations &amp; Support
Reliability &amp; Resilience
Performance &amp; Scalability
Data Residency &amp; Sovereignty
Portability &amp; Exit
Responsible AI &amp; Model Risk</x:v>
      </x:c>
      <x:c r="F65" s="115" t="str">
        <x:v>07 AI &amp; Intelligent Systems</x:v>
      </x:c>
      <x:c r="G65" s="115" t="str">
        <x:v>AI &amp; Machine Learning</x:v>
      </x:c>
      <x:c r="H65" s="115" t="str">
        <x:v>Anomaly detection</x:v>
      </x:c>
      <x:c r="I65" s="115" t="str">
        <x:v>Anomaly and metric detection</x:v>
      </x:c>
      <x:c r="J65" s="115" t="str">
        <x:v>Identify unusual patterns in metrics, events or industrial equipment.</x:v>
      </x:c>
      <x:c r="K65" s="115" t="str">
        <x:v>Choose this capability when you need to identify unusual patterns in metrics, events or industrial equipment.</x:v>
      </x:c>
      <x:c r="L65" s="115" t="str">
        <x:v>What business outcome, scale, control, integration and operating model justify choosing anomaly and metric detection?</x:v>
      </x:c>
      <x:c r="M65" s="115" t="str">
        <x:v>Managed speed and native integration versus model portability, transparency and control.</x:v>
      </x:c>
      <x:c r="N65" s="115" t="n">
        <x:v>3</x:v>
      </x:c>
      <x:c r="O65" s="115" t="str">
        <x:v>Moderate</x:v>
      </x:c>
      <x:c r="P65" s="115" t="str">
        <x:v>1–3 weeks</x:v>
      </x:c>
      <x:c r="Q65" s="115" t="str">
        <x:v>Medium</x:v>
      </x:c>
      <x:c r="R65" s="115" t="str">
        <x:v>Amazon Lookout for Equipment
Amazon DevOps Guru</x:v>
      </x:c>
      <x:c r="S65" s="115" t="str">
        <x:v>Azure Machine Learning
Azure Monitor</x:v>
      </x:c>
      <x:c r="T65" s="115" t="str">
        <x:v>Vertex AI
Cloud Monitoring</x:v>
      </x:c>
      <x:c r="U65" s="115" t="n">
        <x:v>3.63</x:v>
      </x:c>
      <x:c r="V65" s="115" t="n">
        <x:v>3.65</x:v>
      </x:c>
      <x:c r="W65" s="115" t="n">
        <x:v>3.68</x:v>
      </x:c>
      <x:c r="X65" s="118" t="str">
        <x:v>Context-dependent tie</x:v>
      </x:c>
      <x:c r="Y65" s="115" t="str">
        <x:v>Scores are close: use ecosystem, data gravity, region, skills, commercials and proof-of-value results to decide.</x:v>
      </x:c>
      <x:c r="Z65" s="115" t="str">
        <x:v>Partial</x:v>
      </x:c>
      <x:c r="AA65" s="115"/>
      <x:c r="AB65" s="115" t="str">
        <x:v>2026-07-12</x:v>
      </x:c>
      <x:c r="AC65" s="115" t="str">
        <x:v>Scored and mapped</x:v>
      </x:c>
      <x:c r="AD65" s="115" t="str">
        <x:v>https://docs.cloud.google.com/docs/product-list</x:v>
      </x:c>
    </x:row>
    <x:row r="66">
      <x:c r="A66" s="115" t="str">
        <x:v>6. Edge, Industry &amp; Specialist</x:v>
      </x:c>
      <x:c r="B66" s="115" t="str">
        <x:v>23. Industry Clouds, Sovereign, Enterprise Apps &amp; Regulated Workloads</x:v>
      </x:c>
      <x:c r="C66" s="115" t="str">
        <x:v>Industry &amp; Applied AI</x:v>
      </x:c>
      <x:c r="D66" s="115" t="str">
        <x:v>Adopt &amp; Build</x:v>
      </x:c>
      <x:c r="E66" s="115" t="str">
        <x:v>Security, Privacy &amp; Compliance
Cost &amp; FinOps
Operations &amp; Support
Data Residency &amp; Sovereignty</x:v>
      </x:c>
      <x:c r="F66" s="115" t="str">
        <x:v>07 AI &amp; Intelligent Systems</x:v>
      </x:c>
      <x:c r="G66" s="115" t="str">
        <x:v>AI &amp; Machine Learning</x:v>
      </x:c>
      <x:c r="H66" s="115" t="str">
        <x:v>Healthcare AI</x:v>
      </x:c>
      <x:c r="I66" s="115" t="str">
        <x:v>Healthcare data and AI</x:v>
      </x:c>
      <x:c r="J66" s="115" t="str">
        <x:v>Ingest, normalise, search and apply AI to healthcare information.</x:v>
      </x:c>
      <x:c r="K66" s="115" t="str">
        <x:v>Choose this capability when you need to ingest, normalise, search and apply ai to healthcare information.</x:v>
      </x:c>
      <x:c r="L66" s="115" t="str">
        <x:v>What business outcome, scale, control, integration and operating model justify choosing healthcare data and ai?</x:v>
      </x:c>
      <x:c r="M66" s="115" t="str">
        <x:v>Managed speed and native integration versus model portability, transparency and control.</x:v>
      </x:c>
      <x:c r="N66" s="115" t="n">
        <x:v>3</x:v>
      </x:c>
      <x:c r="O66" s="115" t="str">
        <x:v>Moderate</x:v>
      </x:c>
      <x:c r="P66" s="115" t="str">
        <x:v>1–3 weeks</x:v>
      </x:c>
      <x:c r="Q66" s="115" t="str">
        <x:v>Medium</x:v>
      </x:c>
      <x:c r="R66" s="115" t="str">
        <x:v>AWS HealthLake
AWS HealthScribe
Amazon Comprehend Medical</x:v>
      </x:c>
      <x:c r="S66" s="115" t="str">
        <x:v>Azure Health Data Services
Microsoft Cloud for Healthcare</x:v>
      </x:c>
      <x:c r="T66" s="115" t="str">
        <x:v>Cloud Healthcare API
Healthcare Data Engine</x:v>
      </x:c>
      <x:c r="U66" s="115" t="n">
        <x:v>3.8</x:v>
      </x:c>
      <x:c r="V66" s="115" t="n">
        <x:v>3.84</x:v>
      </x:c>
      <x:c r="W66" s="115" t="n">
        <x:v>3.85</x:v>
      </x:c>
      <x:c r="X66" s="118" t="str">
        <x:v>Context-dependent tie</x:v>
      </x:c>
      <x:c r="Y66" s="115" t="str">
        <x:v>Scores are close: use ecosystem, data gravity, region, skills, commercials and proof-of-value results to decide.</x:v>
      </x:c>
      <x:c r="Z66" s="115" t="str">
        <x:v>Close</x:v>
      </x:c>
      <x:c r="AA66" s="115"/>
      <x:c r="AB66" s="115" t="str">
        <x:v>2026-07-12</x:v>
      </x:c>
      <x:c r="AC66" s="115" t="str">
        <x:v>Scored and mapped</x:v>
      </x:c>
      <x:c r="AD66" s="115" t="str">
        <x:v>https://docs.cloud.google.com/docs/product-list</x:v>
      </x:c>
    </x:row>
    <x:row r="67">
      <x:c r="A67" s="115" t="str">
        <x:v>3. Data &amp; Intelligence</x:v>
      </x:c>
      <x:c r="B67" s="115" t="str">
        <x:v>14. Generative AI, Agents, RAG, AI Safety &amp; Governance</x:v>
      </x:c>
      <x:c r="C67" s="115" t="str">
        <x:v>Industry &amp; Applied AI</x:v>
      </x:c>
      <x:c r="D67" s="115" t="str">
        <x:v>Adopt &amp; Build</x:v>
      </x:c>
      <x:c r="E67" s="115" t="str">
        <x:v>Security, Privacy &amp; Compliance
Cost &amp; FinOps
Operations &amp; Support
Reliability &amp; Resilience
Performance &amp; Scalability
Data Residency &amp; Sovereignty
Portability &amp; Exit
Responsible AI &amp; Model Risk</x:v>
      </x:c>
      <x:c r="F67" s="115" t="str">
        <x:v>07 AI &amp; Intelligent Systems</x:v>
      </x:c>
      <x:c r="G67" s="115" t="str">
        <x:v>AI &amp; Machine Learning</x:v>
      </x:c>
      <x:c r="H67" s="115" t="str">
        <x:v>Developer AI</x:v>
      </x:c>
      <x:c r="I67" s="115" t="str">
        <x:v>AI coding assistant</x:v>
      </x:c>
      <x:c r="J67" s="115" t="str">
        <x:v>Generate, explain, review and transform code within developer workflows.</x:v>
      </x:c>
      <x:c r="K67" s="115" t="str">
        <x:v>Choose this capability when you need to generate, explain, review and transform code within developer workflows.</x:v>
      </x:c>
      <x:c r="L67" s="115" t="str">
        <x:v>What business outcome, scale, control, integration and operating model justify choosing ai coding assistant?</x:v>
      </x:c>
      <x:c r="M67" s="115" t="str">
        <x:v>Managed speed and native integration versus model portability, transparency and control.</x:v>
      </x:c>
      <x:c r="N67" s="115" t="n">
        <x:v>3</x:v>
      </x:c>
      <x:c r="O67" s="115" t="str">
        <x:v>Moderate</x:v>
      </x:c>
      <x:c r="P67" s="115" t="str">
        <x:v>1–3 weeks</x:v>
      </x:c>
      <x:c r="Q67" s="115" t="str">
        <x:v>Medium</x:v>
      </x:c>
      <x:c r="R67" s="115" t="str">
        <x:v>Amazon Q Developer
Kiro</x:v>
      </x:c>
      <x:c r="S67" s="115" t="str">
        <x:v>GitHub Copilot</x:v>
      </x:c>
      <x:c r="T67" s="115" t="str">
        <x:v>Gemini Code Assist</x:v>
      </x:c>
      <x:c r="U67" s="115" t="n">
        <x:v>3.8</x:v>
      </x:c>
      <x:c r="V67" s="115" t="n">
        <x:v>3.93</x:v>
      </x:c>
      <x:c r="W67" s="115" t="n">
        <x:v>3.94</x:v>
      </x:c>
      <x:c r="X67" s="118" t="str">
        <x:v>Context-dependent tie</x:v>
      </x:c>
      <x:c r="Y67" s="115" t="str">
        <x:v>Scores are close: use ecosystem, data gravity, region, skills, commercials and proof-of-value results to decide.</x:v>
      </x:c>
      <x:c r="Z67" s="115" t="str">
        <x:v>Close</x:v>
      </x:c>
      <x:c r="AA67" s="115"/>
      <x:c r="AB67" s="115" t="str">
        <x:v>2026-07-12</x:v>
      </x:c>
      <x:c r="AC67" s="115" t="str">
        <x:v>Scored and mapped</x:v>
      </x:c>
      <x:c r="AD67" s="115" t="str">
        <x:v>https://docs.cloud.google.com/docs/product-list</x:v>
      </x:c>
    </x:row>
    <x:row r="68">
      <x:c r="A68" s="115" t="str">
        <x:v>3. Data &amp; Intelligence</x:v>
      </x:c>
      <x:c r="B68" s="115" t="str">
        <x:v>14. Generative AI, Agents, RAG, AI Safety &amp; Governance</x:v>
      </x:c>
      <x:c r="C68" s="115" t="str">
        <x:v>Industry &amp; Applied AI</x:v>
      </x:c>
      <x:c r="D68" s="115" t="str">
        <x:v>Adopt &amp; Build</x:v>
      </x:c>
      <x:c r="E68" s="115" t="str">
        <x:v>Security, Privacy &amp; Compliance
Cost &amp; FinOps
Operations &amp; Support
Reliability &amp; Resilience
Performance &amp; Scalability
Data Residency &amp; Sovereignty
Portability &amp; Exit
Responsible AI &amp; Model Risk</x:v>
      </x:c>
      <x:c r="F68" s="115" t="str">
        <x:v>07 AI &amp; Intelligent Systems</x:v>
      </x:c>
      <x:c r="G68" s="115" t="str">
        <x:v>AI &amp; Machine Learning</x:v>
      </x:c>
      <x:c r="H68" s="115" t="str">
        <x:v>Enterprise AI assistant</x:v>
      </x:c>
      <x:c r="I68" s="115" t="str">
        <x:v>Enterprise AI assistant</x:v>
      </x:c>
      <x:c r="J68" s="115" t="str">
        <x:v>Provide grounded conversational assistance across enterprise systems and cloud operations.</x:v>
      </x:c>
      <x:c r="K68" s="115" t="str">
        <x:v>Choose this capability when you need to provide grounded conversational assistance across enterprise systems and cloud operations.</x:v>
      </x:c>
      <x:c r="L68" s="115" t="str">
        <x:v>What business outcome, scale, control, integration and operating model justify choosing enterprise ai assistant?</x:v>
      </x:c>
      <x:c r="M68" s="115" t="str">
        <x:v>Managed speed and native integration versus model portability, transparency and control.</x:v>
      </x:c>
      <x:c r="N68" s="115" t="n">
        <x:v>3</x:v>
      </x:c>
      <x:c r="O68" s="115" t="str">
        <x:v>Moderate</x:v>
      </x:c>
      <x:c r="P68" s="115" t="str">
        <x:v>1–3 weeks</x:v>
      </x:c>
      <x:c r="Q68" s="115" t="str">
        <x:v>Medium</x:v>
      </x:c>
      <x:c r="R68" s="115" t="str">
        <x:v>Amazon Q Business</x:v>
      </x:c>
      <x:c r="S68" s="115" t="str">
        <x:v>Microsoft 365 Copilot
Azure Copilot</x:v>
      </x:c>
      <x:c r="T68" s="115" t="str">
        <x:v>Gemini Enterprise
Gemini Cloud Assist</x:v>
      </x:c>
      <x:c r="U68" s="115" t="n">
        <x:v>3.7</x:v>
      </x:c>
      <x:c r="V68" s="115" t="n">
        <x:v>3.65</x:v>
      </x:c>
      <x:c r="W68" s="115" t="n">
        <x:v>3.68</x:v>
      </x:c>
      <x:c r="X68" s="118" t="str">
        <x:v>Context-dependent tie</x:v>
      </x:c>
      <x:c r="Y68" s="115" t="str">
        <x:v>Scores are close: use ecosystem, data gravity, region, skills, commercials and proof-of-value results to decide.</x:v>
      </x:c>
      <x:c r="Z68" s="115" t="str">
        <x:v>Partial</x:v>
      </x:c>
      <x:c r="AA68" s="115"/>
      <x:c r="AB68" s="115" t="str">
        <x:v>2026-07-12</x:v>
      </x:c>
      <x:c r="AC68" s="115" t="str">
        <x:v>Scored and mapped</x:v>
      </x:c>
      <x:c r="AD68" s="115" t="str">
        <x:v>https://docs.cloud.google.com/docs/product-list</x:v>
      </x:c>
    </x:row>
    <x:row r="69">
      <x:c r="A69" s="115" t="str">
        <x:v>3. Data &amp; Intelligence</x:v>
      </x:c>
      <x:c r="B69" s="115" t="str">
        <x:v>14. Generative AI, Agents, RAG, AI Safety &amp; Governance</x:v>
      </x:c>
      <x:c r="C69" s="115" t="str">
        <x:v>Foundation Models &amp; GenAI</x:v>
      </x:c>
      <x:c r="D69" s="115" t="str">
        <x:v>Adopt &amp; Build</x:v>
      </x:c>
      <x:c r="E69" s="115" t="str">
        <x:v>Security, Privacy &amp; Compliance
Cost &amp; FinOps
Operations &amp; Support
Reliability &amp; Resilience
Performance &amp; Scalability
Data Residency &amp; Sovereignty
Portability &amp; Exit
Responsible AI &amp; Model Risk</x:v>
      </x:c>
      <x:c r="F69" s="115" t="str">
        <x:v>07 AI &amp; Intelligent Systems</x:v>
      </x:c>
      <x:c r="G69" s="115" t="str">
        <x:v>AI &amp; Machine Learning</x:v>
      </x:c>
      <x:c r="H69" s="115" t="str">
        <x:v>Synthetic media</x:v>
      </x:c>
      <x:c r="I69" s="115" t="str">
        <x:v>Image generation</x:v>
      </x:c>
      <x:c r="J69" s="115" t="str">
        <x:v>Generate or edit images from natural-language instructions.</x:v>
      </x:c>
      <x:c r="K69" s="115" t="str">
        <x:v>Choose this capability when you need to generate or edit images from natural-language instructions.</x:v>
      </x:c>
      <x:c r="L69" s="115" t="str">
        <x:v>Do you need model choice, provider-native models, customisation, enterprise controls, or lowest operational effort?</x:v>
      </x:c>
      <x:c r="M69" s="115" t="str">
        <x:v>Managed speed and native integration versus model portability, transparency and control.</x:v>
      </x:c>
      <x:c r="N69" s="115" t="n">
        <x:v>3</x:v>
      </x:c>
      <x:c r="O69" s="115" t="str">
        <x:v>Moderate</x:v>
      </x:c>
      <x:c r="P69" s="115" t="str">
        <x:v>1–3 weeks</x:v>
      </x:c>
      <x:c r="Q69" s="115" t="str">
        <x:v>Medium</x:v>
      </x:c>
      <x:c r="R69" s="115" t="str">
        <x:v>Amazon Nova Canvas
Amazon Titan Image Generator</x:v>
      </x:c>
      <x:c r="S69" s="115" t="str">
        <x:v>Azure OpenAI image models
Foundry Models</x:v>
      </x:c>
      <x:c r="T69" s="115" t="str">
        <x:v>Imagen on Vertex AI</x:v>
      </x:c>
      <x:c r="U69" s="115" t="n">
        <x:v>3.83</x:v>
      </x:c>
      <x:c r="V69" s="115" t="n">
        <x:v>3.92</x:v>
      </x:c>
      <x:c r="W69" s="115" t="n">
        <x:v>4.18</x:v>
      </x:c>
      <x:c r="X69" s="118" t="str">
        <x:v>GCP</x:v>
      </x:c>
      <x:c r="Y69" s="115" t="str">
        <x:v>Start with Google Cloud when data, AI, Kubernetes, network or managed developer experience is the main differentiator.</x:v>
      </x:c>
      <x:c r="Z69" s="115" t="str">
        <x:v>Close</x:v>
      </x:c>
      <x:c r="AA69" s="115"/>
      <x:c r="AB69" s="115" t="str">
        <x:v>2026-07-12</x:v>
      </x:c>
      <x:c r="AC69" s="115" t="str">
        <x:v>Scored and mapped</x:v>
      </x:c>
      <x:c r="AD69" s="115" t="str">
        <x:v>https://docs.cloud.google.com/docs/product-list</x:v>
      </x:c>
    </x:row>
    <x:row r="70">
      <x:c r="A70" s="115" t="str">
        <x:v>2. Foundation, Infrastructure &amp; Security</x:v>
      </x:c>
      <x:c r="B70" s="115" t="str">
        <x:v>06. Compute, Virtualisation, HPC &amp; Accelerators</x:v>
      </x:c>
      <x:c r="C70" s="115" t="str">
        <x:v>Virtual Machines &amp; Core Compute</x:v>
      </x:c>
      <x:c r="D70" s="115" t="str">
        <x:v>Adopt &amp; Build</x:v>
      </x:c>
      <x:c r="E70" s="115" t="str">
        <x:v>Security, Privacy &amp; Compliance
Cost &amp; FinOps
Operations &amp; Support
Reliability &amp; Resilience
Performance &amp; Scalability
Sustainability</x:v>
      </x:c>
      <x:c r="F70" s="115" t="str">
        <x:v>04 Compute, Containers &amp; Runtime</x:v>
      </x:c>
      <x:c r="G70" s="115" t="str">
        <x:v>Compute &amp; Application Hosting</x:v>
      </x:c>
      <x:c r="H70" s="115" t="str">
        <x:v>Virtual machines</x:v>
      </x:c>
      <x:c r="I70" s="115" t="str">
        <x:v>General-purpose virtual machines</x:v>
      </x:c>
      <x:c r="J70" s="115" t="str">
        <x:v>Provision resizable virtual machines with selectable operating systems and hardware.</x:v>
      </x:c>
      <x:c r="K70" s="115" t="str">
        <x:v>Choose this capability when you need to provision resizable virtual machines with selectable operating systems and hardware.</x:v>
      </x:c>
      <x:c r="L70" s="115" t="str">
        <x:v>How much OS, network and hardware control is required, and who will operate it?</x:v>
      </x:c>
      <x:c r="M70" s="115" t="str">
        <x:v>Operational simplicity versus infrastructure control and portability.</x:v>
      </x:c>
      <x:c r="N70" s="115" t="n">
        <x:v>3</x:v>
      </x:c>
      <x:c r="O70" s="115" t="str">
        <x:v>Moderate</x:v>
      </x:c>
      <x:c r="P70" s="115" t="str">
        <x:v>1–3 weeks</x:v>
      </x:c>
      <x:c r="Q70" s="115" t="str">
        <x:v>Low</x:v>
      </x:c>
      <x:c r="R70" s="115" t="str">
        <x:v>Amazon EC2</x:v>
      </x:c>
      <x:c r="S70" s="115" t="str">
        <x:v>Azure Virtual Machines
Linux Virtual Machines</x:v>
      </x:c>
      <x:c r="T70" s="115" t="str">
        <x:v>Compute Engine</x:v>
      </x:c>
      <x:c r="U70" s="115" t="n">
        <x:v>4.14</x:v>
      </x:c>
      <x:c r="V70" s="115" t="n">
        <x:v>3.95</x:v>
      </x:c>
      <x:c r="W70" s="115" t="n">
        <x:v>4.04</x:v>
      </x:c>
      <x:c r="X70" s="118" t="str">
        <x:v>Context-dependent tie</x:v>
      </x:c>
      <x:c r="Y70" s="115" t="str">
        <x:v>Scores are close: use ecosystem, data gravity, region, skills, commercials and proof-of-value results to decide.</x:v>
      </x:c>
      <x:c r="Z70" s="115" t="str">
        <x:v>Exact</x:v>
      </x:c>
      <x:c r="AA70" s="115"/>
      <x:c r="AB70" s="115" t="str">
        <x:v>2026-07-12</x:v>
      </x:c>
      <x:c r="AC70" s="115" t="str">
        <x:v>Scored and mapped</x:v>
      </x:c>
      <x:c r="AD70" s="115" t="str">
        <x:v>https://azure.microsoft.com/en-us/products/category</x:v>
      </x:c>
    </x:row>
    <x:row r="71">
      <x:c r="A71" s="115" t="str">
        <x:v>2. Foundation, Infrastructure &amp; Security</x:v>
      </x:c>
      <x:c r="B71" s="115" t="str">
        <x:v>06. Compute, Virtualisation, HPC &amp; Accelerators</x:v>
      </x:c>
      <x:c r="C71" s="115" t="str">
        <x:v>Virtual Machines &amp; Core Compute</x:v>
      </x:c>
      <x:c r="D71" s="115" t="str">
        <x:v>Adopt &amp; Build</x:v>
      </x:c>
      <x:c r="E71" s="115" t="str">
        <x:v>Security, Privacy &amp; Compliance
Cost &amp; FinOps
Operations &amp; Support
Reliability &amp; Resilience
Performance &amp; Scalability
Sustainability</x:v>
      </x:c>
      <x:c r="F71" s="115" t="str">
        <x:v>04 Compute, Containers &amp; Runtime</x:v>
      </x:c>
      <x:c r="G71" s="115" t="str">
        <x:v>Compute &amp; Application Hosting</x:v>
      </x:c>
      <x:c r="H71" s="115" t="str">
        <x:v>Autoscaling</x:v>
      </x:c>
      <x:c r="I71" s="115" t="str">
        <x:v>Virtual-machine autoscaling</x:v>
      </x:c>
      <x:c r="J71" s="115" t="str">
        <x:v>Automatically add or remove virtual-machine capacity based on demand or schedules.</x:v>
      </x:c>
      <x:c r="K71" s="115" t="str">
        <x:v>Choose this capability when you need to automatically add or remove virtual-machine capacity based on demand or schedules.</x:v>
      </x:c>
      <x:c r="L71" s="115" t="str">
        <x:v>How much OS, network and hardware control is required, and who will operate it?</x:v>
      </x:c>
      <x:c r="M71" s="115" t="str">
        <x:v>Operational simplicity versus infrastructure control and portability.</x:v>
      </x:c>
      <x:c r="N71" s="115" t="n">
        <x:v>3</x:v>
      </x:c>
      <x:c r="O71" s="115" t="str">
        <x:v>Moderate</x:v>
      </x:c>
      <x:c r="P71" s="115" t="str">
        <x:v>1–3 weeks</x:v>
      </x:c>
      <x:c r="Q71" s="115" t="str">
        <x:v>Low</x:v>
      </x:c>
      <x:c r="R71" s="115" t="str">
        <x:v>Amazon EC2 Auto Scaling</x:v>
      </x:c>
      <x:c r="S71" s="115" t="str">
        <x:v>Virtual Machine Scale Sets</x:v>
      </x:c>
      <x:c r="T71" s="115" t="str">
        <x:v>Managed instance groups</x:v>
      </x:c>
      <x:c r="U71" s="115" t="n">
        <x:v>4.14</x:v>
      </x:c>
      <x:c r="V71" s="115" t="n">
        <x:v>4.06</x:v>
      </x:c>
      <x:c r="W71" s="115" t="n">
        <x:v>4.04</x:v>
      </x:c>
      <x:c r="X71" s="118" t="str">
        <x:v>Context-dependent tie</x:v>
      </x:c>
      <x:c r="Y71" s="115" t="str">
        <x:v>Scores are close: use ecosystem, data gravity, region, skills, commercials and proof-of-value results to decide.</x:v>
      </x:c>
      <x:c r="Z71" s="115" t="str">
        <x:v>Exact</x:v>
      </x:c>
      <x:c r="AA71" s="115"/>
      <x:c r="AB71" s="115" t="str">
        <x:v>2026-07-12</x:v>
      </x:c>
      <x:c r="AC71" s="115" t="str">
        <x:v>Scored and mapped</x:v>
      </x:c>
      <x:c r="AD71" s="115" t="str">
        <x:v>https://azure.microsoft.com/en-us/products/category</x:v>
      </x:c>
    </x:row>
    <x:row r="72">
      <x:c r="A72" s="115" t="str">
        <x:v>2. Foundation, Infrastructure &amp; Security</x:v>
      </x:c>
      <x:c r="B72" s="115" t="str">
        <x:v>06. Compute, Virtualisation, HPC &amp; Accelerators</x:v>
      </x:c>
      <x:c r="C72" s="115" t="str">
        <x:v>Virtual Machines &amp; Core Compute</x:v>
      </x:c>
      <x:c r="D72" s="115" t="str">
        <x:v>Adopt &amp; Build</x:v>
      </x:c>
      <x:c r="E72" s="115" t="str">
        <x:v>Security, Privacy &amp; Compliance
Cost &amp; FinOps
Operations &amp; Support
Reliability &amp; Resilience
Performance &amp; Scalability
Sustainability</x:v>
      </x:c>
      <x:c r="F72" s="115" t="str">
        <x:v>04 Compute, Containers &amp; Runtime</x:v>
      </x:c>
      <x:c r="G72" s="115" t="str">
        <x:v>Compute &amp; Application Hosting</x:v>
      </x:c>
      <x:c r="H72" s="115" t="str">
        <x:v>Discount compute</x:v>
      </x:c>
      <x:c r="I72" s="115" t="str">
        <x:v>Interruptible compute</x:v>
      </x:c>
      <x:c r="J72" s="115" t="str">
        <x:v>Run fault-tolerant workloads on discounted spare compute capacity.</x:v>
      </x:c>
      <x:c r="K72" s="115" t="str">
        <x:v>Choose this capability when you need to run fault-tolerant workloads on discounted spare compute capacity.</x:v>
      </x:c>
      <x:c r="L72" s="115" t="str">
        <x:v>How much OS, network and hardware control is required, and who will operate it?</x:v>
      </x:c>
      <x:c r="M72" s="115" t="str">
        <x:v>Operational simplicity versus infrastructure control and portability.</x:v>
      </x:c>
      <x:c r="N72" s="115" t="n">
        <x:v>3</x:v>
      </x:c>
      <x:c r="O72" s="115" t="str">
        <x:v>Moderate</x:v>
      </x:c>
      <x:c r="P72" s="115" t="str">
        <x:v>1–3 weeks</x:v>
      </x:c>
      <x:c r="Q72" s="115" t="str">
        <x:v>Low</x:v>
      </x:c>
      <x:c r="R72" s="115" t="str">
        <x:v>Amazon EC2 Spot Instances</x:v>
      </x:c>
      <x:c r="S72" s="115" t="str">
        <x:v>Azure Spot Virtual Machines</x:v>
      </x:c>
      <x:c r="T72" s="115" t="str">
        <x:v>Spot VMs</x:v>
      </x:c>
      <x:c r="U72" s="115" t="n">
        <x:v>4.14</x:v>
      </x:c>
      <x:c r="V72" s="115" t="n">
        <x:v>4.06</x:v>
      </x:c>
      <x:c r="W72" s="115" t="n">
        <x:v>4.04</x:v>
      </x:c>
      <x:c r="X72" s="118" t="str">
        <x:v>Context-dependent tie</x:v>
      </x:c>
      <x:c r="Y72" s="115" t="str">
        <x:v>Scores are close: use ecosystem, data gravity, region, skills, commercials and proof-of-value results to decide.</x:v>
      </x:c>
      <x:c r="Z72" s="115" t="str">
        <x:v>Exact</x:v>
      </x:c>
      <x:c r="AA72" s="115"/>
      <x:c r="AB72" s="115" t="str">
        <x:v>2026-07-12</x:v>
      </x:c>
      <x:c r="AC72" s="115" t="str">
        <x:v>Scored and mapped</x:v>
      </x:c>
      <x:c r="AD72" s="115" t="str">
        <x:v>https://azure.microsoft.com/en-us/products/category</x:v>
      </x:c>
    </x:row>
    <x:row r="73">
      <x:c r="A73" s="115" t="str">
        <x:v>2. Foundation, Infrastructure &amp; Security</x:v>
      </x:c>
      <x:c r="B73" s="115" t="str">
        <x:v>06. Compute, Virtualisation, HPC &amp; Accelerators</x:v>
      </x:c>
      <x:c r="C73" s="115" t="str">
        <x:v>Virtual Machines &amp; Core Compute</x:v>
      </x:c>
      <x:c r="D73" s="115" t="str">
        <x:v>Adopt &amp; Build</x:v>
      </x:c>
      <x:c r="E73" s="115" t="str">
        <x:v>Security, Privacy &amp; Compliance
Cost &amp; FinOps
Operations &amp; Support
Reliability &amp; Resilience
Performance &amp; Scalability
Sustainability</x:v>
      </x:c>
      <x:c r="F73" s="115" t="str">
        <x:v>04 Compute, Containers &amp; Runtime</x:v>
      </x:c>
      <x:c r="G73" s="115" t="str">
        <x:v>Compute &amp; Application Hosting</x:v>
      </x:c>
      <x:c r="H73" s="115" t="str">
        <x:v>Dedicated compute</x:v>
      </x:c>
      <x:c r="I73" s="115" t="str">
        <x:v>Dedicated hosts</x:v>
      </x:c>
      <x:c r="J73" s="115" t="str">
        <x:v>Run virtual machines on isolated physical servers dedicated to one customer.</x:v>
      </x:c>
      <x:c r="K73" s="115" t="str">
        <x:v>Choose this capability when you need to run virtual machines on isolated physical servers dedicated to one customer.</x:v>
      </x:c>
      <x:c r="L73" s="115" t="str">
        <x:v>How much OS, network and hardware control is required, and who will operate it?</x:v>
      </x:c>
      <x:c r="M73" s="115" t="str">
        <x:v>Operational simplicity versus infrastructure control and portability.</x:v>
      </x:c>
      <x:c r="N73" s="115" t="n">
        <x:v>3</x:v>
      </x:c>
      <x:c r="O73" s="115" t="str">
        <x:v>Moderate</x:v>
      </x:c>
      <x:c r="P73" s="115" t="str">
        <x:v>1–3 weeks</x:v>
      </x:c>
      <x:c r="Q73" s="115" t="str">
        <x:v>Low</x:v>
      </x:c>
      <x:c r="R73" s="115" t="str">
        <x:v>Amazon EC2 Dedicated Hosts</x:v>
      </x:c>
      <x:c r="S73" s="115" t="str">
        <x:v>Azure Dedicated Host</x:v>
      </x:c>
      <x:c r="T73" s="115" t="str">
        <x:v>Sole-tenant nodes</x:v>
      </x:c>
      <x:c r="U73" s="115" t="n">
        <x:v>4.14</x:v>
      </x:c>
      <x:c r="V73" s="115" t="n">
        <x:v>4.06</x:v>
      </x:c>
      <x:c r="W73" s="115" t="n">
        <x:v>4.04</x:v>
      </x:c>
      <x:c r="X73" s="118" t="str">
        <x:v>Context-dependent tie</x:v>
      </x:c>
      <x:c r="Y73" s="115" t="str">
        <x:v>Scores are close: use ecosystem, data gravity, region, skills, commercials and proof-of-value results to decide.</x:v>
      </x:c>
      <x:c r="Z73" s="115" t="str">
        <x:v>Exact</x:v>
      </x:c>
      <x:c r="AA73" s="115"/>
      <x:c r="AB73" s="115" t="str">
        <x:v>2026-07-12</x:v>
      </x:c>
      <x:c r="AC73" s="115" t="str">
        <x:v>Scored and mapped</x:v>
      </x:c>
      <x:c r="AD73" s="115" t="str">
        <x:v>https://azure.microsoft.com/en-us/products/category</x:v>
      </x:c>
    </x:row>
    <x:row r="74">
      <x:c r="A74" s="115" t="str">
        <x:v>2. Foundation, Infrastructure &amp; Security</x:v>
      </x:c>
      <x:c r="B74" s="115" t="str">
        <x:v>06. Compute, Virtualisation, HPC &amp; Accelerators</x:v>
      </x:c>
      <x:c r="C74" s="115" t="str">
        <x:v>Virtual Machines &amp; Core Compute</x:v>
      </x:c>
      <x:c r="D74" s="115" t="str">
        <x:v>Adopt &amp; Build</x:v>
      </x:c>
      <x:c r="E74" s="115" t="str">
        <x:v>Security, Privacy &amp; Compliance
Cost &amp; FinOps
Operations &amp; Support
Reliability &amp; Resilience
Performance &amp; Scalability
Sustainability</x:v>
      </x:c>
      <x:c r="F74" s="115" t="str">
        <x:v>04 Compute, Containers &amp; Runtime</x:v>
      </x:c>
      <x:c r="G74" s="115" t="str">
        <x:v>Compute &amp; Application Hosting</x:v>
      </x:c>
      <x:c r="H74" s="115" t="str">
        <x:v>Image management</x:v>
      </x:c>
      <x:c r="I74" s="115" t="str">
        <x:v>Machine image builder</x:v>
      </x:c>
      <x:c r="J74" s="115" t="str">
        <x:v>Automate creation, validation and distribution of hardened machine images.</x:v>
      </x:c>
      <x:c r="K74" s="115" t="str">
        <x:v>Choose this capability when you need to automate creation, validation and distribution of hardened machine images.</x:v>
      </x:c>
      <x:c r="L74" s="115" t="str">
        <x:v>How much OS, network and hardware control is required, and who will operate it?</x:v>
      </x:c>
      <x:c r="M74" s="115" t="str">
        <x:v>Operational simplicity versus infrastructure control and portability.</x:v>
      </x:c>
      <x:c r="N74" s="115" t="n">
        <x:v>3</x:v>
      </x:c>
      <x:c r="O74" s="115" t="str">
        <x:v>Moderate</x:v>
      </x:c>
      <x:c r="P74" s="115" t="str">
        <x:v>1–3 weeks</x:v>
      </x:c>
      <x:c r="Q74" s="115" t="str">
        <x:v>Low</x:v>
      </x:c>
      <x:c r="R74" s="115" t="str">
        <x:v>EC2 Image Builder</x:v>
      </x:c>
      <x:c r="S74" s="115" t="str">
        <x:v>Azure VM Image Builder
Azure Compute Gallery</x:v>
      </x:c>
      <x:c r="T74" s="115" t="str">
        <x:v>Image Builder</x:v>
      </x:c>
      <x:c r="U74" s="115" t="n">
        <x:v>4.07</x:v>
      </x:c>
      <x:c r="V74" s="115" t="n">
        <x:v>3.9</x:v>
      </x:c>
      <x:c r="W74" s="115" t="n">
        <x:v>3.98</x:v>
      </x:c>
      <x:c r="X74" s="118" t="str">
        <x:v>Context-dependent tie</x:v>
      </x:c>
      <x:c r="Y74" s="115" t="str">
        <x:v>Scores are close: use ecosystem, data gravity, region, skills, commercials and proof-of-value results to decide.</x:v>
      </x:c>
      <x:c r="Z74" s="115" t="str">
        <x:v>Close</x:v>
      </x:c>
      <x:c r="AA74" s="115"/>
      <x:c r="AB74" s="115" t="str">
        <x:v>2026-07-12</x:v>
      </x:c>
      <x:c r="AC74" s="115" t="str">
        <x:v>Scored and mapped</x:v>
      </x:c>
      <x:c r="AD74" s="115" t="str">
        <x:v>https://azure.microsoft.com/en-us/products/category</x:v>
      </x:c>
    </x:row>
    <x:row r="75">
      <x:c r="A75" s="115" t="str">
        <x:v>2. Foundation, Infrastructure &amp; Security</x:v>
      </x:c>
      <x:c r="B75" s="115" t="str">
        <x:v>06. Compute, Virtualisation, HPC &amp; Accelerators</x:v>
      </x:c>
      <x:c r="C75" s="115" t="str">
        <x:v>Virtual Machines &amp; Core Compute</x:v>
      </x:c>
      <x:c r="D75" s="115" t="str">
        <x:v>Adopt &amp; Build</x:v>
      </x:c>
      <x:c r="E75" s="115" t="str">
        <x:v>Security, Privacy &amp; Compliance
Cost &amp; FinOps
Operations &amp; Support
Reliability &amp; Resilience
Performance &amp; Scalability
Sustainability</x:v>
      </x:c>
      <x:c r="F75" s="115" t="str">
        <x:v>04 Compute, Containers &amp; Runtime</x:v>
      </x:c>
      <x:c r="G75" s="115" t="str">
        <x:v>Compute &amp; Application Hosting</x:v>
      </x:c>
      <x:c r="H75" s="115" t="str">
        <x:v>Simple cloud hosting</x:v>
      </x:c>
      <x:c r="I75" s="115" t="str">
        <x:v>Simplified virtual server hosting</x:v>
      </x:c>
      <x:c r="J75" s="115" t="str">
        <x:v>Provide bundled, simplified compute, storage and networking for smaller workloads.</x:v>
      </x:c>
      <x:c r="K75" s="115" t="str">
        <x:v>Choose this capability when you need to provide bundled, simplified compute, storage and networking for smaller workloads.</x:v>
      </x:c>
      <x:c r="L75" s="115" t="str">
        <x:v>How much OS, network and hardware control is required, and who will operate it?</x:v>
      </x:c>
      <x:c r="M75" s="115" t="str">
        <x:v>Operational simplicity versus infrastructure control and portability.</x:v>
      </x:c>
      <x:c r="N75" s="115" t="n">
        <x:v>3</x:v>
      </x:c>
      <x:c r="O75" s="115" t="str">
        <x:v>Moderate</x:v>
      </x:c>
      <x:c r="P75" s="115" t="str">
        <x:v>1–3 weeks</x:v>
      </x:c>
      <x:c r="Q75" s="115" t="str">
        <x:v>Low</x:v>
      </x:c>
      <x:c r="R75" s="115" t="str">
        <x:v>Amazon Lightsail</x:v>
      </x:c>
      <x:c r="S75" s="115" t="str">
        <x:v>Azure App Service / Virtual Machines</x:v>
      </x:c>
      <x:c r="T75" s="115" t="str">
        <x:v>Compute Engine / Cloud Run</x:v>
      </x:c>
      <x:c r="U75" s="115" t="n">
        <x:v>3.91</x:v>
      </x:c>
      <x:c r="V75" s="115" t="n">
        <x:v>3.71</x:v>
      </x:c>
      <x:c r="W75" s="115" t="n">
        <x:v>3.69</x:v>
      </x:c>
      <x:c r="X75" s="118" t="str">
        <x:v>AWS</x:v>
      </x:c>
      <x:c r="Y75" s="115" t="str">
        <x:v>Start with AWS when infrastructure breadth, native integration and operational maturity are the main differentiators.</x:v>
      </x:c>
      <x:c r="Z75" s="115" t="str">
        <x:v>Partial</x:v>
      </x:c>
      <x:c r="AA75" s="115"/>
      <x:c r="AB75" s="115" t="str">
        <x:v>2026-07-12</x:v>
      </x:c>
      <x:c r="AC75" s="115" t="str">
        <x:v>Scored and mapped</x:v>
      </x:c>
      <x:c r="AD75" s="115" t="str">
        <x:v>https://azure.microsoft.com/en-us/products/category</x:v>
      </x:c>
    </x:row>
    <x:row r="76">
      <x:c r="A76" s="115" t="str">
        <x:v>2. Foundation, Infrastructure &amp; Security</x:v>
      </x:c>
      <x:c r="B76" s="115" t="str">
        <x:v>06. Compute, Virtualisation, HPC &amp; Accelerators</x:v>
      </x:c>
      <x:c r="C76" s="115" t="str">
        <x:v>Specialised &amp; High-Performance Compute</x:v>
      </x:c>
      <x:c r="D76" s="115" t="str">
        <x:v>Adopt &amp; Build</x:v>
      </x:c>
      <x:c r="E76" s="115" t="str">
        <x:v>Security, Privacy &amp; Compliance
Cost &amp; FinOps
Operations &amp; Support
Reliability &amp; Resilience
Performance &amp; Scalability
Sustainability</x:v>
      </x:c>
      <x:c r="F76" s="115" t="str">
        <x:v>04 Compute, Containers &amp; Runtime</x:v>
      </x:c>
      <x:c r="G76" s="115" t="str">
        <x:v>Compute &amp; Application Hosting</x:v>
      </x:c>
      <x:c r="H76" s="115" t="str">
        <x:v>Batch</x:v>
      </x:c>
      <x:c r="I76" s="115" t="str">
        <x:v>Managed batch computing</x:v>
      </x:c>
      <x:c r="J76" s="115" t="str">
        <x:v>Schedule and run large numbers of parallel or queued compute jobs.</x:v>
      </x:c>
      <x:c r="K76" s="115" t="str">
        <x:v>Choose this capability when you need to schedule and run large numbers of parallel or queued compute jobs.</x:v>
      </x:c>
      <x:c r="L76" s="115" t="str">
        <x:v>What business outcome, scale, control, integration and operating model justify choosing managed batch computing?</x:v>
      </x:c>
      <x:c r="M76" s="115" t="str">
        <x:v>Operational simplicity versus infrastructure control and portability.</x:v>
      </x:c>
      <x:c r="N76" s="115" t="n">
        <x:v>3</x:v>
      </x:c>
      <x:c r="O76" s="115" t="str">
        <x:v>Moderate</x:v>
      </x:c>
      <x:c r="P76" s="115" t="str">
        <x:v>1–3 weeks</x:v>
      </x:c>
      <x:c r="Q76" s="115" t="str">
        <x:v>Medium</x:v>
      </x:c>
      <x:c r="R76" s="115" t="str">
        <x:v>AWS Batch</x:v>
      </x:c>
      <x:c r="S76" s="115" t="str">
        <x:v>Azure Batch</x:v>
      </x:c>
      <x:c r="T76" s="115" t="str">
        <x:v>Batch</x:v>
      </x:c>
      <x:c r="U76" s="115" t="n">
        <x:v>4</x:v>
      </x:c>
      <x:c r="V76" s="115" t="n">
        <x:v>3.99</x:v>
      </x:c>
      <x:c r="W76" s="115" t="n">
        <x:v>3.97</x:v>
      </x:c>
      <x:c r="X76" s="118" t="str">
        <x:v>Context-dependent tie</x:v>
      </x:c>
      <x:c r="Y76" s="115" t="str">
        <x:v>Scores are close: use ecosystem, data gravity, region, skills, commercials and proof-of-value results to decide.</x:v>
      </x:c>
      <x:c r="Z76" s="115" t="str">
        <x:v>Exact</x:v>
      </x:c>
      <x:c r="AA76" s="115"/>
      <x:c r="AB76" s="115" t="str">
        <x:v>2026-07-12</x:v>
      </x:c>
      <x:c r="AC76" s="115" t="str">
        <x:v>Scored and mapped</x:v>
      </x:c>
      <x:c r="AD76" s="115" t="str">
        <x:v>https://azure.microsoft.com/en-us/products/category</x:v>
      </x:c>
    </x:row>
    <x:row r="77">
      <x:c r="A77" s="115" t="str">
        <x:v>2. Foundation, Infrastructure &amp; Security</x:v>
      </x:c>
      <x:c r="B77" s="115" t="str">
        <x:v>06. Compute, Virtualisation, HPC &amp; Accelerators</x:v>
      </x:c>
      <x:c r="C77" s="115" t="str">
        <x:v>Specialised &amp; High-Performance Compute</x:v>
      </x:c>
      <x:c r="D77" s="115" t="str">
        <x:v>Adopt &amp; Build</x:v>
      </x:c>
      <x:c r="E77" s="115" t="str">
        <x:v>Security, Privacy &amp; Compliance
Cost &amp; FinOps
Operations &amp; Support
Reliability &amp; Resilience
Performance &amp; Scalability
Sustainability</x:v>
      </x:c>
      <x:c r="F77" s="115" t="str">
        <x:v>04 Compute, Containers &amp; Runtime</x:v>
      </x:c>
      <x:c r="G77" s="115" t="str">
        <x:v>Compute &amp; Application Hosting</x:v>
      </x:c>
      <x:c r="H77" s="115" t="str">
        <x:v>HPC</x:v>
      </x:c>
      <x:c r="I77" s="115" t="str">
        <x:v>High-performance computing platform</x:v>
      </x:c>
      <x:c r="J77" s="115" t="str">
        <x:v>Provision tightly coupled compute, high-speed networking and schedulers for HPC workloads.</x:v>
      </x:c>
      <x:c r="K77" s="115" t="str">
        <x:v>Choose this capability when you need to provision tightly coupled compute, high-speed networking and schedulers for hpc workloads.</x:v>
      </x:c>
      <x:c r="L77" s="115" t="str">
        <x:v>What business outcome, scale, control, integration and operating model justify choosing high-performance computing platform?</x:v>
      </x:c>
      <x:c r="M77" s="115" t="str">
        <x:v>Operational simplicity versus infrastructure control and portability.</x:v>
      </x:c>
      <x:c r="N77" s="115" t="n">
        <x:v>3</x:v>
      </x:c>
      <x:c r="O77" s="115" t="str">
        <x:v>Moderate</x:v>
      </x:c>
      <x:c r="P77" s="115" t="str">
        <x:v>1–3 weeks</x:v>
      </x:c>
      <x:c r="Q77" s="115" t="str">
        <x:v>Medium</x:v>
      </x:c>
      <x:c r="R77" s="115" t="str">
        <x:v>AWS ParallelCluster
Amazon EC2 HPC</x:v>
      </x:c>
      <x:c r="S77" s="115" t="str">
        <x:v>Azure CycleCloud
Azure HPC</x:v>
      </x:c>
      <x:c r="T77" s="115" t="str">
        <x:v>Cluster Toolkit
Cloud HPC Toolkit</x:v>
      </x:c>
      <x:c r="U77" s="115" t="n">
        <x:v>3.83</x:v>
      </x:c>
      <x:c r="V77" s="115" t="n">
        <x:v>3.83</x:v>
      </x:c>
      <x:c r="W77" s="115" t="n">
        <x:v>3.8</x:v>
      </x:c>
      <x:c r="X77" s="118" t="str">
        <x:v>Context-dependent tie</x:v>
      </x:c>
      <x:c r="Y77" s="115" t="str">
        <x:v>Scores are close: use ecosystem, data gravity, region, skills, commercials and proof-of-value results to decide.</x:v>
      </x:c>
      <x:c r="Z77" s="115" t="str">
        <x:v>Close</x:v>
      </x:c>
      <x:c r="AA77" s="115"/>
      <x:c r="AB77" s="115" t="str">
        <x:v>2026-07-12</x:v>
      </x:c>
      <x:c r="AC77" s="115" t="str">
        <x:v>Scored and mapped</x:v>
      </x:c>
      <x:c r="AD77" s="115" t="str">
        <x:v>https://azure.microsoft.com/en-us/products/category</x:v>
      </x:c>
    </x:row>
    <x:row r="78">
      <x:c r="A78" s="115" t="str">
        <x:v>2. Foundation, Infrastructure &amp; Security</x:v>
      </x:c>
      <x:c r="B78" s="115" t="str">
        <x:v>07. Containers, Kubernetes, Serverless &amp; Application Runtime</x:v>
      </x:c>
      <x:c r="C78" s="115" t="str">
        <x:v>Serverless Compute</x:v>
      </x:c>
      <x:c r="D78" s="115" t="str">
        <x:v>Adopt &amp; Build</x:v>
      </x:c>
      <x:c r="E78" s="115" t="str">
        <x:v>Security, Privacy &amp; Compliance
Cost &amp; FinOps
Operations &amp; Support
Reliability &amp; Resilience
Performance &amp; Scalability
Portability &amp; Exit
Sustainability</x:v>
      </x:c>
      <x:c r="F78" s="115" t="str">
        <x:v>04 Compute, Containers &amp; Runtime</x:v>
      </x:c>
      <x:c r="G78" s="115" t="str">
        <x:v>Compute &amp; Application Hosting</x:v>
      </x:c>
      <x:c r="H78" s="115" t="str">
        <x:v>Serverless functions</x:v>
      </x:c>
      <x:c r="I78" s="115" t="str">
        <x:v>Functions as a service</x:v>
      </x:c>
      <x:c r="J78" s="115" t="str">
        <x:v>Run event-driven code without managing servers.</x:v>
      </x:c>
      <x:c r="K78" s="115" t="str">
        <x:v>Choose this capability when you need to run event-driven code without managing servers.</x:v>
      </x:c>
      <x:c r="L78" s="115" t="str">
        <x:v>Is the workload event-driven and stateless, and can it tolerate runtime, duration and platform constraints?</x:v>
      </x:c>
      <x:c r="M78" s="115" t="str">
        <x:v>Operational simplicity versus infrastructure control and portability.</x:v>
      </x:c>
      <x:c r="N78" s="115" t="n">
        <x:v>3</x:v>
      </x:c>
      <x:c r="O78" s="115" t="str">
        <x:v>Moderate</x:v>
      </x:c>
      <x:c r="P78" s="115" t="str">
        <x:v>1–3 weeks</x:v>
      </x:c>
      <x:c r="Q78" s="115" t="str">
        <x:v>High</x:v>
      </x:c>
      <x:c r="R78" s="115" t="str">
        <x:v>AWS Lambda</x:v>
      </x:c>
      <x:c r="S78" s="115" t="str">
        <x:v>Azure Functions</x:v>
      </x:c>
      <x:c r="T78" s="115" t="str">
        <x:v>Cloud Run functions</x:v>
      </x:c>
      <x:c r="U78" s="115" t="n">
        <x:v>4.09</x:v>
      </x:c>
      <x:c r="V78" s="115" t="n">
        <x:v>3.97</x:v>
      </x:c>
      <x:c r="W78" s="115" t="n">
        <x:v>4.06</x:v>
      </x:c>
      <x:c r="X78" s="118" t="str">
        <x:v>Context-dependent tie</x:v>
      </x:c>
      <x:c r="Y78" s="115" t="str">
        <x:v>Scores are close: use ecosystem, data gravity, region, skills, commercials and proof-of-value results to decide.</x:v>
      </x:c>
      <x:c r="Z78" s="115" t="str">
        <x:v>Exact</x:v>
      </x:c>
      <x:c r="AA78" s="115"/>
      <x:c r="AB78" s="115" t="str">
        <x:v>2026-07-12</x:v>
      </x:c>
      <x:c r="AC78" s="115" t="str">
        <x:v>Scored and mapped</x:v>
      </x:c>
      <x:c r="AD78" s="115" t="str">
        <x:v>https://docs.cloud.google.com/docs/product-list</x:v>
      </x:c>
    </x:row>
    <x:row r="79">
      <x:c r="A79" s="115" t="str">
        <x:v>4. Applications &amp; Experience</x:v>
      </x:c>
      <x:c r="B79" s="115" t="str">
        <x:v>15. Application Development, Web, Mobile, Frontend &amp; Low-Code</x:v>
      </x:c>
      <x:c r="C79" s="115" t="str">
        <x:v>Managed Application Platforms</x:v>
      </x:c>
      <x:c r="D79" s="115" t="str">
        <x:v>Adopt &amp; Build</x:v>
      </x:c>
      <x:c r="E79" s="115" t="str">
        <x:v>Security, Privacy &amp; Compliance
Cost &amp; FinOps
Operations &amp; Support
Reliability &amp; Resilience
Performance &amp; Scalability
Portability &amp; Exit</x:v>
      </x:c>
      <x:c r="F79" s="115" t="str">
        <x:v>04 Compute, Containers &amp; Runtime</x:v>
      </x:c>
      <x:c r="G79" s="115" t="str">
        <x:v>Compute &amp; Application Hosting</x:v>
      </x:c>
      <x:c r="H79" s="115" t="str">
        <x:v>Application PaaS</x:v>
      </x:c>
      <x:c r="I79" s="115" t="str">
        <x:v>Managed web application platform</x:v>
      </x:c>
      <x:c r="J79" s="115" t="str">
        <x:v>Deploy web applications and APIs on a managed runtime platform.</x:v>
      </x:c>
      <x:c r="K79" s="115" t="str">
        <x:v>Choose this capability when you need to deploy web applications and apis on a managed runtime platform.</x:v>
      </x:c>
      <x:c r="L79" s="115" t="str">
        <x:v>What business outcome, scale, control, integration and operating model justify choosing managed web application platform?</x:v>
      </x:c>
      <x:c r="M79" s="115" t="str">
        <x:v>Operational simplicity versus infrastructure control and portability.</x:v>
      </x:c>
      <x:c r="N79" s="115" t="n">
        <x:v>3</x:v>
      </x:c>
      <x:c r="O79" s="115" t="str">
        <x:v>Moderate</x:v>
      </x:c>
      <x:c r="P79" s="115" t="str">
        <x:v>1–3 weeks</x:v>
      </x:c>
      <x:c r="Q79" s="115" t="str">
        <x:v>Medium</x:v>
      </x:c>
      <x:c r="R79" s="115" t="str">
        <x:v>AWS Elastic Beanstalk
AWS App Runner</x:v>
      </x:c>
      <x:c r="S79" s="115" t="str">
        <x:v>Azure App Service</x:v>
      </x:c>
      <x:c r="T79" s="115" t="str">
        <x:v>App Engine
Cloud Run</x:v>
      </x:c>
      <x:c r="U79" s="115" t="n">
        <x:v>3.8</x:v>
      </x:c>
      <x:c r="V79" s="115" t="n">
        <x:v>3.95</x:v>
      </x:c>
      <x:c r="W79" s="115" t="n">
        <x:v>3.82</x:v>
      </x:c>
      <x:c r="X79" s="118" t="str">
        <x:v>Context-dependent tie</x:v>
      </x:c>
      <x:c r="Y79" s="115" t="str">
        <x:v>Scores are close: use ecosystem, data gravity, region, skills, commercials and proof-of-value results to decide.</x:v>
      </x:c>
      <x:c r="Z79" s="115" t="str">
        <x:v>Close</x:v>
      </x:c>
      <x:c r="AA79" s="115"/>
      <x:c r="AB79" s="115" t="str">
        <x:v>2026-07-12</x:v>
      </x:c>
      <x:c r="AC79" s="115" t="str">
        <x:v>Scored and mapped</x:v>
      </x:c>
      <x:c r="AD79" s="115" t="str">
        <x:v>https://aws.amazon.com/appstudio/</x:v>
      </x:c>
    </x:row>
    <x:row r="80">
      <x:c r="A80" s="115" t="str">
        <x:v>4. Applications &amp; Experience</x:v>
      </x:c>
      <x:c r="B80" s="115" t="str">
        <x:v>15. Application Development, Web, Mobile, Frontend &amp; Low-Code</x:v>
      </x:c>
      <x:c r="C80" s="115" t="str">
        <x:v>Managed Application Platforms</x:v>
      </x:c>
      <x:c r="D80" s="115" t="str">
        <x:v>Adopt &amp; Build</x:v>
      </x:c>
      <x:c r="E80" s="115" t="str">
        <x:v>Security, Privacy &amp; Compliance
Cost &amp; FinOps
Operations &amp; Support
Reliability &amp; Resilience
Performance &amp; Scalability
Portability &amp; Exit</x:v>
      </x:c>
      <x:c r="F80" s="115" t="str">
        <x:v>04 Compute, Containers &amp; Runtime</x:v>
      </x:c>
      <x:c r="G80" s="115" t="str">
        <x:v>Compute &amp; Application Hosting</x:v>
      </x:c>
      <x:c r="H80" s="115" t="str">
        <x:v>Static web</x:v>
      </x:c>
      <x:c r="I80" s="115" t="str">
        <x:v>Static web application hosting</x:v>
      </x:c>
      <x:c r="J80" s="115" t="str">
        <x:v>Host globally delivered static sites with integrated deployment workflows.</x:v>
      </x:c>
      <x:c r="K80" s="115" t="str">
        <x:v>Choose this capability when you need to host globally delivered static sites with integrated deployment workflows.</x:v>
      </x:c>
      <x:c r="L80" s="115" t="str">
        <x:v>What business outcome, scale, control, integration and operating model justify choosing static web application hosting?</x:v>
      </x:c>
      <x:c r="M80" s="115" t="str">
        <x:v>Operational simplicity versus infrastructure control and portability.</x:v>
      </x:c>
      <x:c r="N80" s="115" t="n">
        <x:v>4</x:v>
      </x:c>
      <x:c r="O80" s="115" t="str">
        <x:v>Easy</x:v>
      </x:c>
      <x:c r="P80" s="115" t="str">
        <x:v>1–3 days</x:v>
      </x:c>
      <x:c r="Q80" s="115" t="str">
        <x:v>Medium</x:v>
      </x:c>
      <x:c r="R80" s="115" t="str">
        <x:v>AWS Amplify Hosting
Amazon S3
Amazon CloudFront</x:v>
      </x:c>
      <x:c r="S80" s="115" t="str">
        <x:v>Azure Static Web Apps</x:v>
      </x:c>
      <x:c r="T80" s="115" t="str">
        <x:v>Firebase Hosting
Cloud Storage
Cloud CDN</x:v>
      </x:c>
      <x:c r="U80" s="115" t="n">
        <x:v>4.02</x:v>
      </x:c>
      <x:c r="V80" s="115" t="n">
        <x:v>4.16</x:v>
      </x:c>
      <x:c r="W80" s="115" t="n">
        <x:v>4.03</x:v>
      </x:c>
      <x:c r="X80" s="118" t="str">
        <x:v>Context-dependent tie</x:v>
      </x:c>
      <x:c r="Y80" s="115" t="str">
        <x:v>Scores are close: use ecosystem, data gravity, region, skills, commercials and proof-of-value results to decide.</x:v>
      </x:c>
      <x:c r="Z80" s="115" t="str">
        <x:v>Close</x:v>
      </x:c>
      <x:c r="AA80" s="115"/>
      <x:c r="AB80" s="115" t="str">
        <x:v>2026-07-12</x:v>
      </x:c>
      <x:c r="AC80" s="115" t="str">
        <x:v>Scored and mapped</x:v>
      </x:c>
      <x:c r="AD80" s="115" t="str">
        <x:v>https://aws.amazon.com/appstudio/</x:v>
      </x:c>
    </x:row>
    <x:row r="81">
      <x:c r="A81" s="115" t="str">
        <x:v>2. Foundation, Infrastructure &amp; Security</x:v>
      </x:c>
      <x:c r="B81" s="115" t="str">
        <x:v>07. Containers, Kubernetes, Serverless &amp; Application Runtime</x:v>
      </x:c>
      <x:c r="C81" s="115" t="str">
        <x:v>Containers &amp; Kubernetes</x:v>
      </x:c>
      <x:c r="D81" s="115" t="str">
        <x:v>Adopt &amp; Build</x:v>
      </x:c>
      <x:c r="E81" s="115" t="str">
        <x:v>Security, Privacy &amp; Compliance
Cost &amp; FinOps
Operations &amp; Support
Reliability &amp; Resilience
Performance &amp; Scalability
Portability &amp; Exit
Sustainability</x:v>
      </x:c>
      <x:c r="F81" s="115" t="str">
        <x:v>04 Compute, Containers &amp; Runtime</x:v>
      </x:c>
      <x:c r="G81" s="115" t="str">
        <x:v>Compute &amp; Application Hosting</x:v>
      </x:c>
      <x:c r="H81" s="115" t="str">
        <x:v>Container instances</x:v>
      </x:c>
      <x:c r="I81" s="115" t="str">
        <x:v>Serverless container instances</x:v>
      </x:c>
      <x:c r="J81" s="115" t="str">
        <x:v>Run containers without directly managing virtual machines or Kubernetes clusters.</x:v>
      </x:c>
      <x:c r="K81" s="115" t="str">
        <x:v>Choose this capability when you need to run containers without directly managing virtual machines or kubernetes clusters.</x:v>
      </x:c>
      <x:c r="L81" s="115" t="str">
        <x:v>Do you need Kubernetes-specific control, or would a simpler serverless container platform meet the requirement?</x:v>
      </x:c>
      <x:c r="M81" s="115" t="str">
        <x:v>Operational simplicity versus infrastructure control and portability.</x:v>
      </x:c>
      <x:c r="N81" s="115" t="n">
        <x:v>2</x:v>
      </x:c>
      <x:c r="O81" s="115" t="str">
        <x:v>Advanced</x:v>
      </x:c>
      <x:c r="P81" s="115" t="str">
        <x:v>3–8 weeks</x:v>
      </x:c>
      <x:c r="Q81" s="115" t="str">
        <x:v>Low</x:v>
      </x:c>
      <x:c r="R81" s="115" t="str">
        <x:v>AWS Fargate
Amazon ECS</x:v>
      </x:c>
      <x:c r="S81" s="115" t="str">
        <x:v>Azure Container Instances</x:v>
      </x:c>
      <x:c r="T81" s="115" t="str">
        <x:v>Cloud Run</x:v>
      </x:c>
      <x:c r="U81" s="115" t="n">
        <x:v>3.8</x:v>
      </x:c>
      <x:c r="V81" s="115" t="n">
        <x:v>3.81</x:v>
      </x:c>
      <x:c r="W81" s="115" t="n">
        <x:v>4.08</x:v>
      </x:c>
      <x:c r="X81" s="118" t="str">
        <x:v>GCP</x:v>
      </x:c>
      <x:c r="Y81" s="115" t="str">
        <x:v>Start with Google Cloud when data, AI, Kubernetes, network or managed developer experience is the main differentiator.</x:v>
      </x:c>
      <x:c r="Z81" s="115" t="str">
        <x:v>Close</x:v>
      </x:c>
      <x:c r="AA81" s="115"/>
      <x:c r="AB81" s="115" t="str">
        <x:v>2026-07-12</x:v>
      </x:c>
      <x:c r="AC81" s="115" t="str">
        <x:v>Scored and mapped</x:v>
      </x:c>
      <x:c r="AD81" s="115" t="str">
        <x:v>https://docs.cloud.google.com/docs/product-list</x:v>
      </x:c>
    </x:row>
    <x:row r="82">
      <x:c r="A82" s="115" t="str">
        <x:v>2. Foundation, Infrastructure &amp; Security</x:v>
      </x:c>
      <x:c r="B82" s="115" t="str">
        <x:v>07. Containers, Kubernetes, Serverless &amp; Application Runtime</x:v>
      </x:c>
      <x:c r="C82" s="115" t="str">
        <x:v>Containers &amp; Kubernetes</x:v>
      </x:c>
      <x:c r="D82" s="115" t="str">
        <x:v>Adopt &amp; Build</x:v>
      </x:c>
      <x:c r="E82" s="115" t="str">
        <x:v>Security, Privacy &amp; Compliance
Cost &amp; FinOps
Operations &amp; Support
Reliability &amp; Resilience
Performance &amp; Scalability
Portability &amp; Exit
Sustainability</x:v>
      </x:c>
      <x:c r="F82" s="115" t="str">
        <x:v>04 Compute, Containers &amp; Runtime</x:v>
      </x:c>
      <x:c r="G82" s="115" t="str">
        <x:v>Compute &amp; Application Hosting</x:v>
      </x:c>
      <x:c r="H82" s="115" t="str">
        <x:v>Container PaaS</x:v>
      </x:c>
      <x:c r="I82" s="115" t="str">
        <x:v>Serverless container application platform</x:v>
      </x:c>
      <x:c r="J82" s="115" t="str">
        <x:v>Deploy autoscaling containerised applications with managed ingress and revisions.</x:v>
      </x:c>
      <x:c r="K82" s="115" t="str">
        <x:v>Choose this capability when you need to deploy autoscaling containerised applications with managed ingress and revisions.</x:v>
      </x:c>
      <x:c r="L82" s="115" t="str">
        <x:v>Do you need Kubernetes-specific control, or would a simpler serverless container platform meet the requirement?</x:v>
      </x:c>
      <x:c r="M82" s="115" t="str">
        <x:v>Operational simplicity versus infrastructure control and portability.</x:v>
      </x:c>
      <x:c r="N82" s="115" t="n">
        <x:v>2</x:v>
      </x:c>
      <x:c r="O82" s="115" t="str">
        <x:v>Advanced</x:v>
      </x:c>
      <x:c r="P82" s="115" t="str">
        <x:v>3–8 weeks</x:v>
      </x:c>
      <x:c r="Q82" s="115" t="str">
        <x:v>Low</x:v>
      </x:c>
      <x:c r="R82" s="115" t="str">
        <x:v>AWS App Runner
AWS Fargate</x:v>
      </x:c>
      <x:c r="S82" s="115" t="str">
        <x:v>Azure Container Apps</x:v>
      </x:c>
      <x:c r="T82" s="115" t="str">
        <x:v>Cloud Run</x:v>
      </x:c>
      <x:c r="U82" s="115" t="n">
        <x:v>3.8</x:v>
      </x:c>
      <x:c r="V82" s="115" t="n">
        <x:v>3.83</x:v>
      </x:c>
      <x:c r="W82" s="115" t="n">
        <x:v>4.08</x:v>
      </x:c>
      <x:c r="X82" s="118" t="str">
        <x:v>GCP</x:v>
      </x:c>
      <x:c r="Y82" s="115" t="str">
        <x:v>Start with Google Cloud when data, AI, Kubernetes, network or managed developer experience is the main differentiator.</x:v>
      </x:c>
      <x:c r="Z82" s="115" t="str">
        <x:v>Close</x:v>
      </x:c>
      <x:c r="AA82" s="115"/>
      <x:c r="AB82" s="115" t="str">
        <x:v>2026-07-12</x:v>
      </x:c>
      <x:c r="AC82" s="115" t="str">
        <x:v>Scored and mapped</x:v>
      </x:c>
      <x:c r="AD82" s="115" t="str">
        <x:v>https://docs.cloud.google.com/docs/product-list</x:v>
      </x:c>
    </x:row>
    <x:row r="83">
      <x:c r="A83" s="115" t="str">
        <x:v>2. Foundation, Infrastructure &amp; Security</x:v>
      </x:c>
      <x:c r="B83" s="115" t="str">
        <x:v>07. Containers, Kubernetes, Serverless &amp; Application Runtime</x:v>
      </x:c>
      <x:c r="C83" s="115" t="str">
        <x:v>Containers &amp; Kubernetes</x:v>
      </x:c>
      <x:c r="D83" s="115" t="str">
        <x:v>Adopt &amp; Build</x:v>
      </x:c>
      <x:c r="E83" s="115" t="str">
        <x:v>Security, Privacy &amp; Compliance
Cost &amp; FinOps
Operations &amp; Support
Reliability &amp; Resilience
Performance &amp; Scalability
Portability &amp; Exit
Sustainability</x:v>
      </x:c>
      <x:c r="F83" s="115" t="str">
        <x:v>04 Compute, Containers &amp; Runtime</x:v>
      </x:c>
      <x:c r="G83" s="115" t="str">
        <x:v>Compute &amp; Application Hosting</x:v>
      </x:c>
      <x:c r="H83" s="115" t="str">
        <x:v>Kubernetes</x:v>
      </x:c>
      <x:c r="I83" s="115" t="str">
        <x:v>Managed Kubernetes</x:v>
      </x:c>
      <x:c r="J83" s="115" t="str">
        <x:v>Operate Kubernetes clusters with a managed control plane.</x:v>
      </x:c>
      <x:c r="K83" s="115" t="str">
        <x:v>Choose this capability when you need to operate kubernetes clusters with a managed control plane.</x:v>
      </x:c>
      <x:c r="L83" s="115" t="str">
        <x:v>Do you need Kubernetes-specific control, or would a simpler serverless container platform meet the requirement?</x:v>
      </x:c>
      <x:c r="M83" s="115" t="str">
        <x:v>Operational simplicity versus infrastructure control and portability.</x:v>
      </x:c>
      <x:c r="N83" s="115" t="n">
        <x:v>2</x:v>
      </x:c>
      <x:c r="O83" s="115" t="str">
        <x:v>Advanced</x:v>
      </x:c>
      <x:c r="P83" s="115" t="str">
        <x:v>3–8 weeks</x:v>
      </x:c>
      <x:c r="Q83" s="115" t="str">
        <x:v>Low</x:v>
      </x:c>
      <x:c r="R83" s="115" t="str">
        <x:v>Amazon Elastic Kubernetes Service</x:v>
      </x:c>
      <x:c r="S83" s="115" t="str">
        <x:v>Azure Kubernetes Service</x:v>
      </x:c>
      <x:c r="T83" s="115" t="str">
        <x:v>Google Kubernetes Engine</x:v>
      </x:c>
      <x:c r="U83" s="115" t="n">
        <x:v>3.86</x:v>
      </x:c>
      <x:c r="V83" s="115" t="n">
        <x:v>3.89</x:v>
      </x:c>
      <x:c r="W83" s="115" t="n">
        <x:v>4.17</x:v>
      </x:c>
      <x:c r="X83" s="118" t="str">
        <x:v>GCP</x:v>
      </x:c>
      <x:c r="Y83" s="115" t="str">
        <x:v>Start with Google Cloud when data, AI, Kubernetes, network or managed developer experience is the main differentiator.</x:v>
      </x:c>
      <x:c r="Z83" s="115" t="str">
        <x:v>Exact</x:v>
      </x:c>
      <x:c r="AA83" s="115"/>
      <x:c r="AB83" s="115" t="str">
        <x:v>2026-07-12</x:v>
      </x:c>
      <x:c r="AC83" s="115" t="str">
        <x:v>Scored and mapped</x:v>
      </x:c>
      <x:c r="AD83" s="115" t="str">
        <x:v>https://docs.cloud.google.com/docs/product-list</x:v>
      </x:c>
    </x:row>
    <x:row r="84">
      <x:c r="A84" s="115" t="str">
        <x:v>2. Foundation, Infrastructure &amp; Security</x:v>
      </x:c>
      <x:c r="B84" s="115" t="str">
        <x:v>07. Containers, Kubernetes, Serverless &amp; Application Runtime</x:v>
      </x:c>
      <x:c r="C84" s="115" t="str">
        <x:v>Containers &amp; Kubernetes</x:v>
      </x:c>
      <x:c r="D84" s="115" t="str">
        <x:v>Adopt &amp; Build</x:v>
      </x:c>
      <x:c r="E84" s="115" t="str">
        <x:v>Security, Privacy &amp; Compliance
Cost &amp; FinOps
Operations &amp; Support
Reliability &amp; Resilience
Performance &amp; Scalability
Portability &amp; Exit
Sustainability</x:v>
      </x:c>
      <x:c r="F84" s="115" t="str">
        <x:v>04 Compute, Containers &amp; Runtime</x:v>
      </x:c>
      <x:c r="G84" s="115" t="str">
        <x:v>Compute &amp; Application Hosting</x:v>
      </x:c>
      <x:c r="H84" s="115" t="str">
        <x:v>Container registry</x:v>
      </x:c>
      <x:c r="I84" s="115" t="str">
        <x:v>Container image registry</x:v>
      </x:c>
      <x:c r="J84" s="115" t="str">
        <x:v>Store, scan and distribute container images and related artifacts.</x:v>
      </x:c>
      <x:c r="K84" s="115" t="str">
        <x:v>Choose this capability when you need to store, scan and distribute container images and related artifacts.</x:v>
      </x:c>
      <x:c r="L84" s="115" t="str">
        <x:v>Do you need Kubernetes-specific control, or would a simpler serverless container platform meet the requirement?</x:v>
      </x:c>
      <x:c r="M84" s="115" t="str">
        <x:v>Operational simplicity versus infrastructure control and portability.</x:v>
      </x:c>
      <x:c r="N84" s="115" t="n">
        <x:v>2</x:v>
      </x:c>
      <x:c r="O84" s="115" t="str">
        <x:v>Advanced</x:v>
      </x:c>
      <x:c r="P84" s="115" t="str">
        <x:v>3–8 weeks</x:v>
      </x:c>
      <x:c r="Q84" s="115" t="str">
        <x:v>Low</x:v>
      </x:c>
      <x:c r="R84" s="115" t="str">
        <x:v>Amazon Elastic Container Registry</x:v>
      </x:c>
      <x:c r="S84" s="115" t="str">
        <x:v>Azure Container Registry</x:v>
      </x:c>
      <x:c r="T84" s="115" t="str">
        <x:v>Artifact Registry</x:v>
      </x:c>
      <x:c r="U84" s="115" t="n">
        <x:v>3.86</x:v>
      </x:c>
      <x:c r="V84" s="115" t="n">
        <x:v>3.89</x:v>
      </x:c>
      <x:c r="W84" s="115" t="n">
        <x:v>4.17</x:v>
      </x:c>
      <x:c r="X84" s="118" t="str">
        <x:v>GCP</x:v>
      </x:c>
      <x:c r="Y84" s="115" t="str">
        <x:v>Start with Google Cloud when data, AI, Kubernetes, network or managed developer experience is the main differentiator.</x:v>
      </x:c>
      <x:c r="Z84" s="115" t="str">
        <x:v>Exact</x:v>
      </x:c>
      <x:c r="AA84" s="115"/>
      <x:c r="AB84" s="115" t="str">
        <x:v>2026-07-12</x:v>
      </x:c>
      <x:c r="AC84" s="115" t="str">
        <x:v>Scored and mapped</x:v>
      </x:c>
      <x:c r="AD84" s="115" t="str">
        <x:v>https://docs.cloud.google.com/docs/product-list</x:v>
      </x:c>
    </x:row>
    <x:row r="85">
      <x:c r="A85" s="115" t="str">
        <x:v>2. Foundation, Infrastructure &amp; Security</x:v>
      </x:c>
      <x:c r="B85" s="115" t="str">
        <x:v>07. Containers, Kubernetes, Serverless &amp; Application Runtime</x:v>
      </x:c>
      <x:c r="C85" s="115" t="str">
        <x:v>Containers &amp; Kubernetes</x:v>
      </x:c>
      <x:c r="D85" s="115" t="str">
        <x:v>Adopt &amp; Build</x:v>
      </x:c>
      <x:c r="E85" s="115" t="str">
        <x:v>Security, Privacy &amp; Compliance
Cost &amp; FinOps
Operations &amp; Support
Reliability &amp; Resilience
Performance &amp; Scalability
Portability &amp; Exit
Sustainability</x:v>
      </x:c>
      <x:c r="F85" s="115" t="str">
        <x:v>04 Compute, Containers &amp; Runtime</x:v>
      </x:c>
      <x:c r="G85" s="115" t="str">
        <x:v>Compute &amp; Application Hosting</x:v>
      </x:c>
      <x:c r="H85" s="115" t="str">
        <x:v>Container migration</x:v>
      </x:c>
      <x:c r="I85" s="115" t="str">
        <x:v>Application containerisation</x:v>
      </x:c>
      <x:c r="J85" s="115" t="str">
        <x:v>Assess and convert existing applications or virtual machines into containers.</x:v>
      </x:c>
      <x:c r="K85" s="115" t="str">
        <x:v>Choose this capability when you need to assess and convert existing applications or virtual machines into containers.</x:v>
      </x:c>
      <x:c r="L85" s="115" t="str">
        <x:v>Do you need Kubernetes-specific control, or would a simpler serverless container platform meet the requirement?</x:v>
      </x:c>
      <x:c r="M85" s="115" t="str">
        <x:v>Operational simplicity versus infrastructure control and portability.</x:v>
      </x:c>
      <x:c r="N85" s="115" t="n">
        <x:v>2</x:v>
      </x:c>
      <x:c r="O85" s="115" t="str">
        <x:v>Advanced</x:v>
      </x:c>
      <x:c r="P85" s="115" t="str">
        <x:v>3–8 weeks</x:v>
      </x:c>
      <x:c r="Q85" s="115" t="str">
        <x:v>Low</x:v>
      </x:c>
      <x:c r="R85" s="115" t="str">
        <x:v>AWS App2Container</x:v>
      </x:c>
      <x:c r="S85" s="115" t="str">
        <x:v>Azure Migrate: App Containerization</x:v>
      </x:c>
      <x:c r="T85" s="115" t="str">
        <x:v>Migrate to Containers</x:v>
      </x:c>
      <x:c r="U85" s="115" t="n">
        <x:v>3.83</x:v>
      </x:c>
      <x:c r="V85" s="115" t="n">
        <x:v>3.83</x:v>
      </x:c>
      <x:c r="W85" s="115" t="n">
        <x:v>4.1</x:v>
      </x:c>
      <x:c r="X85" s="118" t="str">
        <x:v>GCP</x:v>
      </x:c>
      <x:c r="Y85" s="115" t="str">
        <x:v>Start with Google Cloud when data, AI, Kubernetes, network or managed developer experience is the main differentiator.</x:v>
      </x:c>
      <x:c r="Z85" s="115" t="str">
        <x:v>Close</x:v>
      </x:c>
      <x:c r="AA85" s="115"/>
      <x:c r="AB85" s="115" t="str">
        <x:v>2026-07-12</x:v>
      </x:c>
      <x:c r="AC85" s="115" t="str">
        <x:v>Scored and mapped</x:v>
      </x:c>
      <x:c r="AD85" s="115" t="str">
        <x:v>https://docs.cloud.google.com/docs/product-list</x:v>
      </x:c>
    </x:row>
    <x:row r="86">
      <x:c r="A86" s="115" t="str">
        <x:v>2. Foundation, Infrastructure &amp; Security</x:v>
      </x:c>
      <x:c r="B86" s="115" t="str">
        <x:v>06. Compute, Virtualisation, HPC &amp; Accelerators</x:v>
      </x:c>
      <x:c r="C86" s="115" t="str">
        <x:v>Virtual Machines &amp; Core Compute</x:v>
      </x:c>
      <x:c r="D86" s="115" t="str">
        <x:v>Adopt &amp; Build</x:v>
      </x:c>
      <x:c r="E86" s="115" t="str">
        <x:v>Security, Privacy &amp; Compliance
Cost &amp; FinOps
Operations &amp; Support
Reliability &amp; Resilience
Performance &amp; Scalability
Sustainability</x:v>
      </x:c>
      <x:c r="F86" s="115" t="str">
        <x:v>04 Compute, Containers &amp; Runtime</x:v>
      </x:c>
      <x:c r="G86" s="115" t="str">
        <x:v>Compute &amp; Application Hosting</x:v>
      </x:c>
      <x:c r="H86" s="115" t="str">
        <x:v>Enterprise Linux</x:v>
      </x:c>
      <x:c r="I86" s="115" t="str">
        <x:v>Cloud-optimised Linux distribution</x:v>
      </x:c>
      <x:c r="J86" s="115" t="str">
        <x:v>Provide a provider-maintained Linux operating system optimised for cloud workloads.</x:v>
      </x:c>
      <x:c r="K86" s="115" t="str">
        <x:v>Choose this capability when you need to provide a provider-maintained linux operating system optimised for cloud workloads.</x:v>
      </x:c>
      <x:c r="L86" s="115" t="str">
        <x:v>How much OS, network and hardware control is required, and who will operate it?</x:v>
      </x:c>
      <x:c r="M86" s="115" t="str">
        <x:v>Operational simplicity versus infrastructure control and portability.</x:v>
      </x:c>
      <x:c r="N86" s="115" t="n">
        <x:v>3</x:v>
      </x:c>
      <x:c r="O86" s="115" t="str">
        <x:v>Moderate</x:v>
      </x:c>
      <x:c r="P86" s="115" t="str">
        <x:v>1–3 weeks</x:v>
      </x:c>
      <x:c r="Q86" s="115" t="str">
        <x:v>Low</x:v>
      </x:c>
      <x:c r="R86" s="115" t="str">
        <x:v>Amazon Linux 2023</x:v>
      </x:c>
      <x:c r="S86" s="115" t="str">
        <x:v>Azure Linux</x:v>
      </x:c>
      <x:c r="T86" s="115" t="str">
        <x:v>Container-Optimized OS</x:v>
      </x:c>
      <x:c r="U86" s="115" t="n">
        <x:v>4.07</x:v>
      </x:c>
      <x:c r="V86" s="115" t="n">
        <x:v>4</x:v>
      </x:c>
      <x:c r="W86" s="115" t="n">
        <x:v>3.98</x:v>
      </x:c>
      <x:c r="X86" s="118" t="str">
        <x:v>Context-dependent tie</x:v>
      </x:c>
      <x:c r="Y86" s="115" t="str">
        <x:v>Scores are close: use ecosystem, data gravity, region, skills, commercials and proof-of-value results to decide.</x:v>
      </x:c>
      <x:c r="Z86" s="115" t="str">
        <x:v>Close</x:v>
      </x:c>
      <x:c r="AA86" s="115"/>
      <x:c r="AB86" s="115" t="str">
        <x:v>2026-07-12</x:v>
      </x:c>
      <x:c r="AC86" s="115" t="str">
        <x:v>Scored and mapped</x:v>
      </x:c>
      <x:c r="AD86" s="115" t="str">
        <x:v>https://azure.microsoft.com/en-us/products/category</x:v>
      </x:c>
    </x:row>
    <x:row r="87">
      <x:c r="A87" s="115" t="str">
        <x:v>2. Foundation, Infrastructure &amp; Security</x:v>
      </x:c>
      <x:c r="B87" s="115" t="str">
        <x:v>06. Compute, Virtualisation, HPC &amp; Accelerators</x:v>
      </x:c>
      <x:c r="C87" s="115" t="str">
        <x:v>Hybrid, Multicloud &amp; Edge Runtime</x:v>
      </x:c>
      <x:c r="D87" s="115" t="str">
        <x:v>Adopt &amp; Build</x:v>
      </x:c>
      <x:c r="E87" s="115" t="str">
        <x:v>Security, Privacy &amp; Compliance
Cost &amp; FinOps
Operations &amp; Support
Reliability &amp; Resilience
Performance &amp; Scalability
Sustainability</x:v>
      </x:c>
      <x:c r="F87" s="115" t="str">
        <x:v>04 Compute, Containers &amp; Runtime</x:v>
      </x:c>
      <x:c r="G87" s="115" t="str">
        <x:v>Compute &amp; Application Hosting</x:v>
      </x:c>
      <x:c r="H87" s="115" t="str">
        <x:v>VMware</x:v>
      </x:c>
      <x:c r="I87" s="115" t="str">
        <x:v>Managed VMware cloud</x:v>
      </x:c>
      <x:c r="J87" s="115" t="str">
        <x:v>Run VMware environments on cloud infrastructure with familiar VMware tooling.</x:v>
      </x:c>
      <x:c r="K87" s="115" t="str">
        <x:v>Choose this capability when you need to run vmware environments on cloud infrastructure with familiar vmware tooling.</x:v>
      </x:c>
      <x:c r="L87" s="115" t="str">
        <x:v>What business outcome, scale, control, integration and operating model justify choosing managed vmware cloud?</x:v>
      </x:c>
      <x:c r="M87" s="115" t="str">
        <x:v>Operational simplicity versus infrastructure control and portability.</x:v>
      </x:c>
      <x:c r="N87" s="115" t="n">
        <x:v>2</x:v>
      </x:c>
      <x:c r="O87" s="115" t="str">
        <x:v>Advanced</x:v>
      </x:c>
      <x:c r="P87" s="115" t="str">
        <x:v>3–8 weeks</x:v>
      </x:c>
      <x:c r="Q87" s="115" t="str">
        <x:v>Medium</x:v>
      </x:c>
      <x:c r="R87" s="115" t="str">
        <x:v>VMware Cloud on AWS</x:v>
      </x:c>
      <x:c r="S87" s="115" t="str">
        <x:v>Azure VMware Solution</x:v>
      </x:c>
      <x:c r="T87" s="115" t="str">
        <x:v>Google Cloud VMware Engine</x:v>
      </x:c>
      <x:c r="U87" s="115" t="n">
        <x:v>3.74</x:v>
      </x:c>
      <x:c r="V87" s="115" t="n">
        <x:v>4.07</x:v>
      </x:c>
      <x:c r="W87" s="115" t="n">
        <x:v>3.75</x:v>
      </x:c>
      <x:c r="X87" s="118" t="str">
        <x:v>Azure</x:v>
      </x:c>
      <x:c r="Y87" s="115" t="str">
        <x:v>Start with Azure when Microsoft identity, security, data, productivity or hybrid integration reduces delivery effort.</x:v>
      </x:c>
      <x:c r="Z87" s="115" t="str">
        <x:v>Exact</x:v>
      </x:c>
      <x:c r="AA87" s="115"/>
      <x:c r="AB87" s="115" t="str">
        <x:v>2026-07-12</x:v>
      </x:c>
      <x:c r="AC87" s="115" t="str">
        <x:v>Scored and mapped</x:v>
      </x:c>
      <x:c r="AD87" s="115" t="str">
        <x:v>https://azure.microsoft.com/en-us/products/category</x:v>
      </x:c>
    </x:row>
    <x:row r="88">
      <x:c r="A88" s="115" t="str">
        <x:v>6. Edge, Industry &amp; Specialist</x:v>
      </x:c>
      <x:c r="B88" s="115" t="str">
        <x:v>23. Industry Clouds, Sovereign, Enterprise Apps &amp; Regulated Workloads</x:v>
      </x:c>
      <x:c r="C88" s="115" t="str">
        <x:v>Virtual Machines &amp; Core Compute</x:v>
      </x:c>
      <x:c r="D88" s="115" t="str">
        <x:v>Adopt &amp; Build</x:v>
      </x:c>
      <x:c r="E88" s="115" t="str">
        <x:v>Security, Privacy &amp; Compliance
Cost &amp; FinOps
Operations &amp; Support
Data Residency &amp; Sovereignty</x:v>
      </x:c>
      <x:c r="F88" s="115" t="str">
        <x:v>04 Compute, Containers &amp; Runtime</x:v>
      </x:c>
      <x:c r="G88" s="115" t="str">
        <x:v>Compute &amp; Application Hosting</x:v>
      </x:c>
      <x:c r="H88" s="115" t="str">
        <x:v>SAP</x:v>
      </x:c>
      <x:c r="I88" s="115" t="str">
        <x:v>SAP workload platform</x:v>
      </x:c>
      <x:c r="J88" s="115" t="str">
        <x:v>Run certified SAP applications and databases on cloud infrastructure.</x:v>
      </x:c>
      <x:c r="K88" s="115" t="str">
        <x:v>Choose this capability when you need to run certified sap applications and databases on cloud infrastructure.</x:v>
      </x:c>
      <x:c r="L88" s="115" t="str">
        <x:v>How much OS, network and hardware control is required, and who will operate it?</x:v>
      </x:c>
      <x:c r="M88" s="115" t="str">
        <x:v>Operational simplicity versus infrastructure control and portability.</x:v>
      </x:c>
      <x:c r="N88" s="115" t="n">
        <x:v>3</x:v>
      </x:c>
      <x:c r="O88" s="115" t="str">
        <x:v>Moderate</x:v>
      </x:c>
      <x:c r="P88" s="115" t="str">
        <x:v>1–3 weeks</x:v>
      </x:c>
      <x:c r="Q88" s="115" t="str">
        <x:v>Low</x:v>
      </x:c>
      <x:c r="R88" s="115" t="str">
        <x:v>SAP on AWS</x:v>
      </x:c>
      <x:c r="S88" s="115" t="str">
        <x:v>SAP on Azure</x:v>
      </x:c>
      <x:c r="T88" s="115" t="str">
        <x:v>SAP on Google Cloud</x:v>
      </x:c>
      <x:c r="U88" s="115" t="n">
        <x:v>4.14</x:v>
      </x:c>
      <x:c r="V88" s="115" t="n">
        <x:v>4.06</x:v>
      </x:c>
      <x:c r="W88" s="115" t="n">
        <x:v>4.04</x:v>
      </x:c>
      <x:c r="X88" s="118" t="str">
        <x:v>Context-dependent tie</x:v>
      </x:c>
      <x:c r="Y88" s="115" t="str">
        <x:v>Scores are close: use ecosystem, data gravity, region, skills, commercials and proof-of-value results to decide.</x:v>
      </x:c>
      <x:c r="Z88" s="115" t="str">
        <x:v>Exact</x:v>
      </x:c>
      <x:c r="AA88" s="115"/>
      <x:c r="AB88" s="115" t="str">
        <x:v>2026-07-12</x:v>
      </x:c>
      <x:c r="AC88" s="115" t="str">
        <x:v>Scored and mapped</x:v>
      </x:c>
      <x:c r="AD88" s="115" t="str">
        <x:v>https://docs.cloud.google.com/docs/product-list</x:v>
      </x:c>
    </x:row>
    <x:row r="89">
      <x:c r="A89" s="115" t="str">
        <x:v>6. Edge, Industry &amp; Specialist</x:v>
      </x:c>
      <x:c r="B89" s="115" t="str">
        <x:v>24. Emerging Technologies: Quantum, Blockchain &amp; Satellite</x:v>
      </x:c>
      <x:c r="C89" s="115" t="str">
        <x:v>Specialised &amp; High-Performance Compute</x:v>
      </x:c>
      <x:c r="D89" s="115" t="str">
        <x:v>Adopt &amp; Build</x:v>
      </x:c>
      <x:c r="E89" s="115" t="str">
        <x:v>Security, Privacy &amp; Compliance
Cost &amp; FinOps
Operations &amp; Support</x:v>
      </x:c>
      <x:c r="F89" s="115" t="str">
        <x:v>04 Compute, Containers &amp; Runtime</x:v>
      </x:c>
      <x:c r="G89" s="115" t="str">
        <x:v>Compute &amp; Application Hosting</x:v>
      </x:c>
      <x:c r="H89" s="115" t="str">
        <x:v>Quantum</x:v>
      </x:c>
      <x:c r="I89" s="115" t="str">
        <x:v>Managed quantum computing</x:v>
      </x:c>
      <x:c r="J89" s="115" t="str">
        <x:v>Develop, simulate and execute quantum algorithms using cloud-accessible hardware.</x:v>
      </x:c>
      <x:c r="K89" s="115" t="str">
        <x:v>Choose this capability when you need to develop, simulate and execute quantum algorithms using cloud-accessible hardware.</x:v>
      </x:c>
      <x:c r="L89" s="115" t="str">
        <x:v>What business outcome, scale, control, integration and operating model justify choosing managed quantum computing?</x:v>
      </x:c>
      <x:c r="M89" s="115" t="str">
        <x:v>Operational simplicity versus infrastructure control and portability.</x:v>
      </x:c>
      <x:c r="N89" s="115" t="n">
        <x:v>2</x:v>
      </x:c>
      <x:c r="O89" s="115" t="str">
        <x:v>Advanced</x:v>
      </x:c>
      <x:c r="P89" s="115" t="str">
        <x:v>3–8 weeks</x:v>
      </x:c>
      <x:c r="Q89" s="115" t="str">
        <x:v>Medium</x:v>
      </x:c>
      <x:c r="R89" s="115" t="str">
        <x:v>Amazon Braket</x:v>
      </x:c>
      <x:c r="S89" s="115" t="str">
        <x:v>Azure Quantum</x:v>
      </x:c>
      <x:c r="T89" s="115" t="str">
        <x:v>Quantum AI services and partner access</x:v>
      </x:c>
      <x:c r="U89" s="115" t="n">
        <x:v>3.54</x:v>
      </x:c>
      <x:c r="V89" s="115" t="n">
        <x:v>3.54</x:v>
      </x:c>
      <x:c r="W89" s="115" t="n">
        <x:v>3.06</x:v>
      </x:c>
      <x:c r="X89" s="118" t="str">
        <x:v>Context-dependent tie</x:v>
      </x:c>
      <x:c r="Y89" s="115" t="str">
        <x:v>Scores are close: use ecosystem, data gravity, region, skills, commercials and proof-of-value results to decide.</x:v>
      </x:c>
      <x:c r="Z89" s="115" t="str">
        <x:v>Partial</x:v>
      </x:c>
      <x:c r="AA89" s="115"/>
      <x:c r="AB89" s="115" t="str">
        <x:v>2026-07-12</x:v>
      </x:c>
      <x:c r="AC89" s="115" t="str">
        <x:v>Scored and mapped</x:v>
      </x:c>
      <x:c r="AD89" s="115" t="str">
        <x:v>https://docs.aws.amazon.com/whitepapers/latest/aws-overview/amazon-web-services-cloud-platform.html</x:v>
      </x:c>
    </x:row>
    <x:row r="90">
      <x:c r="A90" s="115" t="str">
        <x:v>2. Foundation, Infrastructure &amp; Security</x:v>
      </x:c>
      <x:c r="B90" s="115" t="str">
        <x:v>06. Compute, Virtualisation, HPC &amp; Accelerators</x:v>
      </x:c>
      <x:c r="C90" s="115" t="str">
        <x:v>Hybrid, Multicloud &amp; Edge Runtime</x:v>
      </x:c>
      <x:c r="D90" s="115" t="str">
        <x:v>Adopt &amp; Build</x:v>
      </x:c>
      <x:c r="E90" s="115" t="str">
        <x:v>Security, Privacy &amp; Compliance
Cost &amp; FinOps
Operations &amp; Support
Reliability &amp; Resilience
Performance &amp; Scalability
Sustainability</x:v>
      </x:c>
      <x:c r="F90" s="115" t="str">
        <x:v>04 Compute, Containers &amp; Runtime</x:v>
      </x:c>
      <x:c r="G90" s="115" t="str">
        <x:v>Compute &amp; Application Hosting</x:v>
      </x:c>
      <x:c r="H90" s="115" t="str">
        <x:v>Edge compute</x:v>
      </x:c>
      <x:c r="I90" s="115" t="str">
        <x:v>Provider edge compute</x:v>
      </x:c>
      <x:c r="J90" s="115" t="str">
        <x:v>Run cloud compute and services near users, devices or telecom networks.</x:v>
      </x:c>
      <x:c r="K90" s="115" t="str">
        <x:v>Choose this capability when you need to run cloud compute and services near users, devices or telecom networks.</x:v>
      </x:c>
      <x:c r="L90" s="115" t="str">
        <x:v>What business outcome, scale, control, integration and operating model justify choosing provider edge compute?</x:v>
      </x:c>
      <x:c r="M90" s="115" t="str">
        <x:v>Operational simplicity versus infrastructure control and portability.</x:v>
      </x:c>
      <x:c r="N90" s="115" t="n">
        <x:v>2</x:v>
      </x:c>
      <x:c r="O90" s="115" t="str">
        <x:v>Advanced</x:v>
      </x:c>
      <x:c r="P90" s="115" t="str">
        <x:v>3–8 weeks</x:v>
      </x:c>
      <x:c r="Q90" s="115" t="str">
        <x:v>Medium</x:v>
      </x:c>
      <x:c r="R90" s="115" t="str">
        <x:v>AWS Wavelength
AWS Outposts</x:v>
      </x:c>
      <x:c r="S90" s="115" t="str">
        <x:v>Azure Edge Zones
Azure Stack Edge</x:v>
      </x:c>
      <x:c r="T90" s="115" t="str">
        <x:v>Google Distributed Cloud</x:v>
      </x:c>
      <x:c r="U90" s="115" t="n">
        <x:v>3.63</x:v>
      </x:c>
      <x:c r="V90" s="115" t="n">
        <x:v>3.89</x:v>
      </x:c>
      <x:c r="W90" s="115" t="n">
        <x:v>3.69</x:v>
      </x:c>
      <x:c r="X90" s="118" t="str">
        <x:v>Azure</x:v>
      </x:c>
      <x:c r="Y90" s="115" t="str">
        <x:v>Start with Azure when Microsoft identity, security, data, productivity or hybrid integration reduces delivery effort.</x:v>
      </x:c>
      <x:c r="Z90" s="115" t="str">
        <x:v>Close</x:v>
      </x:c>
      <x:c r="AA90" s="115"/>
      <x:c r="AB90" s="115" t="str">
        <x:v>2026-07-12</x:v>
      </x:c>
      <x:c r="AC90" s="115" t="str">
        <x:v>Scored and mapped</x:v>
      </x:c>
      <x:c r="AD90" s="115" t="str">
        <x:v>https://azure.microsoft.com/en-us/products/category</x:v>
      </x:c>
    </x:row>
    <x:row r="91">
      <x:c r="A91" s="115" t="str">
        <x:v>5. Engineering, Operations &amp; Transformation</x:v>
      </x:c>
      <x:c r="B91" s="115" t="str">
        <x:v>20. Migration, Modernisation, Hybrid, Multicloud &amp; Mainframe</x:v>
      </x:c>
      <x:c r="C91" s="115" t="str">
        <x:v>Hybrid, Multicloud &amp; Edge Runtime</x:v>
      </x:c>
      <x:c r="D91" s="115" t="str">
        <x:v>Migrate &amp; Modernise</x:v>
      </x:c>
      <x:c r="E91" s="115" t="str">
        <x:v>Security, Privacy &amp; Compliance
Cost &amp; FinOps
Operations &amp; Support
Data Residency &amp; Sovereignty
Portability &amp; Exit</x:v>
      </x:c>
      <x:c r="F91" s="115" t="str">
        <x:v>04 Compute, Containers &amp; Runtime</x:v>
      </x:c>
      <x:c r="G91" s="115" t="str">
        <x:v>Hybrid &amp; Multicloud</x:v>
      </x:c>
      <x:c r="H91" s="115" t="str">
        <x:v>Hybrid cloud platform</x:v>
      </x:c>
      <x:c r="I91" s="115" t="str">
        <x:v>On-premises cloud infrastructure</x:v>
      </x:c>
      <x:c r="J91" s="115" t="str">
        <x:v>Run provider-consistent cloud services in customer data centres or edge locations.</x:v>
      </x:c>
      <x:c r="K91" s="115" t="str">
        <x:v>Choose this capability when you need to run provider-consistent cloud services in customer data centres or edge locations.</x:v>
      </x:c>
      <x:c r="L91" s="115" t="str">
        <x:v>What business outcome, scale, control, integration and operating model justify choosing on-premises cloud infrastructure?</x:v>
      </x:c>
      <x:c r="M91" s="115" t="str">
        <x:v>Operational simplicity versus infrastructure control and portability.</x:v>
      </x:c>
      <x:c r="N91" s="115" t="n">
        <x:v>2</x:v>
      </x:c>
      <x:c r="O91" s="115" t="str">
        <x:v>Advanced</x:v>
      </x:c>
      <x:c r="P91" s="115" t="str">
        <x:v>3–8 weeks</x:v>
      </x:c>
      <x:c r="Q91" s="115" t="str">
        <x:v>Medium</x:v>
      </x:c>
      <x:c r="R91" s="115" t="str">
        <x:v>AWS Outposts</x:v>
      </x:c>
      <x:c r="S91" s="115" t="str">
        <x:v>Azure Local
Azure Stack Hub</x:v>
      </x:c>
      <x:c r="T91" s="115" t="str">
        <x:v>Google Distributed Cloud connected
Google Distributed Cloud air-gapped</x:v>
      </x:c>
      <x:c r="U91" s="115" t="n">
        <x:v>3.66</x:v>
      </x:c>
      <x:c r="V91" s="115" t="n">
        <x:v>3.89</x:v>
      </x:c>
      <x:c r="W91" s="115" t="n">
        <x:v>3.6</x:v>
      </x:c>
      <x:c r="X91" s="118" t="str">
        <x:v>Azure</x:v>
      </x:c>
      <x:c r="Y91" s="115" t="str">
        <x:v>Start with Azure when Microsoft identity, security, data, productivity or hybrid integration reduces delivery effort.</x:v>
      </x:c>
      <x:c r="Z91" s="115" t="str">
        <x:v>Close</x:v>
      </x:c>
      <x:c r="AA91" s="115"/>
      <x:c r="AB91" s="115" t="str">
        <x:v>2026-07-12</x:v>
      </x:c>
      <x:c r="AC91" s="115" t="str">
        <x:v>Scored and mapped</x:v>
      </x:c>
      <x:c r="AD91" s="115" t="str">
        <x:v>https://learn.microsoft.com/en-us/azure/cloud-adoption-framework/</x:v>
      </x:c>
    </x:row>
    <x:row r="92">
      <x:c r="A92" s="115" t="str">
        <x:v>5. Engineering, Operations &amp; Transformation</x:v>
      </x:c>
      <x:c r="B92" s="115" t="str">
        <x:v>20. Migration, Modernisation, Hybrid, Multicloud &amp; Mainframe</x:v>
      </x:c>
      <x:c r="C92" s="115" t="str">
        <x:v>Hybrid, Multicloud &amp; Edge Runtime</x:v>
      </x:c>
      <x:c r="D92" s="115" t="str">
        <x:v>Migrate &amp; Modernise</x:v>
      </x:c>
      <x:c r="E92" s="115" t="str">
        <x:v>Security, Privacy &amp; Compliance
Cost &amp; FinOps
Operations &amp; Support
Data Residency &amp; Sovereignty
Portability &amp; Exit</x:v>
      </x:c>
      <x:c r="F92" s="115" t="str">
        <x:v>04 Compute, Containers &amp; Runtime</x:v>
      </x:c>
      <x:c r="G92" s="115" t="str">
        <x:v>Hybrid &amp; Multicloud</x:v>
      </x:c>
      <x:c r="H92" s="115" t="str">
        <x:v>Hybrid management</x:v>
      </x:c>
      <x:c r="I92" s="115" t="str">
        <x:v>Hybrid and multicloud control plane</x:v>
      </x:c>
      <x:c r="J92" s="115" t="str">
        <x:v>Inventory, govern and operate servers, Kubernetes and data services across environments.</x:v>
      </x:c>
      <x:c r="K92" s="115" t="str">
        <x:v>Choose this capability when you need to inventory, govern and operate servers, kubernetes and data services across environments.</x:v>
      </x:c>
      <x:c r="L92" s="115" t="str">
        <x:v>What business outcome, scale, control, integration and operating model justify choosing hybrid and multicloud control plane?</x:v>
      </x:c>
      <x:c r="M92" s="115" t="str">
        <x:v>Operational simplicity versus infrastructure control and portability.</x:v>
      </x:c>
      <x:c r="N92" s="115" t="n">
        <x:v>2</x:v>
      </x:c>
      <x:c r="O92" s="115" t="str">
        <x:v>Advanced</x:v>
      </x:c>
      <x:c r="P92" s="115" t="str">
        <x:v>3–8 weeks</x:v>
      </x:c>
      <x:c r="Q92" s="115" t="str">
        <x:v>Medium</x:v>
      </x:c>
      <x:c r="R92" s="115" t="str">
        <x:v>AWS Systems Manager
Amazon EKS Anywhere</x:v>
      </x:c>
      <x:c r="S92" s="115" t="str">
        <x:v>Azure Arc</x:v>
      </x:c>
      <x:c r="T92" s="115" t="str">
        <x:v>GKE Enterprise
Config Sync
Policy Controller</x:v>
      </x:c>
      <x:c r="U92" s="115" t="n">
        <x:v>3.59</x:v>
      </x:c>
      <x:c r="V92" s="115" t="n">
        <x:v>4.01</x:v>
      </x:c>
      <x:c r="W92" s="115" t="n">
        <x:v>3.6</x:v>
      </x:c>
      <x:c r="X92" s="118" t="str">
        <x:v>Azure</x:v>
      </x:c>
      <x:c r="Y92" s="115" t="str">
        <x:v>Start with Azure when Microsoft identity, security, data, productivity or hybrid integration reduces delivery effort.</x:v>
      </x:c>
      <x:c r="Z92" s="115" t="str">
        <x:v>Close</x:v>
      </x:c>
      <x:c r="AA92" s="115"/>
      <x:c r="AB92" s="115" t="str">
        <x:v>2026-07-12</x:v>
      </x:c>
      <x:c r="AC92" s="115" t="str">
        <x:v>Scored and mapped</x:v>
      </x:c>
      <x:c r="AD92" s="115" t="str">
        <x:v>https://learn.microsoft.com/en-us/azure/cloud-adoption-framework/</x:v>
      </x:c>
    </x:row>
    <x:row r="93">
      <x:c r="A93" s="115" t="str">
        <x:v>5. Engineering, Operations &amp; Transformation</x:v>
      </x:c>
      <x:c r="B93" s="115" t="str">
        <x:v>20. Migration, Modernisation, Hybrid, Multicloud &amp; Mainframe</x:v>
      </x:c>
      <x:c r="C93" s="115" t="str">
        <x:v>Containers &amp; Kubernetes</x:v>
      </x:c>
      <x:c r="D93" s="115" t="str">
        <x:v>Migrate &amp; Modernise</x:v>
      </x:c>
      <x:c r="E93" s="115" t="str">
        <x:v>Security, Privacy &amp; Compliance
Cost &amp; FinOps
Operations &amp; Support
Data Residency &amp; Sovereignty
Portability &amp; Exit</x:v>
      </x:c>
      <x:c r="F93" s="115" t="str">
        <x:v>04 Compute, Containers &amp; Runtime</x:v>
      </x:c>
      <x:c r="G93" s="115" t="str">
        <x:v>Hybrid &amp; Multicloud</x:v>
      </x:c>
      <x:c r="H93" s="115" t="str">
        <x:v>Multicloud Kubernetes</x:v>
      </x:c>
      <x:c r="I93" s="115" t="str">
        <x:v>Multicloud Kubernetes management</x:v>
      </x:c>
      <x:c r="J93" s="115" t="str">
        <x:v>Manage Kubernetes fleets spanning cloud and on-premises environments.</x:v>
      </x:c>
      <x:c r="K93" s="115" t="str">
        <x:v>Choose this capability when you need to manage kubernetes fleets spanning cloud and on-premises environments.</x:v>
      </x:c>
      <x:c r="L93" s="115" t="str">
        <x:v>Do you need Kubernetes-specific control, or would a simpler serverless container platform meet the requirement?</x:v>
      </x:c>
      <x:c r="M93" s="115" t="str">
        <x:v>Operational simplicity versus infrastructure control and portability.</x:v>
      </x:c>
      <x:c r="N93" s="115" t="n">
        <x:v>1</x:v>
      </x:c>
      <x:c r="O93" s="115" t="str">
        <x:v>Specialist</x:v>
      </x:c>
      <x:c r="P93" s="115" t="str">
        <x:v>Programme-scale</x:v>
      </x:c>
      <x:c r="Q93" s="115" t="str">
        <x:v>Low</x:v>
      </x:c>
      <x:c r="R93" s="115" t="str">
        <x:v>Amazon EKS Anywhere
Amazon ECS Anywhere</x:v>
      </x:c>
      <x:c r="S93" s="115" t="str">
        <x:v>Azure Kubernetes Fleet Manager
Azure Arc-enabled Kubernetes</x:v>
      </x:c>
      <x:c r="T93" s="115" t="str">
        <x:v>GKE Multi-Cloud
GKE Enterprise</x:v>
      </x:c>
      <x:c r="U93" s="115" t="n">
        <x:v>3.49</x:v>
      </x:c>
      <x:c r="V93" s="115" t="n">
        <x:v>3.53</x:v>
      </x:c>
      <x:c r="W93" s="115" t="n">
        <x:v>3.78</x:v>
      </x:c>
      <x:c r="X93" s="118" t="str">
        <x:v>GCP</x:v>
      </x:c>
      <x:c r="Y93" s="115" t="str">
        <x:v>Start with Google Cloud when data, AI, Kubernetes, network or managed developer experience is the main differentiator.</x:v>
      </x:c>
      <x:c r="Z93" s="115" t="str">
        <x:v>Close</x:v>
      </x:c>
      <x:c r="AA93" s="115"/>
      <x:c r="AB93" s="115" t="str">
        <x:v>2026-07-12</x:v>
      </x:c>
      <x:c r="AC93" s="115" t="str">
        <x:v>Scored and mapped</x:v>
      </x:c>
      <x:c r="AD93" s="115" t="str">
        <x:v>https://learn.microsoft.com/en-us/azure/cloud-adoption-framework/</x:v>
      </x:c>
    </x:row>
    <x:row r="94">
      <x:c r="A94" s="115" t="str">
        <x:v>5. Engineering, Operations &amp; Transformation</x:v>
      </x:c>
      <x:c r="B94" s="115" t="str">
        <x:v>20. Migration, Modernisation, Hybrid, Multicloud &amp; Mainframe</x:v>
      </x:c>
      <x:c r="C94" s="115" t="str">
        <x:v>Hybrid, Multicloud &amp; Edge Runtime</x:v>
      </x:c>
      <x:c r="D94" s="115" t="str">
        <x:v>Migrate &amp; Modernise</x:v>
      </x:c>
      <x:c r="E94" s="115" t="str">
        <x:v>Security, Privacy &amp; Compliance
Cost &amp; FinOps
Operations &amp; Support
Data Residency &amp; Sovereignty
Portability &amp; Exit</x:v>
      </x:c>
      <x:c r="F94" s="115" t="str">
        <x:v>04 Compute, Containers &amp; Runtime</x:v>
      </x:c>
      <x:c r="G94" s="115" t="str">
        <x:v>Hybrid &amp; Multicloud</x:v>
      </x:c>
      <x:c r="H94" s="115" t="str">
        <x:v>Air-gapped cloud</x:v>
      </x:c>
      <x:c r="I94" s="115" t="str">
        <x:v>Air-gapped cloud platform</x:v>
      </x:c>
      <x:c r="J94" s="115" t="str">
        <x:v>Run cloud capabilities in disconnected or highly restricted environments.</x:v>
      </x:c>
      <x:c r="K94" s="115" t="str">
        <x:v>Choose this capability when you need to run cloud capabilities in disconnected or highly restricted environments.</x:v>
      </x:c>
      <x:c r="L94" s="115" t="str">
        <x:v>What business outcome, scale, control, integration and operating model justify choosing air-gapped cloud platform?</x:v>
      </x:c>
      <x:c r="M94" s="115" t="str">
        <x:v>Operational simplicity versus infrastructure control and portability.</x:v>
      </x:c>
      <x:c r="N94" s="115" t="n">
        <x:v>1</x:v>
      </x:c>
      <x:c r="O94" s="115" t="str">
        <x:v>Specialist</x:v>
      </x:c>
      <x:c r="P94" s="115" t="str">
        <x:v>Programme-scale</x:v>
      </x:c>
      <x:c r="Q94" s="115" t="str">
        <x:v>Medium</x:v>
      </x:c>
      <x:c r="R94" s="115" t="str">
        <x:v>AWS Snowball Edge / AWS Outposts variants</x:v>
      </x:c>
      <x:c r="S94" s="115" t="str">
        <x:v>Azure Stack Hub</x:v>
      </x:c>
      <x:c r="T94" s="115" t="str">
        <x:v>Google Distributed Cloud air-gapped</x:v>
      </x:c>
      <x:c r="U94" s="115" t="n">
        <x:v>3.23</x:v>
      </x:c>
      <x:c r="V94" s="115" t="n">
        <x:v>3.62</x:v>
      </x:c>
      <x:c r="W94" s="115" t="n">
        <x:v>3.35</x:v>
      </x:c>
      <x:c r="X94" s="118" t="str">
        <x:v>Azure</x:v>
      </x:c>
      <x:c r="Y94" s="115" t="str">
        <x:v>Start with Azure when Microsoft identity, security, data, productivity or hybrid integration reduces delivery effort.</x:v>
      </x:c>
      <x:c r="Z94" s="115" t="str">
        <x:v>Partial</x:v>
      </x:c>
      <x:c r="AA94" s="115"/>
      <x:c r="AB94" s="115" t="str">
        <x:v>2026-07-12</x:v>
      </x:c>
      <x:c r="AC94" s="115" t="str">
        <x:v>Scored and mapped</x:v>
      </x:c>
      <x:c r="AD94" s="115" t="str">
        <x:v>https://learn.microsoft.com/en-us/azure/cloud-adoption-framework/</x:v>
      </x:c>
    </x:row>
    <x:row r="95">
      <x:c r="A95" s="115" t="str">
        <x:v>5. Engineering, Operations &amp; Transformation</x:v>
      </x:c>
      <x:c r="B95" s="115" t="str">
        <x:v>20. Migration, Modernisation, Hybrid, Multicloud &amp; Mainframe</x:v>
      </x:c>
      <x:c r="C95" s="115" t="str">
        <x:v>Hybrid, Multicloud &amp; Edge Runtime</x:v>
      </x:c>
      <x:c r="D95" s="115" t="str">
        <x:v>Migrate &amp; Modernise</x:v>
      </x:c>
      <x:c r="E95" s="115" t="str">
        <x:v>Security, Privacy &amp; Compliance
Cost &amp; FinOps
Operations &amp; Support
Data Residency &amp; Sovereignty
Portability &amp; Exit</x:v>
      </x:c>
      <x:c r="F95" s="115" t="str">
        <x:v>04 Compute, Containers &amp; Runtime</x:v>
      </x:c>
      <x:c r="G95" s="115" t="str">
        <x:v>Hybrid &amp; Multicloud</x:v>
      </x:c>
      <x:c r="H95" s="115" t="str">
        <x:v>Edge appliance</x:v>
      </x:c>
      <x:c r="I95" s="115" t="str">
        <x:v>Cloud edge appliance</x:v>
      </x:c>
      <x:c r="J95" s="115" t="str">
        <x:v>Deploy provider-managed compute and data-transfer hardware at remote sites.</x:v>
      </x:c>
      <x:c r="K95" s="115" t="str">
        <x:v>Choose this capability when you need to deploy provider-managed compute and data-transfer hardware at remote sites.</x:v>
      </x:c>
      <x:c r="L95" s="115" t="str">
        <x:v>What business outcome, scale, control, integration and operating model justify choosing cloud edge appliance?</x:v>
      </x:c>
      <x:c r="M95" s="115" t="str">
        <x:v>Operational simplicity versus infrastructure control and portability.</x:v>
      </x:c>
      <x:c r="N95" s="115" t="n">
        <x:v>2</x:v>
      </x:c>
      <x:c r="O95" s="115" t="str">
        <x:v>Advanced</x:v>
      </x:c>
      <x:c r="P95" s="115" t="str">
        <x:v>3–8 weeks</x:v>
      </x:c>
      <x:c r="Q95" s="115" t="str">
        <x:v>Medium</x:v>
      </x:c>
      <x:c r="R95" s="115" t="str">
        <x:v>AWS Snow Family</x:v>
      </x:c>
      <x:c r="S95" s="115" t="str">
        <x:v>Azure Stack Edge
Azure Data Box</x:v>
      </x:c>
      <x:c r="T95" s="115" t="str">
        <x:v>Google Distributed Cloud appliance
Transfer Appliance</x:v>
      </x:c>
      <x:c r="U95" s="115" t="n">
        <x:v>3.66</x:v>
      </x:c>
      <x:c r="V95" s="115" t="n">
        <x:v>3.89</x:v>
      </x:c>
      <x:c r="W95" s="115" t="n">
        <x:v>3.6</x:v>
      </x:c>
      <x:c r="X95" s="118" t="str">
        <x:v>Azure</x:v>
      </x:c>
      <x:c r="Y95" s="115" t="str">
        <x:v>Start with Azure when Microsoft identity, security, data, productivity or hybrid integration reduces delivery effort.</x:v>
      </x:c>
      <x:c r="Z95" s="115" t="str">
        <x:v>Close</x:v>
      </x:c>
      <x:c r="AA95" s="115"/>
      <x:c r="AB95" s="115" t="str">
        <x:v>2026-07-12</x:v>
      </x:c>
      <x:c r="AC95" s="115" t="str">
        <x:v>Scored and mapped</x:v>
      </x:c>
      <x:c r="AD95" s="115" t="str">
        <x:v>https://learn.microsoft.com/en-us/azure/cloud-adoption-framework/</x:v>
      </x:c>
    </x:row>
    <x:row r="96">
      <x:c r="A96" s="115" t="str">
        <x:v>2. Foundation, Infrastructure &amp; Security</x:v>
      </x:c>
      <x:c r="B96" s="115" t="str">
        <x:v>05. Networking, Connectivity, DNS, Traffic &amp; Edge Delivery</x:v>
      </x:c>
      <x:c r="C96" s="115" t="str">
        <x:v>Virtual Networks &amp; Segmentation</x:v>
      </x:c>
      <x:c r="D96" s="115" t="str">
        <x:v>Ready &amp; Govern</x:v>
      </x:c>
      <x:c r="E96" s="115" t="str">
        <x:v>Security, Privacy &amp; Compliance
Cost &amp; FinOps
Operations &amp; Support
Reliability &amp; Resilience
Performance &amp; Scalability</x:v>
      </x:c>
      <x:c r="F96" s="115" t="str">
        <x:v>03 Network &amp; Connectivity</x:v>
      </x:c>
      <x:c r="G96" s="115" t="str">
        <x:v>Networking</x:v>
      </x:c>
      <x:c r="H96" s="115" t="str">
        <x:v>Virtual network</x:v>
      </x:c>
      <x:c r="I96" s="115" t="str">
        <x:v>Virtual private network</x:v>
      </x:c>
      <x:c r="J96" s="115" t="str">
        <x:v>Create logically isolated cloud networks, subnets, routing and private addressing.</x:v>
      </x:c>
      <x:c r="K96" s="115" t="str">
        <x:v>Choose this capability when you need to create logically isolated cloud networks, subnets, routing and private addressing.</x:v>
      </x:c>
      <x:c r="L96" s="115" t="str">
        <x:v>What business outcome, scale, control, integration and operating model justify choosing virtual private network?</x:v>
      </x:c>
      <x:c r="M96" s="115" t="str">
        <x:v>Global performance and resilience versus design complexity and egress cost.</x:v>
      </x:c>
      <x:c r="N96" s="115" t="n">
        <x:v>3</x:v>
      </x:c>
      <x:c r="O96" s="115" t="str">
        <x:v>Moderate</x:v>
      </x:c>
      <x:c r="P96" s="115" t="str">
        <x:v>1–3 weeks</x:v>
      </x:c>
      <x:c r="Q96" s="115" t="str">
        <x:v>Medium</x:v>
      </x:c>
      <x:c r="R96" s="115" t="str">
        <x:v>Amazon VPC</x:v>
      </x:c>
      <x:c r="S96" s="115" t="str">
        <x:v>Azure Virtual Network</x:v>
      </x:c>
      <x:c r="T96" s="115" t="str">
        <x:v>Virtual Private Cloud</x:v>
      </x:c>
      <x:c r="U96" s="115" t="n">
        <x:v>3.94</x:v>
      </x:c>
      <x:c r="V96" s="115" t="n">
        <x:v>3.9</x:v>
      </x:c>
      <x:c r="W96" s="115" t="n">
        <x:v>3.91</x:v>
      </x:c>
      <x:c r="X96" s="118" t="str">
        <x:v>Context-dependent tie</x:v>
      </x:c>
      <x:c r="Y96" s="115" t="str">
        <x:v>Scores are close: use ecosystem, data gravity, region, skills, commercials and proof-of-value results to decide.</x:v>
      </x:c>
      <x:c r="Z96" s="115" t="str">
        <x:v>Exact</x:v>
      </x:c>
      <x:c r="AA96" s="115"/>
      <x:c r="AB96" s="115" t="str">
        <x:v>2026-07-12</x:v>
      </x:c>
      <x:c r="AC96" s="115" t="str">
        <x:v>Scored and mapped</x:v>
      </x:c>
      <x:c r="AD96" s="115" t="str">
        <x:v>https://docs.aws.amazon.com/whitepapers/latest/aws-overview/amazon-web-services-cloud-platform.html</x:v>
      </x:c>
    </x:row>
    <x:row r="97">
      <x:c r="A97" s="115" t="str">
        <x:v>2. Foundation, Infrastructure &amp; Security</x:v>
      </x:c>
      <x:c r="B97" s="115" t="str">
        <x:v>05. Networking, Connectivity, DNS, Traffic &amp; Edge Delivery</x:v>
      </x:c>
      <x:c r="C97" s="115" t="str">
        <x:v>Virtual Networks &amp; Segmentation</x:v>
      </x:c>
      <x:c r="D97" s="115" t="str">
        <x:v>Ready &amp; Govern</x:v>
      </x:c>
      <x:c r="E97" s="115" t="str">
        <x:v>Security, Privacy &amp; Compliance
Cost &amp; FinOps
Operations &amp; Support
Reliability &amp; Resilience
Performance &amp; Scalability</x:v>
      </x:c>
      <x:c r="F97" s="115" t="str">
        <x:v>03 Network &amp; Connectivity</x:v>
      </x:c>
      <x:c r="G97" s="115" t="str">
        <x:v>Networking</x:v>
      </x:c>
      <x:c r="H97" s="115" t="str">
        <x:v>Network segmentation</x:v>
      </x:c>
      <x:c r="I97" s="115" t="str">
        <x:v>Network security groups</x:v>
      </x:c>
      <x:c r="J97" s="115" t="str">
        <x:v>Apply stateful network access rules to interfaces, workloads or subnets.</x:v>
      </x:c>
      <x:c r="K97" s="115" t="str">
        <x:v>Choose this capability when you need to apply stateful network access rules to interfaces, workloads or subnets.</x:v>
      </x:c>
      <x:c r="L97" s="115" t="str">
        <x:v>What business outcome, scale, control, integration and operating model justify choosing network security groups?</x:v>
      </x:c>
      <x:c r="M97" s="115" t="str">
        <x:v>Global performance and resilience versus design complexity and egress cost.</x:v>
      </x:c>
      <x:c r="N97" s="115" t="n">
        <x:v>3</x:v>
      </x:c>
      <x:c r="O97" s="115" t="str">
        <x:v>Moderate</x:v>
      </x:c>
      <x:c r="P97" s="115" t="str">
        <x:v>1–3 weeks</x:v>
      </x:c>
      <x:c r="Q97" s="115" t="str">
        <x:v>Medium</x:v>
      </x:c>
      <x:c r="R97" s="115" t="str">
        <x:v>Security Groups
Network ACLs</x:v>
      </x:c>
      <x:c r="S97" s="115" t="str">
        <x:v>Network Security Groups
Application Security Groups</x:v>
      </x:c>
      <x:c r="T97" s="115" t="str">
        <x:v>VPC firewall rules
Hierarchical firewall policies</x:v>
      </x:c>
      <x:c r="U97" s="115" t="n">
        <x:v>3.77</x:v>
      </x:c>
      <x:c r="V97" s="115" t="n">
        <x:v>3.82</x:v>
      </x:c>
      <x:c r="W97" s="115" t="n">
        <x:v>3.74</x:v>
      </x:c>
      <x:c r="X97" s="118" t="str">
        <x:v>Context-dependent tie</x:v>
      </x:c>
      <x:c r="Y97" s="115" t="str">
        <x:v>Scores are close: use ecosystem, data gravity, region, skills, commercials and proof-of-value results to decide.</x:v>
      </x:c>
      <x:c r="Z97" s="115" t="str">
        <x:v>Close</x:v>
      </x:c>
      <x:c r="AA97" s="115"/>
      <x:c r="AB97" s="115" t="str">
        <x:v>2026-07-12</x:v>
      </x:c>
      <x:c r="AC97" s="115" t="str">
        <x:v>Scored and mapped</x:v>
      </x:c>
      <x:c r="AD97" s="115" t="str">
        <x:v>https://docs.aws.amazon.com/whitepapers/latest/aws-overview/amazon-web-services-cloud-platform.html</x:v>
      </x:c>
    </x:row>
    <x:row r="98">
      <x:c r="A98" s="115" t="str">
        <x:v>2. Foundation, Infrastructure &amp; Security</x:v>
      </x:c>
      <x:c r="B98" s="115" t="str">
        <x:v>05. Networking, Connectivity, DNS, Traffic &amp; Edge Delivery</x:v>
      </x:c>
      <x:c r="C98" s="115" t="str">
        <x:v>Traffic Management &amp; Content Delivery</x:v>
      </x:c>
      <x:c r="D98" s="115" t="str">
        <x:v>Ready &amp; Govern</x:v>
      </x:c>
      <x:c r="E98" s="115" t="str">
        <x:v>Security, Privacy &amp; Compliance
Cost &amp; FinOps
Operations &amp; Support
Reliability &amp; Resilience
Performance &amp; Scalability</x:v>
      </x:c>
      <x:c r="F98" s="115" t="str">
        <x:v>03 Network &amp; Connectivity</x:v>
      </x:c>
      <x:c r="G98" s="115" t="str">
        <x:v>Networking</x:v>
      </x:c>
      <x:c r="H98" s="115" t="str">
        <x:v>Load balancing</x:v>
      </x:c>
      <x:c r="I98" s="115" t="str">
        <x:v>Layer 4 load balancing</x:v>
      </x:c>
      <x:c r="J98" s="115" t="str">
        <x:v>Distribute TCP or UDP traffic across healthy backend services.</x:v>
      </x:c>
      <x:c r="K98" s="115" t="str">
        <x:v>Choose this capability when you need to distribute tcp or udp traffic across healthy backend services.</x:v>
      </x:c>
      <x:c r="L98" s="115" t="str">
        <x:v>Is routing regional or global, Layer 4 or Layer 7, and what latency, security and failover behaviour is required?</x:v>
      </x:c>
      <x:c r="M98" s="115" t="str">
        <x:v>Global performance and resilience versus design complexity and egress cost.</x:v>
      </x:c>
      <x:c r="N98" s="115" t="n">
        <x:v>4</x:v>
      </x:c>
      <x:c r="O98" s="115" t="str">
        <x:v>Easy</x:v>
      </x:c>
      <x:c r="P98" s="115" t="str">
        <x:v>1–3 days</x:v>
      </x:c>
      <x:c r="Q98" s="115" t="str">
        <x:v>Medium</x:v>
      </x:c>
      <x:c r="R98" s="115" t="str">
        <x:v>Network Load Balancer
Gateway Load Balancer</x:v>
      </x:c>
      <x:c r="S98" s="115" t="str">
        <x:v>Azure Load Balancer</x:v>
      </x:c>
      <x:c r="T98" s="115" t="str">
        <x:v>Cloud Load Balancing</x:v>
      </x:c>
      <x:c r="U98" s="115" t="n">
        <x:v>3.93</x:v>
      </x:c>
      <x:c r="V98" s="115" t="n">
        <x:v>4.04</x:v>
      </x:c>
      <x:c r="W98" s="115" t="n">
        <x:v>4.08</x:v>
      </x:c>
      <x:c r="X98" s="118" t="str">
        <x:v>Context-dependent tie</x:v>
      </x:c>
      <x:c r="Y98" s="115" t="str">
        <x:v>Scores are close: use ecosystem, data gravity, region, skills, commercials and proof-of-value results to decide.</x:v>
      </x:c>
      <x:c r="Z98" s="115" t="str">
        <x:v>Close</x:v>
      </x:c>
      <x:c r="AA98" s="115"/>
      <x:c r="AB98" s="115" t="str">
        <x:v>2026-07-12</x:v>
      </x:c>
      <x:c r="AC98" s="115" t="str">
        <x:v>Scored and mapped</x:v>
      </x:c>
      <x:c r="AD98" s="115" t="str">
        <x:v>https://docs.aws.amazon.com/whitepapers/latest/aws-overview/amazon-web-services-cloud-platform.html</x:v>
      </x:c>
    </x:row>
    <x:row r="99">
      <x:c r="A99" s="115" t="str">
        <x:v>2. Foundation, Infrastructure &amp; Security</x:v>
      </x:c>
      <x:c r="B99" s="115" t="str">
        <x:v>05. Networking, Connectivity, DNS, Traffic &amp; Edge Delivery</x:v>
      </x:c>
      <x:c r="C99" s="115" t="str">
        <x:v>Traffic Management &amp; Content Delivery</x:v>
      </x:c>
      <x:c r="D99" s="115" t="str">
        <x:v>Ready &amp; Govern</x:v>
      </x:c>
      <x:c r="E99" s="115" t="str">
        <x:v>Security, Privacy &amp; Compliance
Cost &amp; FinOps
Operations &amp; Support
Reliability &amp; Resilience
Performance &amp; Scalability</x:v>
      </x:c>
      <x:c r="F99" s="115" t="str">
        <x:v>03 Network &amp; Connectivity</x:v>
      </x:c>
      <x:c r="G99" s="115" t="str">
        <x:v>Networking</x:v>
      </x:c>
      <x:c r="H99" s="115" t="str">
        <x:v>Load balancing</x:v>
      </x:c>
      <x:c r="I99" s="115" t="str">
        <x:v>Layer 7 application load balancing</x:v>
      </x:c>
      <x:c r="J99" s="115" t="str">
        <x:v>Distribute HTTP and HTTPS traffic using host, path and application-aware routing.</x:v>
      </x:c>
      <x:c r="K99" s="115" t="str">
        <x:v>Choose this capability when you need to distribute http and https traffic using host, path and application-aware routing.</x:v>
      </x:c>
      <x:c r="L99" s="115" t="str">
        <x:v>Is routing regional or global, Layer 4 or Layer 7, and what latency, security and failover behaviour is required?</x:v>
      </x:c>
      <x:c r="M99" s="115" t="str">
        <x:v>Global performance and resilience versus design complexity and egress cost.</x:v>
      </x:c>
      <x:c r="N99" s="115" t="n">
        <x:v>4</x:v>
      </x:c>
      <x:c r="O99" s="115" t="str">
        <x:v>Easy</x:v>
      </x:c>
      <x:c r="P99" s="115" t="str">
        <x:v>1–3 days</x:v>
      </x:c>
      <x:c r="Q99" s="115" t="str">
        <x:v>Medium</x:v>
      </x:c>
      <x:c r="R99" s="115" t="str">
        <x:v>Application Load Balancer</x:v>
      </x:c>
      <x:c r="S99" s="115" t="str">
        <x:v>Azure Application Gateway</x:v>
      </x:c>
      <x:c r="T99" s="115" t="str">
        <x:v>Cloud Load Balancing</x:v>
      </x:c>
      <x:c r="U99" s="115" t="n">
        <x:v>4.09</x:v>
      </x:c>
      <x:c r="V99" s="115" t="n">
        <x:v>4.1</x:v>
      </x:c>
      <x:c r="W99" s="115" t="n">
        <x:v>4.14</x:v>
      </x:c>
      <x:c r="X99" s="118" t="str">
        <x:v>Context-dependent tie</x:v>
      </x:c>
      <x:c r="Y99" s="115" t="str">
        <x:v>Scores are close: use ecosystem, data gravity, region, skills, commercials and proof-of-value results to decide.</x:v>
      </x:c>
      <x:c r="Z99" s="115" t="str">
        <x:v>Exact</x:v>
      </x:c>
      <x:c r="AA99" s="115"/>
      <x:c r="AB99" s="115" t="str">
        <x:v>2026-07-12</x:v>
      </x:c>
      <x:c r="AC99" s="115" t="str">
        <x:v>Scored and mapped</x:v>
      </x:c>
      <x:c r="AD99" s="115" t="str">
        <x:v>https://docs.aws.amazon.com/whitepapers/latest/aws-overview/amazon-web-services-cloud-platform.html</x:v>
      </x:c>
    </x:row>
    <x:row r="100">
      <x:c r="A100" s="115" t="str">
        <x:v>2. Foundation, Infrastructure &amp; Security</x:v>
      </x:c>
      <x:c r="B100" s="115" t="str">
        <x:v>05. Networking, Connectivity, DNS, Traffic &amp; Edge Delivery</x:v>
      </x:c>
      <x:c r="C100" s="115" t="str">
        <x:v>Traffic Management &amp; Content Delivery</x:v>
      </x:c>
      <x:c r="D100" s="115" t="str">
        <x:v>Ready &amp; Govern</x:v>
      </x:c>
      <x:c r="E100" s="115" t="str">
        <x:v>Security, Privacy &amp; Compliance
Cost &amp; FinOps
Operations &amp; Support
Reliability &amp; Resilience
Performance &amp; Scalability</x:v>
      </x:c>
      <x:c r="F100" s="115" t="str">
        <x:v>03 Network &amp; Connectivity</x:v>
      </x:c>
      <x:c r="G100" s="115" t="str">
        <x:v>Networking</x:v>
      </x:c>
      <x:c r="H100" s="115" t="str">
        <x:v>Global traffic</x:v>
      </x:c>
      <x:c r="I100" s="115" t="str">
        <x:v>Global application acceleration</x:v>
      </x:c>
      <x:c r="J100" s="115" t="str">
        <x:v>Route users to healthy regional endpoints over the provider's global network.</x:v>
      </x:c>
      <x:c r="K100" s="115" t="str">
        <x:v>Choose this capability when you need to route users to healthy regional endpoints over the provider's global network.</x:v>
      </x:c>
      <x:c r="L100" s="115" t="str">
        <x:v>Is routing regional or global, Layer 4 or Layer 7, and what latency, security and failover behaviour is required?</x:v>
      </x:c>
      <x:c r="M100" s="115" t="str">
        <x:v>Global performance and resilience versus design complexity and egress cost.</x:v>
      </x:c>
      <x:c r="N100" s="115" t="n">
        <x:v>3</x:v>
      </x:c>
      <x:c r="O100" s="115" t="str">
        <x:v>Moderate</x:v>
      </x:c>
      <x:c r="P100" s="115" t="str">
        <x:v>1–3 weeks</x:v>
      </x:c>
      <x:c r="Q100" s="115" t="str">
        <x:v>Medium</x:v>
      </x:c>
      <x:c r="R100" s="115" t="str">
        <x:v>AWS Global Accelerator</x:v>
      </x:c>
      <x:c r="S100" s="115" t="str">
        <x:v>Azure Front Door</x:v>
      </x:c>
      <x:c r="T100" s="115" t="str">
        <x:v>Cloud Load Balancing
Premium Network Service Tier</x:v>
      </x:c>
      <x:c r="U100" s="115" t="n">
        <x:v>3.82</x:v>
      </x:c>
      <x:c r="V100" s="115" t="n">
        <x:v>3.84</x:v>
      </x:c>
      <x:c r="W100" s="115" t="n">
        <x:v>3.79</x:v>
      </x:c>
      <x:c r="X100" s="118" t="str">
        <x:v>Context-dependent tie</x:v>
      </x:c>
      <x:c r="Y100" s="115" t="str">
        <x:v>Scores are close: use ecosystem, data gravity, region, skills, commercials and proof-of-value results to decide.</x:v>
      </x:c>
      <x:c r="Z100" s="115" t="str">
        <x:v>Close</x:v>
      </x:c>
      <x:c r="AA100" s="115"/>
      <x:c r="AB100" s="115" t="str">
        <x:v>2026-07-12</x:v>
      </x:c>
      <x:c r="AC100" s="115" t="str">
        <x:v>Scored and mapped</x:v>
      </x:c>
      <x:c r="AD100" s="115" t="str">
        <x:v>https://docs.aws.amazon.com/whitepapers/latest/aws-overview/amazon-web-services-cloud-platform.html</x:v>
      </x:c>
    </x:row>
    <x:row r="101">
      <x:c r="A101" s="115" t="str">
        <x:v>2. Foundation, Infrastructure &amp; Security</x:v>
      </x:c>
      <x:c r="B101" s="115" t="str">
        <x:v>05. Networking, Connectivity, DNS, Traffic &amp; Edge Delivery</x:v>
      </x:c>
      <x:c r="C101" s="115" t="str">
        <x:v>DNS &amp; Naming</x:v>
      </x:c>
      <x:c r="D101" s="115" t="str">
        <x:v>Ready &amp; Govern</x:v>
      </x:c>
      <x:c r="E101" s="115" t="str">
        <x:v>Security, Privacy &amp; Compliance
Cost &amp; FinOps
Operations &amp; Support
Reliability &amp; Resilience
Performance &amp; Scalability</x:v>
      </x:c>
      <x:c r="F101" s="115" t="str">
        <x:v>03 Network &amp; Connectivity</x:v>
      </x:c>
      <x:c r="G101" s="115" t="str">
        <x:v>Networking</x:v>
      </x:c>
      <x:c r="H101" s="115" t="str">
        <x:v>DNS</x:v>
      </x:c>
      <x:c r="I101" s="115" t="str">
        <x:v>Managed DNS</x:v>
      </x:c>
      <x:c r="J101" s="115" t="str">
        <x:v>Host public and private DNS zones with resilient authoritative name resolution.</x:v>
      </x:c>
      <x:c r="K101" s="115" t="str">
        <x:v>Choose this capability when you need to host public and private dns zones with resilient authoritative name resolution.</x:v>
      </x:c>
      <x:c r="L101" s="115" t="str">
        <x:v>What business outcome, scale, control, integration and operating model justify choosing managed dns?</x:v>
      </x:c>
      <x:c r="M101" s="115" t="str">
        <x:v>Global performance and resilience versus design complexity and egress cost.</x:v>
      </x:c>
      <x:c r="N101" s="115" t="n">
        <x:v>5</x:v>
      </x:c>
      <x:c r="O101" s="115" t="str">
        <x:v>Very easy</x:v>
      </x:c>
      <x:c r="P101" s="115" t="str">
        <x:v>Hours</x:v>
      </x:c>
      <x:c r="Q101" s="115" t="str">
        <x:v>Medium</x:v>
      </x:c>
      <x:c r="R101" s="115" t="str">
        <x:v>Amazon Route 53</x:v>
      </x:c>
      <x:c r="S101" s="115" t="str">
        <x:v>Azure DNS
Azure Private DNS</x:v>
      </x:c>
      <x:c r="T101" s="115" t="str">
        <x:v>Cloud DNS</x:v>
      </x:c>
      <x:c r="U101" s="115" t="n">
        <x:v>4.31</x:v>
      </x:c>
      <x:c r="V101" s="115" t="n">
        <x:v>4.22</x:v>
      </x:c>
      <x:c r="W101" s="115" t="n">
        <x:v>4.28</x:v>
      </x:c>
      <x:c r="X101" s="118" t="str">
        <x:v>Context-dependent tie</x:v>
      </x:c>
      <x:c r="Y101" s="115" t="str">
        <x:v>Scores are close: use ecosystem, data gravity, region, skills, commercials and proof-of-value results to decide.</x:v>
      </x:c>
      <x:c r="Z101" s="115" t="str">
        <x:v>Exact</x:v>
      </x:c>
      <x:c r="AA101" s="115"/>
      <x:c r="AB101" s="115" t="str">
        <x:v>2026-07-12</x:v>
      </x:c>
      <x:c r="AC101" s="115" t="str">
        <x:v>Scored and mapped</x:v>
      </x:c>
      <x:c r="AD101" s="115" t="str">
        <x:v>https://docs.aws.amazon.com/whitepapers/latest/aws-overview/amazon-web-services-cloud-platform.html</x:v>
      </x:c>
    </x:row>
    <x:row r="102">
      <x:c r="A102" s="115" t="str">
        <x:v>2. Foundation, Infrastructure &amp; Security</x:v>
      </x:c>
      <x:c r="B102" s="115" t="str">
        <x:v>05. Networking, Connectivity, DNS, Traffic &amp; Edge Delivery</x:v>
      </x:c>
      <x:c r="C102" s="115" t="str">
        <x:v>DNS &amp; Naming</x:v>
      </x:c>
      <x:c r="D102" s="115" t="str">
        <x:v>Ready &amp; Govern</x:v>
      </x:c>
      <x:c r="E102" s="115" t="str">
        <x:v>Security, Privacy &amp; Compliance
Cost &amp; FinOps
Operations &amp; Support
Reliability &amp; Resilience
Performance &amp; Scalability</x:v>
      </x:c>
      <x:c r="F102" s="115" t="str">
        <x:v>03 Network &amp; Connectivity</x:v>
      </x:c>
      <x:c r="G102" s="115" t="str">
        <x:v>Networking</x:v>
      </x:c>
      <x:c r="H102" s="115" t="str">
        <x:v>Domains</x:v>
      </x:c>
      <x:c r="I102" s="115" t="str">
        <x:v>Domain registration</x:v>
      </x:c>
      <x:c r="J102" s="115" t="str">
        <x:v>Register and manage internet domain names.</x:v>
      </x:c>
      <x:c r="K102" s="115" t="str">
        <x:v>Choose this capability when you need to register and manage internet domain names.</x:v>
      </x:c>
      <x:c r="L102" s="115" t="str">
        <x:v>What business outcome, scale, control, integration and operating model justify choosing domain registration?</x:v>
      </x:c>
      <x:c r="M102" s="115" t="str">
        <x:v>Global performance and resilience versus design complexity and egress cost.</x:v>
      </x:c>
      <x:c r="N102" s="115" t="n">
        <x:v>4</x:v>
      </x:c>
      <x:c r="O102" s="115" t="str">
        <x:v>Easy</x:v>
      </x:c>
      <x:c r="P102" s="115" t="str">
        <x:v>1–3 days</x:v>
      </x:c>
      <x:c r="Q102" s="115" t="str">
        <x:v>Medium</x:v>
      </x:c>
      <x:c r="R102" s="115" t="str">
        <x:v>Amazon Route 53 Domains</x:v>
      </x:c>
      <x:c r="S102" s="115" t="str">
        <x:v>App Service Domains</x:v>
      </x:c>
      <x:c r="T102" s="115" t="str">
        <x:v>Cloud Domains</x:v>
      </x:c>
      <x:c r="U102" s="115" t="n">
        <x:v>4.07</x:v>
      </x:c>
      <x:c r="V102" s="115" t="n">
        <x:v>4.06</x:v>
      </x:c>
      <x:c r="W102" s="115" t="n">
        <x:v>4.05</x:v>
      </x:c>
      <x:c r="X102" s="118" t="str">
        <x:v>Context-dependent tie</x:v>
      </x:c>
      <x:c r="Y102" s="115" t="str">
        <x:v>Scores are close: use ecosystem, data gravity, region, skills, commercials and proof-of-value results to decide.</x:v>
      </x:c>
      <x:c r="Z102" s="115" t="str">
        <x:v>Close</x:v>
      </x:c>
      <x:c r="AA102" s="115"/>
      <x:c r="AB102" s="115" t="str">
        <x:v>2026-07-12</x:v>
      </x:c>
      <x:c r="AC102" s="115" t="str">
        <x:v>Scored and mapped</x:v>
      </x:c>
      <x:c r="AD102" s="115" t="str">
        <x:v>https://docs.aws.amazon.com/whitepapers/latest/aws-overview/amazon-web-services-cloud-platform.html</x:v>
      </x:c>
    </x:row>
    <x:row r="103">
      <x:c r="A103" s="115" t="str">
        <x:v>2. Foundation, Infrastructure &amp; Security</x:v>
      </x:c>
      <x:c r="B103" s="115" t="str">
        <x:v>05. Networking, Connectivity, DNS, Traffic &amp; Edge Delivery</x:v>
      </x:c>
      <x:c r="C103" s="115" t="str">
        <x:v>Traffic Management &amp; Content Delivery</x:v>
      </x:c>
      <x:c r="D103" s="115" t="str">
        <x:v>Ready &amp; Govern</x:v>
      </x:c>
      <x:c r="E103" s="115" t="str">
        <x:v>Security, Privacy &amp; Compliance
Cost &amp; FinOps
Operations &amp; Support
Reliability &amp; Resilience
Performance &amp; Scalability</x:v>
      </x:c>
      <x:c r="F103" s="115" t="str">
        <x:v>03 Network &amp; Connectivity</x:v>
      </x:c>
      <x:c r="G103" s="115" t="str">
        <x:v>Networking</x:v>
      </x:c>
      <x:c r="H103" s="115" t="str">
        <x:v>CDN</x:v>
      </x:c>
      <x:c r="I103" s="115" t="str">
        <x:v>Content delivery network</x:v>
      </x:c>
      <x:c r="J103" s="115" t="str">
        <x:v>Cache and deliver web content from globally distributed edge locations.</x:v>
      </x:c>
      <x:c r="K103" s="115" t="str">
        <x:v>Choose this capability when you need to cache and deliver web content from globally distributed edge locations.</x:v>
      </x:c>
      <x:c r="L103" s="115" t="str">
        <x:v>Is routing regional or global, Layer 4 or Layer 7, and what latency, security and failover behaviour is required?</x:v>
      </x:c>
      <x:c r="M103" s="115" t="str">
        <x:v>Global performance and resilience versus design complexity and egress cost.</x:v>
      </x:c>
      <x:c r="N103" s="115" t="n">
        <x:v>3</x:v>
      </x:c>
      <x:c r="O103" s="115" t="str">
        <x:v>Moderate</x:v>
      </x:c>
      <x:c r="P103" s="115" t="str">
        <x:v>1–3 weeks</x:v>
      </x:c>
      <x:c r="Q103" s="115" t="str">
        <x:v>Medium</x:v>
      </x:c>
      <x:c r="R103" s="115" t="str">
        <x:v>Amazon CloudFront</x:v>
      </x:c>
      <x:c r="S103" s="115" t="str">
        <x:v>Azure Front Door
Azure CDN</x:v>
      </x:c>
      <x:c r="T103" s="115" t="str">
        <x:v>Cloud CDN</x:v>
      </x:c>
      <x:c r="U103" s="115" t="n">
        <x:v>3.87</x:v>
      </x:c>
      <x:c r="V103" s="115" t="n">
        <x:v>3.75</x:v>
      </x:c>
      <x:c r="W103" s="115" t="n">
        <x:v>3.91</x:v>
      </x:c>
      <x:c r="X103" s="118" t="str">
        <x:v>Context-dependent tie</x:v>
      </x:c>
      <x:c r="Y103" s="115" t="str">
        <x:v>Scores are close: use ecosystem, data gravity, region, skills, commercials and proof-of-value results to decide.</x:v>
      </x:c>
      <x:c r="Z103" s="115" t="str">
        <x:v>Close</x:v>
      </x:c>
      <x:c r="AA103" s="115"/>
      <x:c r="AB103" s="115" t="str">
        <x:v>2026-07-12</x:v>
      </x:c>
      <x:c r="AC103" s="115" t="str">
        <x:v>Scored and mapped</x:v>
      </x:c>
      <x:c r="AD103" s="115" t="str">
        <x:v>https://docs.aws.amazon.com/whitepapers/latest/aws-overview/amazon-web-services-cloud-platform.html</x:v>
      </x:c>
    </x:row>
    <x:row r="104">
      <x:c r="A104" s="115" t="str">
        <x:v>2. Foundation, Infrastructure &amp; Security</x:v>
      </x:c>
      <x:c r="B104" s="115" t="str">
        <x:v>05. Networking, Connectivity, DNS, Traffic &amp; Edge Delivery</x:v>
      </x:c>
      <x:c r="C104" s="115" t="str">
        <x:v>Traffic Management &amp; Content Delivery</x:v>
      </x:c>
      <x:c r="D104" s="115" t="str">
        <x:v>Ready &amp; Govern</x:v>
      </x:c>
      <x:c r="E104" s="115" t="str">
        <x:v>Security, Privacy &amp; Compliance
Cost &amp; FinOps
Operations &amp; Support
Reliability &amp; Resilience
Performance &amp; Scalability</x:v>
      </x:c>
      <x:c r="F104" s="115" t="str">
        <x:v>03 Network &amp; Connectivity</x:v>
      </x:c>
      <x:c r="G104" s="115" t="str">
        <x:v>Networking</x:v>
      </x:c>
      <x:c r="H104" s="115" t="str">
        <x:v>Media CDN</x:v>
      </x:c>
      <x:c r="I104" s="115" t="str">
        <x:v>High-capacity media CDN</x:v>
      </x:c>
      <x:c r="J104" s="115" t="str">
        <x:v>Deliver large-scale streaming media and video using edge caching.</x:v>
      </x:c>
      <x:c r="K104" s="115" t="str">
        <x:v>Choose this capability when you need to deliver large-scale streaming media and video using edge caching.</x:v>
      </x:c>
      <x:c r="L104" s="115" t="str">
        <x:v>Is routing regional or global, Layer 4 or Layer 7, and what latency, security and failover behaviour is required?</x:v>
      </x:c>
      <x:c r="M104" s="115" t="str">
        <x:v>Global performance and resilience versus design complexity and egress cost.</x:v>
      </x:c>
      <x:c r="N104" s="115" t="n">
        <x:v>3</x:v>
      </x:c>
      <x:c r="O104" s="115" t="str">
        <x:v>Moderate</x:v>
      </x:c>
      <x:c r="P104" s="115" t="str">
        <x:v>1–3 weeks</x:v>
      </x:c>
      <x:c r="Q104" s="115" t="str">
        <x:v>Medium</x:v>
      </x:c>
      <x:c r="R104" s="115" t="str">
        <x:v>Amazon CloudFront</x:v>
      </x:c>
      <x:c r="S104" s="115" t="str">
        <x:v>Azure Front Door
Azure CDN</x:v>
      </x:c>
      <x:c r="T104" s="115" t="str">
        <x:v>Media CDN</x:v>
      </x:c>
      <x:c r="U104" s="115" t="n">
        <x:v>3.77</x:v>
      </x:c>
      <x:c r="V104" s="115" t="n">
        <x:v>3.56</x:v>
      </x:c>
      <x:c r="W104" s="115" t="n">
        <x:v>3.69</x:v>
      </x:c>
      <x:c r="X104" s="118" t="str">
        <x:v>Context-dependent tie</x:v>
      </x:c>
      <x:c r="Y104" s="115" t="str">
        <x:v>Scores are close: use ecosystem, data gravity, region, skills, commercials and proof-of-value results to decide.</x:v>
      </x:c>
      <x:c r="Z104" s="115" t="str">
        <x:v>Partial</x:v>
      </x:c>
      <x:c r="AA104" s="115"/>
      <x:c r="AB104" s="115" t="str">
        <x:v>2026-07-12</x:v>
      </x:c>
      <x:c r="AC104" s="115" t="str">
        <x:v>Scored and mapped</x:v>
      </x:c>
      <x:c r="AD104" s="115" t="str">
        <x:v>https://docs.aws.amazon.com/whitepapers/latest/aws-overview/amazon-web-services-cloud-platform.html</x:v>
      </x:c>
    </x:row>
    <x:row r="105">
      <x:c r="A105" s="115" t="str">
        <x:v>2. Foundation, Infrastructure &amp; Security</x:v>
      </x:c>
      <x:c r="B105" s="115" t="str">
        <x:v>05. Networking, Connectivity, DNS, Traffic &amp; Edge Delivery</x:v>
      </x:c>
      <x:c r="C105" s="115" t="str">
        <x:v>Virtual Networks &amp; Segmentation</x:v>
      </x:c>
      <x:c r="D105" s="115" t="str">
        <x:v>Ready &amp; Govern</x:v>
      </x:c>
      <x:c r="E105" s="115" t="str">
        <x:v>Security, Privacy &amp; Compliance
Cost &amp; FinOps
Operations &amp; Support
Reliability &amp; Resilience
Performance &amp; Scalability</x:v>
      </x:c>
      <x:c r="F105" s="115" t="str">
        <x:v>03 Network &amp; Connectivity</x:v>
      </x:c>
      <x:c r="G105" s="115" t="str">
        <x:v>Networking</x:v>
      </x:c>
      <x:c r="H105" s="115" t="str">
        <x:v>NAT</x:v>
      </x:c>
      <x:c r="I105" s="115" t="str">
        <x:v>Managed network address translation</x:v>
      </x:c>
      <x:c r="J105" s="115" t="str">
        <x:v>Provide controlled outbound internet access for private workloads.</x:v>
      </x:c>
      <x:c r="K105" s="115" t="str">
        <x:v>Choose this capability when you need to provide controlled outbound internet access for private workloads.</x:v>
      </x:c>
      <x:c r="L105" s="115" t="str">
        <x:v>What business outcome, scale, control, integration and operating model justify choosing managed network address translation?</x:v>
      </x:c>
      <x:c r="M105" s="115" t="str">
        <x:v>Global performance and resilience versus design complexity and egress cost.</x:v>
      </x:c>
      <x:c r="N105" s="115" t="n">
        <x:v>3</x:v>
      </x:c>
      <x:c r="O105" s="115" t="str">
        <x:v>Moderate</x:v>
      </x:c>
      <x:c r="P105" s="115" t="str">
        <x:v>1–3 weeks</x:v>
      </x:c>
      <x:c r="Q105" s="115" t="str">
        <x:v>Medium</x:v>
      </x:c>
      <x:c r="R105" s="115" t="str">
        <x:v>NAT Gateway</x:v>
      </x:c>
      <x:c r="S105" s="115" t="str">
        <x:v>Azure NAT Gateway</x:v>
      </x:c>
      <x:c r="T105" s="115" t="str">
        <x:v>Cloud NAT</x:v>
      </x:c>
      <x:c r="U105" s="115" t="n">
        <x:v>3.94</x:v>
      </x:c>
      <x:c r="V105" s="115" t="n">
        <x:v>3.9</x:v>
      </x:c>
      <x:c r="W105" s="115" t="n">
        <x:v>3.91</x:v>
      </x:c>
      <x:c r="X105" s="118" t="str">
        <x:v>Context-dependent tie</x:v>
      </x:c>
      <x:c r="Y105" s="115" t="str">
        <x:v>Scores are close: use ecosystem, data gravity, region, skills, commercials and proof-of-value results to decide.</x:v>
      </x:c>
      <x:c r="Z105" s="115" t="str">
        <x:v>Exact</x:v>
      </x:c>
      <x:c r="AA105" s="115"/>
      <x:c r="AB105" s="115" t="str">
        <x:v>2026-07-12</x:v>
      </x:c>
      <x:c r="AC105" s="115" t="str">
        <x:v>Scored and mapped</x:v>
      </x:c>
      <x:c r="AD105" s="115" t="str">
        <x:v>https://docs.aws.amazon.com/whitepapers/latest/aws-overview/amazon-web-services-cloud-platform.html</x:v>
      </x:c>
    </x:row>
    <x:row r="106">
      <x:c r="A106" s="115" t="str">
        <x:v>2. Foundation, Infrastructure &amp; Security</x:v>
      </x:c>
      <x:c r="B106" s="115" t="str">
        <x:v>05. Networking, Connectivity, DNS, Traffic &amp; Edge Delivery</x:v>
      </x:c>
      <x:c r="C106" s="115" t="str">
        <x:v>Hybrid &amp; Private Connectivity</x:v>
      </x:c>
      <x:c r="D106" s="115" t="str">
        <x:v>Ready &amp; Govern</x:v>
      </x:c>
      <x:c r="E106" s="115" t="str">
        <x:v>Security, Privacy &amp; Compliance
Cost &amp; FinOps
Operations &amp; Support
Reliability &amp; Resilience
Performance &amp; Scalability</x:v>
      </x:c>
      <x:c r="F106" s="115" t="str">
        <x:v>03 Network &amp; Connectivity</x:v>
      </x:c>
      <x:c r="G106" s="115" t="str">
        <x:v>Networking</x:v>
      </x:c>
      <x:c r="H106" s="115" t="str">
        <x:v>Hybrid connectivity</x:v>
      </x:c>
      <x:c r="I106" s="115" t="str">
        <x:v>Site-to-site VPN</x:v>
      </x:c>
      <x:c r="J106" s="115" t="str">
        <x:v>Connect on-premises networks to cloud virtual networks through encrypted tunnels.</x:v>
      </x:c>
      <x:c r="K106" s="115" t="str">
        <x:v>Choose this capability when you need to connect on-premises networks to cloud virtual networks through encrypted tunnels.</x:v>
      </x:c>
      <x:c r="L106" s="115" t="str">
        <x:v>What bandwidth, latency, encryption, routing and resilience are required between environments?</x:v>
      </x:c>
      <x:c r="M106" s="115" t="str">
        <x:v>Global performance and resilience versus design complexity and egress cost.</x:v>
      </x:c>
      <x:c r="N106" s="115" t="n">
        <x:v>3</x:v>
      </x:c>
      <x:c r="O106" s="115" t="str">
        <x:v>Moderate</x:v>
      </x:c>
      <x:c r="P106" s="115" t="str">
        <x:v>1–3 weeks</x:v>
      </x:c>
      <x:c r="Q106" s="115" t="str">
        <x:v>Medium</x:v>
      </x:c>
      <x:c r="R106" s="115" t="str">
        <x:v>AWS Site-to-Site VPN</x:v>
      </x:c>
      <x:c r="S106" s="115" t="str">
        <x:v>Azure VPN Gateway</x:v>
      </x:c>
      <x:c r="T106" s="115" t="str">
        <x:v>Cloud VPN</x:v>
      </x:c>
      <x:c r="U106" s="115" t="n">
        <x:v>3.88</x:v>
      </x:c>
      <x:c r="V106" s="115" t="n">
        <x:v>4.18</x:v>
      </x:c>
      <x:c r="W106" s="115" t="n">
        <x:v>3.85</x:v>
      </x:c>
      <x:c r="X106" s="118" t="str">
        <x:v>Azure</x:v>
      </x:c>
      <x:c r="Y106" s="115" t="str">
        <x:v>Start with Azure when Microsoft identity, security, data, productivity or hybrid integration reduces delivery effort.</x:v>
      </x:c>
      <x:c r="Z106" s="115" t="str">
        <x:v>Exact</x:v>
      </x:c>
      <x:c r="AA106" s="115"/>
      <x:c r="AB106" s="115" t="str">
        <x:v>2026-07-12</x:v>
      </x:c>
      <x:c r="AC106" s="115" t="str">
        <x:v>Scored and mapped</x:v>
      </x:c>
      <x:c r="AD106" s="115" t="str">
        <x:v>https://docs.aws.amazon.com/whitepapers/latest/aws-overview/amazon-web-services-cloud-platform.html</x:v>
      </x:c>
    </x:row>
    <x:row r="107">
      <x:c r="A107" s="115" t="str">
        <x:v>2. Foundation, Infrastructure &amp; Security</x:v>
      </x:c>
      <x:c r="B107" s="115" t="str">
        <x:v>05. Networking, Connectivity, DNS, Traffic &amp; Edge Delivery</x:v>
      </x:c>
      <x:c r="C107" s="115" t="str">
        <x:v>Hybrid &amp; Private Connectivity</x:v>
      </x:c>
      <x:c r="D107" s="115" t="str">
        <x:v>Ready &amp; Govern</x:v>
      </x:c>
      <x:c r="E107" s="115" t="str">
        <x:v>Security, Privacy &amp; Compliance
Cost &amp; FinOps
Operations &amp; Support
Reliability &amp; Resilience
Performance &amp; Scalability</x:v>
      </x:c>
      <x:c r="F107" s="115" t="str">
        <x:v>03 Network &amp; Connectivity</x:v>
      </x:c>
      <x:c r="G107" s="115" t="str">
        <x:v>Networking</x:v>
      </x:c>
      <x:c r="H107" s="115" t="str">
        <x:v>Hybrid connectivity</x:v>
      </x:c>
      <x:c r="I107" s="115" t="str">
        <x:v>Dedicated private connectivity</x:v>
      </x:c>
      <x:c r="J107" s="115" t="str">
        <x:v>Connect data centres to cloud through dedicated private circuits.</x:v>
      </x:c>
      <x:c r="K107" s="115" t="str">
        <x:v>Choose this capability when you need to connect data centres to cloud through dedicated private circuits.</x:v>
      </x:c>
      <x:c r="L107" s="115" t="str">
        <x:v>What bandwidth, latency, encryption, routing and resilience are required between environments?</x:v>
      </x:c>
      <x:c r="M107" s="115" t="str">
        <x:v>Global performance and resilience versus design complexity and egress cost.</x:v>
      </x:c>
      <x:c r="N107" s="115" t="n">
        <x:v>3</x:v>
      </x:c>
      <x:c r="O107" s="115" t="str">
        <x:v>Moderate</x:v>
      </x:c>
      <x:c r="P107" s="115" t="str">
        <x:v>1–3 weeks</x:v>
      </x:c>
      <x:c r="Q107" s="115" t="str">
        <x:v>Medium</x:v>
      </x:c>
      <x:c r="R107" s="115" t="str">
        <x:v>AWS Direct Connect</x:v>
      </x:c>
      <x:c r="S107" s="115" t="str">
        <x:v>Azure ExpressRoute</x:v>
      </x:c>
      <x:c r="T107" s="115" t="str">
        <x:v>Cloud Interconnect</x:v>
      </x:c>
      <x:c r="U107" s="115" t="n">
        <x:v>3.88</x:v>
      </x:c>
      <x:c r="V107" s="115" t="n">
        <x:v>4.18</x:v>
      </x:c>
      <x:c r="W107" s="115" t="n">
        <x:v>3.85</x:v>
      </x:c>
      <x:c r="X107" s="118" t="str">
        <x:v>Azure</x:v>
      </x:c>
      <x:c r="Y107" s="115" t="str">
        <x:v>Start with Azure when Microsoft identity, security, data, productivity or hybrid integration reduces delivery effort.</x:v>
      </x:c>
      <x:c r="Z107" s="115" t="str">
        <x:v>Exact</x:v>
      </x:c>
      <x:c r="AA107" s="115"/>
      <x:c r="AB107" s="115" t="str">
        <x:v>2026-07-12</x:v>
      </x:c>
      <x:c r="AC107" s="115" t="str">
        <x:v>Scored and mapped</x:v>
      </x:c>
      <x:c r="AD107" s="115" t="str">
        <x:v>https://docs.aws.amazon.com/whitepapers/latest/aws-overview/amazon-web-services-cloud-platform.html</x:v>
      </x:c>
    </x:row>
    <x:row r="108">
      <x:c r="A108" s="115" t="str">
        <x:v>2. Foundation, Infrastructure &amp; Security</x:v>
      </x:c>
      <x:c r="B108" s="115" t="str">
        <x:v>05. Networking, Connectivity, DNS, Traffic &amp; Edge Delivery</x:v>
      </x:c>
      <x:c r="C108" s="115" t="str">
        <x:v>Hybrid &amp; Private Connectivity</x:v>
      </x:c>
      <x:c r="D108" s="115" t="str">
        <x:v>Ready &amp; Govern</x:v>
      </x:c>
      <x:c r="E108" s="115" t="str">
        <x:v>Security, Privacy &amp; Compliance
Cost &amp; FinOps
Operations &amp; Support
Reliability &amp; Resilience
Performance &amp; Scalability</x:v>
      </x:c>
      <x:c r="F108" s="115" t="str">
        <x:v>03 Network &amp; Connectivity</x:v>
      </x:c>
      <x:c r="G108" s="115" t="str">
        <x:v>Networking</x:v>
      </x:c>
      <x:c r="H108" s="115" t="str">
        <x:v>Transit networking</x:v>
      </x:c>
      <x:c r="I108" s="115" t="str">
        <x:v>Cloud network transit hub</x:v>
      </x:c>
      <x:c r="J108" s="115" t="str">
        <x:v>Connect many virtual networks, branches and hybrid links through a central hub.</x:v>
      </x:c>
      <x:c r="K108" s="115" t="str">
        <x:v>Choose this capability when you need to connect many virtual networks, branches and hybrid links through a central hub.</x:v>
      </x:c>
      <x:c r="L108" s="115" t="str">
        <x:v>What bandwidth, latency, encryption, routing and resilience are required between environments?</x:v>
      </x:c>
      <x:c r="M108" s="115" t="str">
        <x:v>Global performance and resilience versus design complexity and egress cost.</x:v>
      </x:c>
      <x:c r="N108" s="115" t="n">
        <x:v>3</x:v>
      </x:c>
      <x:c r="O108" s="115" t="str">
        <x:v>Moderate</x:v>
      </x:c>
      <x:c r="P108" s="115" t="str">
        <x:v>1–3 weeks</x:v>
      </x:c>
      <x:c r="Q108" s="115" t="str">
        <x:v>Medium</x:v>
      </x:c>
      <x:c r="R108" s="115" t="str">
        <x:v>AWS Transit Gateway
AWS Cloud WAN</x:v>
      </x:c>
      <x:c r="S108" s="115" t="str">
        <x:v>Azure Virtual WAN</x:v>
      </x:c>
      <x:c r="T108" s="115" t="str">
        <x:v>Network Connectivity Center</x:v>
      </x:c>
      <x:c r="U108" s="115" t="n">
        <x:v>3.75</x:v>
      </x:c>
      <x:c r="V108" s="115" t="n">
        <x:v>4.12</x:v>
      </x:c>
      <x:c r="W108" s="115" t="n">
        <x:v>3.82</x:v>
      </x:c>
      <x:c r="X108" s="118" t="str">
        <x:v>Azure</x:v>
      </x:c>
      <x:c r="Y108" s="115" t="str">
        <x:v>Start with Azure when Microsoft identity, security, data, productivity or hybrid integration reduces delivery effort.</x:v>
      </x:c>
      <x:c r="Z108" s="115" t="str">
        <x:v>Close</x:v>
      </x:c>
      <x:c r="AA108" s="115"/>
      <x:c r="AB108" s="115" t="str">
        <x:v>2026-07-12</x:v>
      </x:c>
      <x:c r="AC108" s="115" t="str">
        <x:v>Scored and mapped</x:v>
      </x:c>
      <x:c r="AD108" s="115" t="str">
        <x:v>https://docs.aws.amazon.com/whitepapers/latest/aws-overview/amazon-web-services-cloud-platform.html</x:v>
      </x:c>
    </x:row>
    <x:row r="109">
      <x:c r="A109" s="115" t="str">
        <x:v>2. Foundation, Infrastructure &amp; Security</x:v>
      </x:c>
      <x:c r="B109" s="115" t="str">
        <x:v>05. Networking, Connectivity, DNS, Traffic &amp; Edge Delivery</x:v>
      </x:c>
      <x:c r="C109" s="115" t="str">
        <x:v>Service Networking &amp; Private Access</x:v>
      </x:c>
      <x:c r="D109" s="115" t="str">
        <x:v>Ready &amp; Govern</x:v>
      </x:c>
      <x:c r="E109" s="115" t="str">
        <x:v>Security, Privacy &amp; Compliance
Cost &amp; FinOps
Operations &amp; Support
Reliability &amp; Resilience
Performance &amp; Scalability</x:v>
      </x:c>
      <x:c r="F109" s="115" t="str">
        <x:v>03 Network &amp; Connectivity</x:v>
      </x:c>
      <x:c r="G109" s="115" t="str">
        <x:v>Networking</x:v>
      </x:c>
      <x:c r="H109" s="115" t="str">
        <x:v>Private services</x:v>
      </x:c>
      <x:c r="I109" s="115" t="str">
        <x:v>Private service endpoint</x:v>
      </x:c>
      <x:c r="J109" s="115" t="str">
        <x:v>Access managed services privately without traversing the public internet.</x:v>
      </x:c>
      <x:c r="K109" s="115" t="str">
        <x:v>Choose this capability when you need to access managed services privately without traversing the public internet.</x:v>
      </x:c>
      <x:c r="L109" s="115" t="str">
        <x:v>What business outcome, scale, control, integration and operating model justify choosing private service endpoint?</x:v>
      </x:c>
      <x:c r="M109" s="115" t="str">
        <x:v>Global performance and resilience versus design complexity and egress cost.</x:v>
      </x:c>
      <x:c r="N109" s="115" t="n">
        <x:v>3</x:v>
      </x:c>
      <x:c r="O109" s="115" t="str">
        <x:v>Moderate</x:v>
      </x:c>
      <x:c r="P109" s="115" t="str">
        <x:v>1–3 weeks</x:v>
      </x:c>
      <x:c r="Q109" s="115" t="str">
        <x:v>Medium</x:v>
      </x:c>
      <x:c r="R109" s="115" t="str">
        <x:v>AWS PrivateLink
VPC endpoints</x:v>
      </x:c>
      <x:c r="S109" s="115" t="str">
        <x:v>Azure Private Link
Private Endpoints</x:v>
      </x:c>
      <x:c r="T109" s="115" t="str">
        <x:v>Private Service Connect</x:v>
      </x:c>
      <x:c r="U109" s="115" t="n">
        <x:v>3.82</x:v>
      </x:c>
      <x:c r="V109" s="115" t="n">
        <x:v>3.8</x:v>
      </x:c>
      <x:c r="W109" s="115" t="n">
        <x:v>3.91</x:v>
      </x:c>
      <x:c r="X109" s="118" t="str">
        <x:v>Context-dependent tie</x:v>
      </x:c>
      <x:c r="Y109" s="115" t="str">
        <x:v>Scores are close: use ecosystem, data gravity, region, skills, commercials and proof-of-value results to decide.</x:v>
      </x:c>
      <x:c r="Z109" s="115" t="str">
        <x:v>Exact</x:v>
      </x:c>
      <x:c r="AA109" s="115"/>
      <x:c r="AB109" s="115" t="str">
        <x:v>2026-07-12</x:v>
      </x:c>
      <x:c r="AC109" s="115" t="str">
        <x:v>Scored and mapped</x:v>
      </x:c>
      <x:c r="AD109" s="115" t="str">
        <x:v>https://docs.aws.amazon.com/whitepapers/latest/aws-overview/amazon-web-services-cloud-platform.html</x:v>
      </x:c>
    </x:row>
    <x:row r="110">
      <x:c r="A110" s="115" t="str">
        <x:v>2. Foundation, Infrastructure &amp; Security</x:v>
      </x:c>
      <x:c r="B110" s="115" t="str">
        <x:v>05. Networking, Connectivity, DNS, Traffic &amp; Edge Delivery</x:v>
      </x:c>
      <x:c r="C110" s="115" t="str">
        <x:v>Service Networking &amp; Private Access</x:v>
      </x:c>
      <x:c r="D110" s="115" t="str">
        <x:v>Ready &amp; Govern</x:v>
      </x:c>
      <x:c r="E110" s="115" t="str">
        <x:v>Security, Privacy &amp; Compliance
Cost &amp; FinOps
Operations &amp; Support
Reliability &amp; Resilience
Performance &amp; Scalability</x:v>
      </x:c>
      <x:c r="F110" s="115" t="str">
        <x:v>03 Network &amp; Connectivity</x:v>
      </x:c>
      <x:c r="G110" s="115" t="str">
        <x:v>Networking</x:v>
      </x:c>
      <x:c r="H110" s="115" t="str">
        <x:v>Service networking</x:v>
      </x:c>
      <x:c r="I110" s="115" t="str">
        <x:v>Service mesh</x:v>
      </x:c>
      <x:c r="J110" s="115" t="str">
        <x:v>Manage service-to-service traffic, identity, observability and policy for microservices.</x:v>
      </x:c>
      <x:c r="K110" s="115" t="str">
        <x:v>Choose this capability when you need to manage service-to-service traffic, identity, observability and policy for microservices.</x:v>
      </x:c>
      <x:c r="L110" s="115" t="str">
        <x:v>What business outcome, scale, control, integration and operating model justify choosing service mesh?</x:v>
      </x:c>
      <x:c r="M110" s="115" t="str">
        <x:v>Global performance and resilience versus design complexity and egress cost.</x:v>
      </x:c>
      <x:c r="N110" s="115" t="n">
        <x:v>3</x:v>
      </x:c>
      <x:c r="O110" s="115" t="str">
        <x:v>Moderate</x:v>
      </x:c>
      <x:c r="P110" s="115" t="str">
        <x:v>1–3 weeks</x:v>
      </x:c>
      <x:c r="Q110" s="115" t="str">
        <x:v>Medium</x:v>
      </x:c>
      <x:c r="R110" s="115" t="str">
        <x:v>AWS App Mesh
Amazon VPC Lattice</x:v>
      </x:c>
      <x:c r="S110" s="115" t="str">
        <x:v>Azure Service Mesh / Istio add-on for AKS</x:v>
      </x:c>
      <x:c r="T110" s="115" t="str">
        <x:v>Cloud Service Mesh</x:v>
      </x:c>
      <x:c r="U110" s="115" t="n">
        <x:v>3.77</x:v>
      </x:c>
      <x:c r="V110" s="115" t="n">
        <x:v>3.75</x:v>
      </x:c>
      <x:c r="W110" s="115" t="n">
        <x:v>3.84</x:v>
      </x:c>
      <x:c r="X110" s="118" t="str">
        <x:v>Context-dependent tie</x:v>
      </x:c>
      <x:c r="Y110" s="115" t="str">
        <x:v>Scores are close: use ecosystem, data gravity, region, skills, commercials and proof-of-value results to decide.</x:v>
      </x:c>
      <x:c r="Z110" s="115" t="str">
        <x:v>Close</x:v>
      </x:c>
      <x:c r="AA110" s="115"/>
      <x:c r="AB110" s="115" t="str">
        <x:v>2026-07-12</x:v>
      </x:c>
      <x:c r="AC110" s="115" t="str">
        <x:v>Scored and mapped</x:v>
      </x:c>
      <x:c r="AD110" s="115" t="str">
        <x:v>https://docs.aws.amazon.com/whitepapers/latest/aws-overview/amazon-web-services-cloud-platform.html</x:v>
      </x:c>
    </x:row>
    <x:row r="111">
      <x:c r="A111" s="115" t="str">
        <x:v>2. Foundation, Infrastructure &amp; Security</x:v>
      </x:c>
      <x:c r="B111" s="115" t="str">
        <x:v>05. Networking, Connectivity, DNS, Traffic &amp; Edge Delivery</x:v>
      </x:c>
      <x:c r="C111" s="115" t="str">
        <x:v>Service Networking &amp; Private Access</x:v>
      </x:c>
      <x:c r="D111" s="115" t="str">
        <x:v>Ready &amp; Govern</x:v>
      </x:c>
      <x:c r="E111" s="115" t="str">
        <x:v>Security, Privacy &amp; Compliance
Cost &amp; FinOps
Operations &amp; Support
Reliability &amp; Resilience
Performance &amp; Scalability</x:v>
      </x:c>
      <x:c r="F111" s="115" t="str">
        <x:v>03 Network &amp; Connectivity</x:v>
      </x:c>
      <x:c r="G111" s="115" t="str">
        <x:v>Networking</x:v>
      </x:c>
      <x:c r="H111" s="115" t="str">
        <x:v>Service discovery</x:v>
      </x:c>
      <x:c r="I111" s="115" t="str">
        <x:v>Service discovery</x:v>
      </x:c>
      <x:c r="J111" s="115" t="str">
        <x:v>Register and discover services by logical name and health.</x:v>
      </x:c>
      <x:c r="K111" s="115" t="str">
        <x:v>Choose this capability when you need to register and discover services by logical name and health.</x:v>
      </x:c>
      <x:c r="L111" s="115" t="str">
        <x:v>What business outcome, scale, control, integration and operating model justify choosing service discovery?</x:v>
      </x:c>
      <x:c r="M111" s="115" t="str">
        <x:v>Global performance and resilience versus design complexity and egress cost.</x:v>
      </x:c>
      <x:c r="N111" s="115" t="n">
        <x:v>3</x:v>
      </x:c>
      <x:c r="O111" s="115" t="str">
        <x:v>Moderate</x:v>
      </x:c>
      <x:c r="P111" s="115" t="str">
        <x:v>1–3 weeks</x:v>
      </x:c>
      <x:c r="Q111" s="115" t="str">
        <x:v>Medium</x:v>
      </x:c>
      <x:c r="R111" s="115" t="str">
        <x:v>AWS Cloud Map</x:v>
      </x:c>
      <x:c r="S111" s="115" t="str">
        <x:v>Azure Private DNS
Azure Service Fabric naming</x:v>
      </x:c>
      <x:c r="T111" s="115" t="str">
        <x:v>Service Directory</x:v>
      </x:c>
      <x:c r="U111" s="115" t="n">
        <x:v>3.87</x:v>
      </x:c>
      <x:c r="V111" s="115" t="n">
        <x:v>3.75</x:v>
      </x:c>
      <x:c r="W111" s="115" t="n">
        <x:v>3.84</x:v>
      </x:c>
      <x:c r="X111" s="118" t="str">
        <x:v>Context-dependent tie</x:v>
      </x:c>
      <x:c r="Y111" s="115" t="str">
        <x:v>Scores are close: use ecosystem, data gravity, region, skills, commercials and proof-of-value results to decide.</x:v>
      </x:c>
      <x:c r="Z111" s="115" t="str">
        <x:v>Close</x:v>
      </x:c>
      <x:c r="AA111" s="115"/>
      <x:c r="AB111" s="115" t="str">
        <x:v>2026-07-12</x:v>
      </x:c>
      <x:c r="AC111" s="115" t="str">
        <x:v>Scored and mapped</x:v>
      </x:c>
      <x:c r="AD111" s="115" t="str">
        <x:v>https://docs.aws.amazon.com/whitepapers/latest/aws-overview/amazon-web-services-cloud-platform.html</x:v>
      </x:c>
    </x:row>
    <x:row r="112">
      <x:c r="A112" s="115" t="str">
        <x:v>2. Foundation, Infrastructure &amp; Security</x:v>
      </x:c>
      <x:c r="B112" s="115" t="str">
        <x:v>05. Networking, Connectivity, DNS, Traffic &amp; Edge Delivery</x:v>
      </x:c>
      <x:c r="C112" s="115" t="str">
        <x:v>Service Networking &amp; Private Access</x:v>
      </x:c>
      <x:c r="D112" s="115" t="str">
        <x:v>Ready &amp; Govern</x:v>
      </x:c>
      <x:c r="E112" s="115" t="str">
        <x:v>Security, Privacy &amp; Compliance
Cost &amp; FinOps
Operations &amp; Support
Reliability &amp; Resilience
Performance &amp; Scalability</x:v>
      </x:c>
      <x:c r="F112" s="115" t="str">
        <x:v>03 Network &amp; Connectivity</x:v>
      </x:c>
      <x:c r="G112" s="115" t="str">
        <x:v>Networking</x:v>
      </x:c>
      <x:c r="H112" s="115" t="str">
        <x:v>API networking</x:v>
      </x:c>
      <x:c r="I112" s="115" t="str">
        <x:v>API gateway</x:v>
      </x:c>
      <x:c r="J112" s="115" t="str">
        <x:v>Publish, secure, throttle, transform and monitor APIs.</x:v>
      </x:c>
      <x:c r="K112" s="115" t="str">
        <x:v>Choose this capability when you need to publish, secure, throttle, transform and monitor apis.</x:v>
      </x:c>
      <x:c r="L112" s="115" t="str">
        <x:v>What business outcome, scale, control, integration and operating model justify choosing api gateway?</x:v>
      </x:c>
      <x:c r="M112" s="115" t="str">
        <x:v>Global performance and resilience versus design complexity and egress cost.</x:v>
      </x:c>
      <x:c r="N112" s="115" t="n">
        <x:v>3</x:v>
      </x:c>
      <x:c r="O112" s="115" t="str">
        <x:v>Moderate</x:v>
      </x:c>
      <x:c r="P112" s="115" t="str">
        <x:v>1–3 weeks</x:v>
      </x:c>
      <x:c r="Q112" s="115" t="str">
        <x:v>Medium</x:v>
      </x:c>
      <x:c r="R112" s="115" t="str">
        <x:v>Amazon API Gateway</x:v>
      </x:c>
      <x:c r="S112" s="115" t="str">
        <x:v>Azure API Management</x:v>
      </x:c>
      <x:c r="T112" s="115" t="str">
        <x:v>API Gateway
Apigee</x:v>
      </x:c>
      <x:c r="U112" s="115" t="n">
        <x:v>3.87</x:v>
      </x:c>
      <x:c r="V112" s="115" t="n">
        <x:v>3.84</x:v>
      </x:c>
      <x:c r="W112" s="115" t="n">
        <x:v>3.74</x:v>
      </x:c>
      <x:c r="X112" s="118" t="str">
        <x:v>Context-dependent tie</x:v>
      </x:c>
      <x:c r="Y112" s="115" t="str">
        <x:v>Scores are close: use ecosystem, data gravity, region, skills, commercials and proof-of-value results to decide.</x:v>
      </x:c>
      <x:c r="Z112" s="115" t="str">
        <x:v>Close</x:v>
      </x:c>
      <x:c r="AA112" s="115"/>
      <x:c r="AB112" s="115" t="str">
        <x:v>2026-07-12</x:v>
      </x:c>
      <x:c r="AC112" s="115" t="str">
        <x:v>Scored and mapped</x:v>
      </x:c>
      <x:c r="AD112" s="115" t="str">
        <x:v>https://docs.aws.amazon.com/whitepapers/latest/aws-overview/amazon-web-services-cloud-platform.html</x:v>
      </x:c>
    </x:row>
    <x:row r="113">
      <x:c r="A113" s="115" t="str">
        <x:v>2. Foundation, Infrastructure &amp; Security</x:v>
      </x:c>
      <x:c r="B113" s="115" t="str">
        <x:v>05. Networking, Connectivity, DNS, Traffic &amp; Edge Delivery</x:v>
      </x:c>
      <x:c r="C113" s="115" t="str">
        <x:v>Network Operations</x:v>
      </x:c>
      <x:c r="D113" s="115" t="str">
        <x:v>Ready &amp; Govern</x:v>
      </x:c>
      <x:c r="E113" s="115" t="str">
        <x:v>Security, Privacy &amp; Compliance
Cost &amp; FinOps
Operations &amp; Support
Reliability &amp; Resilience
Performance &amp; Scalability</x:v>
      </x:c>
      <x:c r="F113" s="115" t="str">
        <x:v>03 Network &amp; Connectivity</x:v>
      </x:c>
      <x:c r="G113" s="115" t="str">
        <x:v>Networking</x:v>
      </x:c>
      <x:c r="H113" s="115" t="str">
        <x:v>Network management</x:v>
      </x:c>
      <x:c r="I113" s="115" t="str">
        <x:v>Central network management</x:v>
      </x:c>
      <x:c r="J113" s="115" t="str">
        <x:v>Centrally configure and govern virtual networks, connectivity and routing.</x:v>
      </x:c>
      <x:c r="K113" s="115" t="str">
        <x:v>Choose this capability when you need to centrally configure and govern virtual networks, connectivity and routing.</x:v>
      </x:c>
      <x:c r="L113" s="115" t="str">
        <x:v>What business outcome, scale, control, integration and operating model justify choosing central network management?</x:v>
      </x:c>
      <x:c r="M113" s="115" t="str">
        <x:v>Global performance and resilience versus design complexity and egress cost.</x:v>
      </x:c>
      <x:c r="N113" s="115" t="n">
        <x:v>3</x:v>
      </x:c>
      <x:c r="O113" s="115" t="str">
        <x:v>Moderate</x:v>
      </x:c>
      <x:c r="P113" s="115" t="str">
        <x:v>1–3 weeks</x:v>
      </x:c>
      <x:c r="Q113" s="115" t="str">
        <x:v>Medium</x:v>
      </x:c>
      <x:c r="R113" s="115" t="str">
        <x:v>AWS Network Manager
AWS Cloud WAN</x:v>
      </x:c>
      <x:c r="S113" s="115" t="str">
        <x:v>Azure Virtual Network Manager</x:v>
      </x:c>
      <x:c r="T113" s="115" t="str">
        <x:v>Network Connectivity Center</x:v>
      </x:c>
      <x:c r="U113" s="115" t="n">
        <x:v>3.77</x:v>
      </x:c>
      <x:c r="V113" s="115" t="n">
        <x:v>3.84</x:v>
      </x:c>
      <x:c r="W113" s="115" t="n">
        <x:v>3.91</x:v>
      </x:c>
      <x:c r="X113" s="118" t="str">
        <x:v>Context-dependent tie</x:v>
      </x:c>
      <x:c r="Y113" s="115" t="str">
        <x:v>Scores are close: use ecosystem, data gravity, region, skills, commercials and proof-of-value results to decide.</x:v>
      </x:c>
      <x:c r="Z113" s="115" t="str">
        <x:v>Close</x:v>
      </x:c>
      <x:c r="AA113" s="115"/>
      <x:c r="AB113" s="115" t="str">
        <x:v>2026-07-12</x:v>
      </x:c>
      <x:c r="AC113" s="115" t="str">
        <x:v>Scored and mapped</x:v>
      </x:c>
      <x:c r="AD113" s="115" t="str">
        <x:v>https://docs.aws.amazon.com/whitepapers/latest/aws-overview/amazon-web-services-cloud-platform.html</x:v>
      </x:c>
    </x:row>
    <x:row r="114">
      <x:c r="A114" s="115" t="str">
        <x:v>2. Foundation, Infrastructure &amp; Security</x:v>
      </x:c>
      <x:c r="B114" s="115" t="str">
        <x:v>05. Networking, Connectivity, DNS, Traffic &amp; Edge Delivery</x:v>
      </x:c>
      <x:c r="C114" s="115" t="str">
        <x:v>Network Operations</x:v>
      </x:c>
      <x:c r="D114" s="115" t="str">
        <x:v>Ready &amp; Govern</x:v>
      </x:c>
      <x:c r="E114" s="115" t="str">
        <x:v>Security, Privacy &amp; Compliance
Cost &amp; FinOps
Operations &amp; Support
Reliability &amp; Resilience
Performance &amp; Scalability</x:v>
      </x:c>
      <x:c r="F114" s="115" t="str">
        <x:v>03 Network &amp; Connectivity</x:v>
      </x:c>
      <x:c r="G114" s="115" t="str">
        <x:v>Networking</x:v>
      </x:c>
      <x:c r="H114" s="115" t="str">
        <x:v>Network visibility</x:v>
      </x:c>
      <x:c r="I114" s="115" t="str">
        <x:v>Network monitoring and diagnostics</x:v>
      </x:c>
      <x:c r="J114" s="115" t="str">
        <x:v>Analyse topology, flows, connectivity, latency and network health.</x:v>
      </x:c>
      <x:c r="K114" s="115" t="str">
        <x:v>Choose this capability when you need to analyse topology, flows, connectivity, latency and network health.</x:v>
      </x:c>
      <x:c r="L114" s="115" t="str">
        <x:v>What business outcome, scale, control, integration and operating model justify choosing network monitoring and diagnostics?</x:v>
      </x:c>
      <x:c r="M114" s="115" t="str">
        <x:v>Global performance and resilience versus design complexity and egress cost.</x:v>
      </x:c>
      <x:c r="N114" s="115" t="n">
        <x:v>3</x:v>
      </x:c>
      <x:c r="O114" s="115" t="str">
        <x:v>Moderate</x:v>
      </x:c>
      <x:c r="P114" s="115" t="str">
        <x:v>1–3 weeks</x:v>
      </x:c>
      <x:c r="Q114" s="115" t="str">
        <x:v>Medium</x:v>
      </x:c>
      <x:c r="R114" s="115" t="str">
        <x:v>VPC Flow Logs
Reachability Analyzer
Network Access Analyzer</x:v>
      </x:c>
      <x:c r="S114" s="115" t="str">
        <x:v>Azure Network Watcher</x:v>
      </x:c>
      <x:c r="T114" s="115" t="str">
        <x:v>Network Intelligence Center
VPC Flow Logs</x:v>
      </x:c>
      <x:c r="U114" s="115" t="n">
        <x:v>3.77</x:v>
      </x:c>
      <x:c r="V114" s="115" t="n">
        <x:v>3.89</x:v>
      </x:c>
      <x:c r="W114" s="115" t="n">
        <x:v>3.82</x:v>
      </x:c>
      <x:c r="X114" s="118" t="str">
        <x:v>Context-dependent tie</x:v>
      </x:c>
      <x:c r="Y114" s="115" t="str">
        <x:v>Scores are close: use ecosystem, data gravity, region, skills, commercials and proof-of-value results to decide.</x:v>
      </x:c>
      <x:c r="Z114" s="115" t="str">
        <x:v>Close</x:v>
      </x:c>
      <x:c r="AA114" s="115"/>
      <x:c r="AB114" s="115" t="str">
        <x:v>2026-07-12</x:v>
      </x:c>
      <x:c r="AC114" s="115" t="str">
        <x:v>Scored and mapped</x:v>
      </x:c>
      <x:c r="AD114" s="115" t="str">
        <x:v>https://docs.aws.amazon.com/whitepapers/latest/aws-overview/amazon-web-services-cloud-platform.html</x:v>
      </x:c>
    </x:row>
    <x:row r="115">
      <x:c r="A115" s="115" t="str">
        <x:v>2. Foundation, Infrastructure &amp; Security</x:v>
      </x:c>
      <x:c r="B115" s="115" t="str">
        <x:v>05. Networking, Connectivity, DNS, Traffic &amp; Edge Delivery</x:v>
      </x:c>
      <x:c r="C115" s="115" t="str">
        <x:v>DNS &amp; Naming</x:v>
      </x:c>
      <x:c r="D115" s="115" t="str">
        <x:v>Ready &amp; Govern</x:v>
      </x:c>
      <x:c r="E115" s="115" t="str">
        <x:v>Security, Privacy &amp; Compliance
Cost &amp; FinOps
Operations &amp; Support
Reliability &amp; Resilience
Performance &amp; Scalability</x:v>
      </x:c>
      <x:c r="F115" s="115" t="str">
        <x:v>03 Network &amp; Connectivity</x:v>
      </x:c>
      <x:c r="G115" s="115" t="str">
        <x:v>Networking</x:v>
      </x:c>
      <x:c r="H115" s="115" t="str">
        <x:v>Traffic management</x:v>
      </x:c>
      <x:c r="I115" s="115" t="str">
        <x:v>DNS-based traffic management</x:v>
      </x:c>
      <x:c r="J115" s="115" t="str">
        <x:v>Route traffic across endpoints using health, latency, geography or weighted policies.</x:v>
      </x:c>
      <x:c r="K115" s="115" t="str">
        <x:v>Choose this capability when you need to route traffic across endpoints using health, latency, geography or weighted policies.</x:v>
      </x:c>
      <x:c r="L115" s="115" t="str">
        <x:v>What business outcome, scale, control, integration and operating model justify choosing dns-based traffic management?</x:v>
      </x:c>
      <x:c r="M115" s="115" t="str">
        <x:v>Global performance and resilience versus design complexity and egress cost.</x:v>
      </x:c>
      <x:c r="N115" s="115" t="n">
        <x:v>5</x:v>
      </x:c>
      <x:c r="O115" s="115" t="str">
        <x:v>Very easy</x:v>
      </x:c>
      <x:c r="P115" s="115" t="str">
        <x:v>Hours</x:v>
      </x:c>
      <x:c r="Q115" s="115" t="str">
        <x:v>Medium</x:v>
      </x:c>
      <x:c r="R115" s="115" t="str">
        <x:v>Amazon Route 53 routing policies</x:v>
      </x:c>
      <x:c r="S115" s="115" t="str">
        <x:v>Azure Traffic Manager</x:v>
      </x:c>
      <x:c r="T115" s="115" t="str">
        <x:v>Cloud DNS routing policies</x:v>
      </x:c>
      <x:c r="U115" s="115" t="n">
        <x:v>4.23</x:v>
      </x:c>
      <x:c r="V115" s="115" t="n">
        <x:v>4.26</x:v>
      </x:c>
      <x:c r="W115" s="115" t="n">
        <x:v>4.3</x:v>
      </x:c>
      <x:c r="X115" s="118" t="str">
        <x:v>Context-dependent tie</x:v>
      </x:c>
      <x:c r="Y115" s="115" t="str">
        <x:v>Scores are close: use ecosystem, data gravity, region, skills, commercials and proof-of-value results to decide.</x:v>
      </x:c>
      <x:c r="Z115" s="115" t="str">
        <x:v>Close</x:v>
      </x:c>
      <x:c r="AA115" s="115"/>
      <x:c r="AB115" s="115" t="str">
        <x:v>2026-07-12</x:v>
      </x:c>
      <x:c r="AC115" s="115" t="str">
        <x:v>Scored and mapped</x:v>
      </x:c>
      <x:c r="AD115" s="115" t="str">
        <x:v>https://docs.aws.amazon.com/whitepapers/latest/aws-overview/amazon-web-services-cloud-platform.html</x:v>
      </x:c>
    </x:row>
    <x:row r="116">
      <x:c r="A116" s="115" t="str">
        <x:v>2. Foundation, Infrastructure &amp; Security</x:v>
      </x:c>
      <x:c r="B116" s="115" t="str">
        <x:v>05. Networking, Connectivity, DNS, Traffic &amp; Edge Delivery</x:v>
      </x:c>
      <x:c r="C116" s="115" t="str">
        <x:v>Service Networking &amp; Private Access</x:v>
      </x:c>
      <x:c r="D116" s="115" t="str">
        <x:v>Ready &amp; Govern</x:v>
      </x:c>
      <x:c r="E116" s="115" t="str">
        <x:v>Security, Privacy &amp; Compliance
Cost &amp; FinOps
Operations &amp; Support
Reliability &amp; Resilience
Performance &amp; Scalability</x:v>
      </x:c>
      <x:c r="F116" s="115" t="str">
        <x:v>03 Network &amp; Connectivity</x:v>
      </x:c>
      <x:c r="G116" s="115" t="str">
        <x:v>Networking</x:v>
      </x:c>
      <x:c r="H116" s="115" t="str">
        <x:v>Zero trust access</x:v>
      </x:c>
      <x:c r="I116" s="115" t="str">
        <x:v>Identity-aware application access</x:v>
      </x:c>
      <x:c r="J116" s="115" t="str">
        <x:v>Provide identity-based access to private applications without broad network access.</x:v>
      </x:c>
      <x:c r="K116" s="115" t="str">
        <x:v>Choose this capability when you need to provide identity-based access to private applications without broad network access.</x:v>
      </x:c>
      <x:c r="L116" s="115" t="str">
        <x:v>What business outcome, scale, control, integration and operating model justify choosing identity-aware application access?</x:v>
      </x:c>
      <x:c r="M116" s="115" t="str">
        <x:v>Global performance and resilience versus design complexity and egress cost.</x:v>
      </x:c>
      <x:c r="N116" s="115" t="n">
        <x:v>3</x:v>
      </x:c>
      <x:c r="O116" s="115" t="str">
        <x:v>Moderate</x:v>
      </x:c>
      <x:c r="P116" s="115" t="str">
        <x:v>1–3 weeks</x:v>
      </x:c>
      <x:c r="Q116" s="115" t="str">
        <x:v>Medium</x:v>
      </x:c>
      <x:c r="R116" s="115" t="str">
        <x:v>AWS Verified Access</x:v>
      </x:c>
      <x:c r="S116" s="115" t="str">
        <x:v>Microsoft Entra Private Access
Azure Application Proxy</x:v>
      </x:c>
      <x:c r="T116" s="115" t="str">
        <x:v>Identity-Aware Proxy</x:v>
      </x:c>
      <x:c r="U116" s="115" t="n">
        <x:v>3.87</x:v>
      </x:c>
      <x:c r="V116" s="115" t="n">
        <x:v>3.9</x:v>
      </x:c>
      <x:c r="W116" s="115" t="n">
        <x:v>3.84</x:v>
      </x:c>
      <x:c r="X116" s="118" t="str">
        <x:v>Context-dependent tie</x:v>
      </x:c>
      <x:c r="Y116" s="115" t="str">
        <x:v>Scores are close: use ecosystem, data gravity, region, skills, commercials and proof-of-value results to decide.</x:v>
      </x:c>
      <x:c r="Z116" s="115" t="str">
        <x:v>Close</x:v>
      </x:c>
      <x:c r="AA116" s="115"/>
      <x:c r="AB116" s="115" t="str">
        <x:v>2026-07-12</x:v>
      </x:c>
      <x:c r="AC116" s="115" t="str">
        <x:v>Scored and mapped</x:v>
      </x:c>
      <x:c r="AD116" s="115" t="str">
        <x:v>https://docs.aws.amazon.com/whitepapers/latest/aws-overview/amazon-web-services-cloud-platform.html</x:v>
      </x:c>
    </x:row>
    <x:row r="117">
      <x:c r="A117" s="115" t="str">
        <x:v>2. Foundation, Infrastructure &amp; Security</x:v>
      </x:c>
      <x:c r="B117" s="115" t="str">
        <x:v>05. Networking, Connectivity, DNS, Traffic &amp; Edge Delivery</x:v>
      </x:c>
      <x:c r="C117" s="115" t="str">
        <x:v>Virtual Networks &amp; Segmentation</x:v>
      </x:c>
      <x:c r="D117" s="115" t="str">
        <x:v>Ready &amp; Govern</x:v>
      </x:c>
      <x:c r="E117" s="115" t="str">
        <x:v>Security, Privacy &amp; Compliance
Cost &amp; FinOps
Operations &amp; Support
Reliability &amp; Resilience
Performance &amp; Scalability</x:v>
      </x:c>
      <x:c r="F117" s="115" t="str">
        <x:v>03 Network &amp; Connectivity</x:v>
      </x:c>
      <x:c r="G117" s="115" t="str">
        <x:v>Networking</x:v>
      </x:c>
      <x:c r="H117" s="115" t="str">
        <x:v>Private wireless</x:v>
      </x:c>
      <x:c r="I117" s="115" t="str">
        <x:v>Private 5G and edge networking</x:v>
      </x:c>
      <x:c r="J117" s="115" t="str">
        <x:v>Deploy private cellular connectivity integrated with cloud management.</x:v>
      </x:c>
      <x:c r="K117" s="115" t="str">
        <x:v>Choose this capability when you need to deploy private cellular connectivity integrated with cloud management.</x:v>
      </x:c>
      <x:c r="L117" s="115" t="str">
        <x:v>What business outcome, scale, control, integration and operating model justify choosing private 5g and edge networking?</x:v>
      </x:c>
      <x:c r="M117" s="115" t="str">
        <x:v>Global performance and resilience versus design complexity and egress cost.</x:v>
      </x:c>
      <x:c r="N117" s="115" t="n">
        <x:v>2</x:v>
      </x:c>
      <x:c r="O117" s="115" t="str">
        <x:v>Advanced</x:v>
      </x:c>
      <x:c r="P117" s="115" t="str">
        <x:v>3–8 weeks</x:v>
      </x:c>
      <x:c r="Q117" s="115" t="str">
        <x:v>Medium</x:v>
      </x:c>
      <x:c r="R117" s="115" t="str">
        <x:v>AWS Private 5G
Integrated Private Wireless on AWS</x:v>
      </x:c>
      <x:c r="S117" s="115" t="str">
        <x:v>Azure Private 5G Core</x:v>
      </x:c>
      <x:c r="T117" s="115" t="str">
        <x:v>Google Distributed Cloud Edge telecom solutions</x:v>
      </x:c>
      <x:c r="U117" s="115" t="n">
        <x:v>3.39</x:v>
      </x:c>
      <x:c r="V117" s="115" t="n">
        <x:v>3.45</x:v>
      </x:c>
      <x:c r="W117" s="115" t="n">
        <x:v>3.46</x:v>
      </x:c>
      <x:c r="X117" s="118" t="str">
        <x:v>Context-dependent tie</x:v>
      </x:c>
      <x:c r="Y117" s="115" t="str">
        <x:v>Scores are close: use ecosystem, data gravity, region, skills, commercials and proof-of-value results to decide.</x:v>
      </x:c>
      <x:c r="Z117" s="115" t="str">
        <x:v>Partial</x:v>
      </x:c>
      <x:c r="AA117" s="115"/>
      <x:c r="AB117" s="115" t="str">
        <x:v>2026-07-12</x:v>
      </x:c>
      <x:c r="AC117" s="115" t="str">
        <x:v>Scored and mapped</x:v>
      </x:c>
      <x:c r="AD117" s="115" t="str">
        <x:v>https://docs.aws.amazon.com/whitepapers/latest/aws-overview/amazon-web-services-cloud-platform.html</x:v>
      </x:c>
    </x:row>
    <x:row r="118">
      <x:c r="A118" s="115" t="str">
        <x:v>2. Foundation, Infrastructure &amp; Security</x:v>
      </x:c>
      <x:c r="B118" s="115" t="str">
        <x:v>04. Identity, Security, Privacy, Risk &amp; Compliance</x:v>
      </x:c>
      <x:c r="C118" s="115" t="str">
        <x:v>Identity &amp; Access</x:v>
      </x:c>
      <x:c r="D118" s="115" t="str">
        <x:v>Ready &amp; Govern</x:v>
      </x:c>
      <x:c r="E118" s="115" t="str">
        <x:v>Security, Privacy &amp; Compliance
Cost &amp; FinOps
Operations &amp; Support</x:v>
      </x:c>
      <x:c r="F118" s="115" t="str">
        <x:v>02 Security, Identity &amp; Compliance</x:v>
      </x:c>
      <x:c r="G118" s="115" t="str">
        <x:v>Security, Identity &amp; Compliance</x:v>
      </x:c>
      <x:c r="H118" s="115" t="str">
        <x:v>Workforce identity</x:v>
      </x:c>
      <x:c r="I118" s="115" t="str">
        <x:v>Identity and access management</x:v>
      </x:c>
      <x:c r="J118" s="115" t="str">
        <x:v>Authenticate identities and authorise access to cloud resources.</x:v>
      </x:c>
      <x:c r="K118" s="115" t="str">
        <x:v>Choose this capability when you need to authenticate identities and authorise access to cloud resources.</x:v>
      </x:c>
      <x:c r="L118" s="115" t="str">
        <x:v>Who or what needs access, at which scope, under which identity lifecycle and least-privilege controls?</x:v>
      </x:c>
      <x:c r="M118" s="115" t="str">
        <x:v>Centralised control and deep integration versus cross-cloud consistency and tool consolidation.</x:v>
      </x:c>
      <x:c r="N118" s="115" t="n">
        <x:v>3</x:v>
      </x:c>
      <x:c r="O118" s="115" t="str">
        <x:v>Moderate</x:v>
      </x:c>
      <x:c r="P118" s="115" t="str">
        <x:v>1–3 weeks</x:v>
      </x:c>
      <x:c r="Q118" s="115" t="str">
        <x:v>Medium</x:v>
      </x:c>
      <x:c r="R118" s="115" t="str">
        <x:v>AWS Identity and Access Management</x:v>
      </x:c>
      <x:c r="S118" s="115" t="str">
        <x:v>Microsoft Entra ID
Azure RBAC</x:v>
      </x:c>
      <x:c r="T118" s="115" t="str">
        <x:v>Cloud Identity
Identity and Access Management</x:v>
      </x:c>
      <x:c r="U118" s="115" t="n">
        <x:v>3.82</x:v>
      </x:c>
      <x:c r="V118" s="115" t="n">
        <x:v>4</x:v>
      </x:c>
      <x:c r="W118" s="115" t="n">
        <x:v>3.72</x:v>
      </x:c>
      <x:c r="X118" s="118" t="str">
        <x:v>Azure</x:v>
      </x:c>
      <x:c r="Y118" s="115" t="str">
        <x:v>Start with Azure when Microsoft identity, security, data, productivity or hybrid integration reduces delivery effort.</x:v>
      </x:c>
      <x:c r="Z118" s="115" t="str">
        <x:v>Close</x:v>
      </x:c>
      <x:c r="AA118" s="115"/>
      <x:c r="AB118" s="115" t="str">
        <x:v>2026-07-12</x:v>
      </x:c>
      <x:c r="AC118" s="115" t="str">
        <x:v>Scored and mapped</x:v>
      </x:c>
      <x:c r="AD118" s="115" t="str">
        <x:v>https://docs.aws.amazon.com/whitepapers/latest/aws-overview/amazon-web-services-cloud-platform.html</x:v>
      </x:c>
    </x:row>
    <x:row r="119">
      <x:c r="A119" s="115" t="str">
        <x:v>2. Foundation, Infrastructure &amp; Security</x:v>
      </x:c>
      <x:c r="B119" s="115" t="str">
        <x:v>04. Identity, Security, Privacy, Risk &amp; Compliance</x:v>
      </x:c>
      <x:c r="C119" s="115" t="str">
        <x:v>Identity &amp; Access</x:v>
      </x:c>
      <x:c r="D119" s="115" t="str">
        <x:v>Ready &amp; Govern</x:v>
      </x:c>
      <x:c r="E119" s="115" t="str">
        <x:v>Security, Privacy &amp; Compliance
Cost &amp; FinOps
Operations &amp; Support</x:v>
      </x:c>
      <x:c r="F119" s="115" t="str">
        <x:v>02 Security, Identity &amp; Compliance</x:v>
      </x:c>
      <x:c r="G119" s="115" t="str">
        <x:v>Security, Identity &amp; Compliance</x:v>
      </x:c>
      <x:c r="H119" s="115" t="str">
        <x:v>Customer identity</x:v>
      </x:c>
      <x:c r="I119" s="115" t="str">
        <x:v>Customer identity platform</x:v>
      </x:c>
      <x:c r="J119" s="115" t="str">
        <x:v>Add sign-up, sign-in, federation and access controls to customer-facing applications.</x:v>
      </x:c>
      <x:c r="K119" s="115" t="str">
        <x:v>Choose this capability when you need to add sign-up, sign-in, federation and access controls to customer-facing applications.</x:v>
      </x:c>
      <x:c r="L119" s="115" t="str">
        <x:v>Who or what needs access, at which scope, under which identity lifecycle and least-privilege controls?</x:v>
      </x:c>
      <x:c r="M119" s="115" t="str">
        <x:v>Centralised control and deep integration versus cross-cloud consistency and tool consolidation.</x:v>
      </x:c>
      <x:c r="N119" s="115" t="n">
        <x:v>3</x:v>
      </x:c>
      <x:c r="O119" s="115" t="str">
        <x:v>Moderate</x:v>
      </x:c>
      <x:c r="P119" s="115" t="str">
        <x:v>1–3 weeks</x:v>
      </x:c>
      <x:c r="Q119" s="115" t="str">
        <x:v>Medium</x:v>
      </x:c>
      <x:c r="R119" s="115" t="str">
        <x:v>Amazon Cognito</x:v>
      </x:c>
      <x:c r="S119" s="115" t="str">
        <x:v>Microsoft Entra External ID</x:v>
      </x:c>
      <x:c r="T119" s="115" t="str">
        <x:v>Identity Platform</x:v>
      </x:c>
      <x:c r="U119" s="115" t="n">
        <x:v>3.89</x:v>
      </x:c>
      <x:c r="V119" s="115" t="n">
        <x:v>4.17</x:v>
      </x:c>
      <x:c r="W119" s="115" t="n">
        <x:v>3.87</x:v>
      </x:c>
      <x:c r="X119" s="118" t="str">
        <x:v>Azure</x:v>
      </x:c>
      <x:c r="Y119" s="115" t="str">
        <x:v>Start with Azure when Microsoft identity, security, data, productivity or hybrid integration reduces delivery effort.</x:v>
      </x:c>
      <x:c r="Z119" s="115" t="str">
        <x:v>Exact</x:v>
      </x:c>
      <x:c r="AA119" s="115"/>
      <x:c r="AB119" s="115" t="str">
        <x:v>2026-07-12</x:v>
      </x:c>
      <x:c r="AC119" s="115" t="str">
        <x:v>Scored and mapped</x:v>
      </x:c>
      <x:c r="AD119" s="115" t="str">
        <x:v>https://docs.aws.amazon.com/whitepapers/latest/aws-overview/amazon-web-services-cloud-platform.html</x:v>
      </x:c>
    </x:row>
    <x:row r="120">
      <x:c r="A120" s="115" t="str">
        <x:v>2. Foundation, Infrastructure &amp; Security</x:v>
      </x:c>
      <x:c r="B120" s="115" t="str">
        <x:v>04. Identity, Security, Privacy, Risk &amp; Compliance</x:v>
      </x:c>
      <x:c r="C120" s="115" t="str">
        <x:v>Identity &amp; Access</x:v>
      </x:c>
      <x:c r="D120" s="115" t="str">
        <x:v>Ready &amp; Govern</x:v>
      </x:c>
      <x:c r="E120" s="115" t="str">
        <x:v>Security, Privacy &amp; Compliance
Cost &amp; FinOps
Operations &amp; Support</x:v>
      </x:c>
      <x:c r="F120" s="115" t="str">
        <x:v>02 Security, Identity &amp; Compliance</x:v>
      </x:c>
      <x:c r="G120" s="115" t="str">
        <x:v>Security, Identity &amp; Compliance</x:v>
      </x:c>
      <x:c r="H120" s="115" t="str">
        <x:v>Directory</x:v>
      </x:c>
      <x:c r="I120" s="115" t="str">
        <x:v>Managed directory service</x:v>
      </x:c>
      <x:c r="J120" s="115" t="str">
        <x:v>Provide managed directory and domain services for enterprise workloads.</x:v>
      </x:c>
      <x:c r="K120" s="115" t="str">
        <x:v>Choose this capability when you need to provide managed directory and domain services for enterprise workloads.</x:v>
      </x:c>
      <x:c r="L120" s="115" t="str">
        <x:v>Who or what needs access, at which scope, under which identity lifecycle and least-privilege controls?</x:v>
      </x:c>
      <x:c r="M120" s="115" t="str">
        <x:v>Centralised control and deep integration versus cross-cloud consistency and tool consolidation.</x:v>
      </x:c>
      <x:c r="N120" s="115" t="n">
        <x:v>3</x:v>
      </x:c>
      <x:c r="O120" s="115" t="str">
        <x:v>Moderate</x:v>
      </x:c>
      <x:c r="P120" s="115" t="str">
        <x:v>1–3 weeks</x:v>
      </x:c>
      <x:c r="Q120" s="115" t="str">
        <x:v>Medium</x:v>
      </x:c>
      <x:c r="R120" s="115" t="str">
        <x:v>AWS Directory Service</x:v>
      </x:c>
      <x:c r="S120" s="115" t="str">
        <x:v>Microsoft Entra Domain Services</x:v>
      </x:c>
      <x:c r="T120" s="115" t="str">
        <x:v>Managed Microsoft AD</x:v>
      </x:c>
      <x:c r="U120" s="115" t="n">
        <x:v>3.89</x:v>
      </x:c>
      <x:c r="V120" s="115" t="n">
        <x:v>4.17</x:v>
      </x:c>
      <x:c r="W120" s="115" t="n">
        <x:v>3.87</x:v>
      </x:c>
      <x:c r="X120" s="118" t="str">
        <x:v>Azure</x:v>
      </x:c>
      <x:c r="Y120" s="115" t="str">
        <x:v>Start with Azure when Microsoft identity, security, data, productivity or hybrid integration reduces delivery effort.</x:v>
      </x:c>
      <x:c r="Z120" s="115" t="str">
        <x:v>Exact</x:v>
      </x:c>
      <x:c r="AA120" s="115"/>
      <x:c r="AB120" s="115" t="str">
        <x:v>2026-07-12</x:v>
      </x:c>
      <x:c r="AC120" s="115" t="str">
        <x:v>Scored and mapped</x:v>
      </x:c>
      <x:c r="AD120" s="115" t="str">
        <x:v>https://docs.aws.amazon.com/whitepapers/latest/aws-overview/amazon-web-services-cloud-platform.html</x:v>
      </x:c>
    </x:row>
    <x:row r="121">
      <x:c r="A121" s="115" t="str">
        <x:v>2. Foundation, Infrastructure &amp; Security</x:v>
      </x:c>
      <x:c r="B121" s="115" t="str">
        <x:v>04. Identity, Security, Privacy, Risk &amp; Compliance</x:v>
      </x:c>
      <x:c r="C121" s="115" t="str">
        <x:v>Identity &amp; Access</x:v>
      </x:c>
      <x:c r="D121" s="115" t="str">
        <x:v>Ready &amp; Govern</x:v>
      </x:c>
      <x:c r="E121" s="115" t="str">
        <x:v>Security, Privacy &amp; Compliance
Cost &amp; FinOps
Operations &amp; Support</x:v>
      </x:c>
      <x:c r="F121" s="115" t="str">
        <x:v>02 Security, Identity &amp; Compliance</x:v>
      </x:c>
      <x:c r="G121" s="115" t="str">
        <x:v>Security, Identity &amp; Compliance</x:v>
      </x:c>
      <x:c r="H121" s="115" t="str">
        <x:v>Authorisation</x:v>
      </x:c>
      <x:c r="I121" s="115" t="str">
        <x:v>Fine-grained application authorisation</x:v>
      </x:c>
      <x:c r="J121" s="115" t="str">
        <x:v>Externalise and evaluate fine-grained application permissions and policies.</x:v>
      </x:c>
      <x:c r="K121" s="115" t="str">
        <x:v>Choose this capability when you need to externalise and evaluate fine-grained application permissions and policies.</x:v>
      </x:c>
      <x:c r="L121" s="115" t="str">
        <x:v>Who or what needs access, at which scope, under which identity lifecycle and least-privilege controls?</x:v>
      </x:c>
      <x:c r="M121" s="115" t="str">
        <x:v>Centralised control and deep integration versus cross-cloud consistency and tool consolidation.</x:v>
      </x:c>
      <x:c r="N121" s="115" t="n">
        <x:v>3</x:v>
      </x:c>
      <x:c r="O121" s="115" t="str">
        <x:v>Moderate</x:v>
      </x:c>
      <x:c r="P121" s="115" t="str">
        <x:v>1–3 weeks</x:v>
      </x:c>
      <x:c r="Q121" s="115" t="str">
        <x:v>Medium</x:v>
      </x:c>
      <x:c r="R121" s="115" t="str">
        <x:v>Amazon Verified Permissions</x:v>
      </x:c>
      <x:c r="S121" s="115" t="str">
        <x:v>Microsoft Entra ID Governance
Azure App Configuration / custom policy engines</x:v>
      </x:c>
      <x:c r="T121" s="115" t="str">
        <x:v>IAM Conditions
Policy Intelligence</x:v>
      </x:c>
      <x:c r="U121" s="115" t="n">
        <x:v>3.64</x:v>
      </x:c>
      <x:c r="V121" s="115" t="n">
        <x:v>3.83</x:v>
      </x:c>
      <x:c r="W121" s="115" t="n">
        <x:v>3.57</x:v>
      </x:c>
      <x:c r="X121" s="118" t="str">
        <x:v>Azure</x:v>
      </x:c>
      <x:c r="Y121" s="115" t="str">
        <x:v>Start with Azure when Microsoft identity, security, data, productivity or hybrid integration reduces delivery effort.</x:v>
      </x:c>
      <x:c r="Z121" s="115" t="str">
        <x:v>Partial</x:v>
      </x:c>
      <x:c r="AA121" s="115"/>
      <x:c r="AB121" s="115" t="str">
        <x:v>2026-07-12</x:v>
      </x:c>
      <x:c r="AC121" s="115" t="str">
        <x:v>Scored and mapped</x:v>
      </x:c>
      <x:c r="AD121" s="115" t="str">
        <x:v>https://docs.aws.amazon.com/whitepapers/latest/aws-overview/amazon-web-services-cloud-platform.html</x:v>
      </x:c>
    </x:row>
    <x:row r="122">
      <x:c r="A122" s="115" t="str">
        <x:v>2. Foundation, Infrastructure &amp; Security</x:v>
      </x:c>
      <x:c r="B122" s="115" t="str">
        <x:v>04. Identity, Security, Privacy, Risk &amp; Compliance</x:v>
      </x:c>
      <x:c r="C122" s="115" t="str">
        <x:v>Cryptography, Keys &amp; Secrets</x:v>
      </x:c>
      <x:c r="D122" s="115" t="str">
        <x:v>Ready &amp; Govern</x:v>
      </x:c>
      <x:c r="E122" s="115" t="str">
        <x:v>Security, Privacy &amp; Compliance
Cost &amp; FinOps
Operations &amp; Support</x:v>
      </x:c>
      <x:c r="F122" s="115" t="str">
        <x:v>02 Security, Identity &amp; Compliance</x:v>
      </x:c>
      <x:c r="G122" s="115" t="str">
        <x:v>Security, Identity &amp; Compliance</x:v>
      </x:c>
      <x:c r="H122" s="115" t="str">
        <x:v>Secrets</x:v>
      </x:c>
      <x:c r="I122" s="115" t="str">
        <x:v>Secrets management</x:v>
      </x:c>
      <x:c r="J122" s="115" t="str">
        <x:v>Securely store, rotate and retrieve application credentials and secrets.</x:v>
      </x:c>
      <x:c r="K122" s="115" t="str">
        <x:v>Choose this capability when you need to securely store, rotate and retrieve application credentials and secrets.</x:v>
      </x:c>
      <x:c r="L122" s="115" t="str">
        <x:v>What business outcome, scale, control, integration and operating model justify choosing secrets management?</x:v>
      </x:c>
      <x:c r="M122" s="115" t="str">
        <x:v>Centralised control and deep integration versus cross-cloud consistency and tool consolidation.</x:v>
      </x:c>
      <x:c r="N122" s="115" t="n">
        <x:v>4</x:v>
      </x:c>
      <x:c r="O122" s="115" t="str">
        <x:v>Easy</x:v>
      </x:c>
      <x:c r="P122" s="115" t="str">
        <x:v>1–3 days</x:v>
      </x:c>
      <x:c r="Q122" s="115" t="str">
        <x:v>Medium</x:v>
      </x:c>
      <x:c r="R122" s="115" t="str">
        <x:v>AWS Secrets Manager
Systems Manager Parameter Store</x:v>
      </x:c>
      <x:c r="S122" s="115" t="str">
        <x:v>Azure Key Vault</x:v>
      </x:c>
      <x:c r="T122" s="115" t="str">
        <x:v>Secret Manager</x:v>
      </x:c>
      <x:c r="U122" s="115" t="n">
        <x:v>3.98</x:v>
      </x:c>
      <x:c r="V122" s="115" t="n">
        <x:v>4.1</x:v>
      </x:c>
      <x:c r="W122" s="115" t="n">
        <x:v>4.07</x:v>
      </x:c>
      <x:c r="X122" s="118" t="str">
        <x:v>Context-dependent tie</x:v>
      </x:c>
      <x:c r="Y122" s="115" t="str">
        <x:v>Scores are close: use ecosystem, data gravity, region, skills, commercials and proof-of-value results to decide.</x:v>
      </x:c>
      <x:c r="Z122" s="115" t="str">
        <x:v>Exact</x:v>
      </x:c>
      <x:c r="AA122" s="115"/>
      <x:c r="AB122" s="115" t="str">
        <x:v>2026-07-12</x:v>
      </x:c>
      <x:c r="AC122" s="115" t="str">
        <x:v>Scored and mapped</x:v>
      </x:c>
      <x:c r="AD122" s="115" t="str">
        <x:v>https://docs.aws.amazon.com/whitepapers/latest/aws-overview/amazon-web-services-cloud-platform.html</x:v>
      </x:c>
    </x:row>
    <x:row r="123">
      <x:c r="A123" s="115" t="str">
        <x:v>2. Foundation, Infrastructure &amp; Security</x:v>
      </x:c>
      <x:c r="B123" s="115" t="str">
        <x:v>04. Identity, Security, Privacy, Risk &amp; Compliance</x:v>
      </x:c>
      <x:c r="C123" s="115" t="str">
        <x:v>Cryptography, Keys &amp; Secrets</x:v>
      </x:c>
      <x:c r="D123" s="115" t="str">
        <x:v>Ready &amp; Govern</x:v>
      </x:c>
      <x:c r="E123" s="115" t="str">
        <x:v>Security, Privacy &amp; Compliance
Cost &amp; FinOps
Operations &amp; Support</x:v>
      </x:c>
      <x:c r="F123" s="115" t="str">
        <x:v>02 Security, Identity &amp; Compliance</x:v>
      </x:c>
      <x:c r="G123" s="115" t="str">
        <x:v>Security, Identity &amp; Compliance</x:v>
      </x:c>
      <x:c r="H123" s="115" t="str">
        <x:v>Keys</x:v>
      </x:c>
      <x:c r="I123" s="115" t="str">
        <x:v>Key management service</x:v>
      </x:c>
      <x:c r="J123" s="115" t="str">
        <x:v>Create and control encryption keys for cloud data and applications.</x:v>
      </x:c>
      <x:c r="K123" s="115" t="str">
        <x:v>Choose this capability when you need to create and control encryption keys for cloud data and applications.</x:v>
      </x:c>
      <x:c r="L123" s="115" t="str">
        <x:v>What business outcome, scale, control, integration and operating model justify choosing key management service?</x:v>
      </x:c>
      <x:c r="M123" s="115" t="str">
        <x:v>Centralised control and deep integration versus cross-cloud consistency and tool consolidation.</x:v>
      </x:c>
      <x:c r="N123" s="115" t="n">
        <x:v>3</x:v>
      </x:c>
      <x:c r="O123" s="115" t="str">
        <x:v>Moderate</x:v>
      </x:c>
      <x:c r="P123" s="115" t="str">
        <x:v>1–3 weeks</x:v>
      </x:c>
      <x:c r="Q123" s="115" t="str">
        <x:v>Medium</x:v>
      </x:c>
      <x:c r="R123" s="115" t="str">
        <x:v>AWS Key Management Service</x:v>
      </x:c>
      <x:c r="S123" s="115" t="str">
        <x:v>Azure Key Vault Managed HSM
Azure Key Vault</x:v>
      </x:c>
      <x:c r="T123" s="115" t="str">
        <x:v>Cloud Key Management Service</x:v>
      </x:c>
      <x:c r="U123" s="115" t="n">
        <x:v>3.89</x:v>
      </x:c>
      <x:c r="V123" s="115" t="n">
        <x:v>3.8</x:v>
      </x:c>
      <x:c r="W123" s="115" t="n">
        <x:v>3.87</x:v>
      </x:c>
      <x:c r="X123" s="118" t="str">
        <x:v>Context-dependent tie</x:v>
      </x:c>
      <x:c r="Y123" s="115" t="str">
        <x:v>Scores are close: use ecosystem, data gravity, region, skills, commercials and proof-of-value results to decide.</x:v>
      </x:c>
      <x:c r="Z123" s="115" t="str">
        <x:v>Exact</x:v>
      </x:c>
      <x:c r="AA123" s="115"/>
      <x:c r="AB123" s="115" t="str">
        <x:v>2026-07-12</x:v>
      </x:c>
      <x:c r="AC123" s="115" t="str">
        <x:v>Scored and mapped</x:v>
      </x:c>
      <x:c r="AD123" s="115" t="str">
        <x:v>https://docs.aws.amazon.com/whitepapers/latest/aws-overview/amazon-web-services-cloud-platform.html</x:v>
      </x:c>
    </x:row>
    <x:row r="124">
      <x:c r="A124" s="115" t="str">
        <x:v>2. Foundation, Infrastructure &amp; Security</x:v>
      </x:c>
      <x:c r="B124" s="115" t="str">
        <x:v>04. Identity, Security, Privacy, Risk &amp; Compliance</x:v>
      </x:c>
      <x:c r="C124" s="115" t="str">
        <x:v>Cryptography, Keys &amp; Secrets</x:v>
      </x:c>
      <x:c r="D124" s="115" t="str">
        <x:v>Ready &amp; Govern</x:v>
      </x:c>
      <x:c r="E124" s="115" t="str">
        <x:v>Security, Privacy &amp; Compliance
Cost &amp; FinOps
Operations &amp; Support</x:v>
      </x:c>
      <x:c r="F124" s="115" t="str">
        <x:v>02 Security, Identity &amp; Compliance</x:v>
      </x:c>
      <x:c r="G124" s="115" t="str">
        <x:v>Security, Identity &amp; Compliance</x:v>
      </x:c>
      <x:c r="H124" s="115" t="str">
        <x:v>HSM</x:v>
      </x:c>
      <x:c r="I124" s="115" t="str">
        <x:v>Dedicated cloud HSM</x:v>
      </x:c>
      <x:c r="J124" s="115" t="str">
        <x:v>Use dedicated hardware security modules under customer control.</x:v>
      </x:c>
      <x:c r="K124" s="115" t="str">
        <x:v>Choose this capability when you need to use dedicated hardware security modules under customer control.</x:v>
      </x:c>
      <x:c r="L124" s="115" t="str">
        <x:v>What business outcome, scale, control, integration and operating model justify choosing dedicated cloud hsm?</x:v>
      </x:c>
      <x:c r="M124" s="115" t="str">
        <x:v>Centralised control and deep integration versus cross-cloud consistency and tool consolidation.</x:v>
      </x:c>
      <x:c r="N124" s="115" t="n">
        <x:v>3</x:v>
      </x:c>
      <x:c r="O124" s="115" t="str">
        <x:v>Moderate</x:v>
      </x:c>
      <x:c r="P124" s="115" t="str">
        <x:v>1–3 weeks</x:v>
      </x:c>
      <x:c r="Q124" s="115" t="str">
        <x:v>Medium</x:v>
      </x:c>
      <x:c r="R124" s="115" t="str">
        <x:v>AWS CloudHSM</x:v>
      </x:c>
      <x:c r="S124" s="115" t="str">
        <x:v>Azure Cloud HSM
Azure Managed HSM</x:v>
      </x:c>
      <x:c r="T124" s="115" t="str">
        <x:v>Cloud HSM</x:v>
      </x:c>
      <x:c r="U124" s="115" t="n">
        <x:v>3.89</x:v>
      </x:c>
      <x:c r="V124" s="115" t="n">
        <x:v>3.8</x:v>
      </x:c>
      <x:c r="W124" s="115" t="n">
        <x:v>3.87</x:v>
      </x:c>
      <x:c r="X124" s="118" t="str">
        <x:v>Context-dependent tie</x:v>
      </x:c>
      <x:c r="Y124" s="115" t="str">
        <x:v>Scores are close: use ecosystem, data gravity, region, skills, commercials and proof-of-value results to decide.</x:v>
      </x:c>
      <x:c r="Z124" s="115" t="str">
        <x:v>Exact</x:v>
      </x:c>
      <x:c r="AA124" s="115"/>
      <x:c r="AB124" s="115" t="str">
        <x:v>2026-07-12</x:v>
      </x:c>
      <x:c r="AC124" s="115" t="str">
        <x:v>Scored and mapped</x:v>
      </x:c>
      <x:c r="AD124" s="115" t="str">
        <x:v>https://docs.aws.amazon.com/whitepapers/latest/aws-overview/amazon-web-services-cloud-platform.html</x:v>
      </x:c>
    </x:row>
    <x:row r="125">
      <x:c r="A125" s="115" t="str">
        <x:v>2. Foundation, Infrastructure &amp; Security</x:v>
      </x:c>
      <x:c r="B125" s="115" t="str">
        <x:v>04. Identity, Security, Privacy, Risk &amp; Compliance</x:v>
      </x:c>
      <x:c r="C125" s="115" t="str">
        <x:v>Cryptography, Keys &amp; Secrets</x:v>
      </x:c>
      <x:c r="D125" s="115" t="str">
        <x:v>Ready &amp; Govern</x:v>
      </x:c>
      <x:c r="E125" s="115" t="str">
        <x:v>Security, Privacy &amp; Compliance
Cost &amp; FinOps
Operations &amp; Support</x:v>
      </x:c>
      <x:c r="F125" s="115" t="str">
        <x:v>02 Security, Identity &amp; Compliance</x:v>
      </x:c>
      <x:c r="G125" s="115" t="str">
        <x:v>Security, Identity &amp; Compliance</x:v>
      </x:c>
      <x:c r="H125" s="115" t="str">
        <x:v>Certificates</x:v>
      </x:c>
      <x:c r="I125" s="115" t="str">
        <x:v>Certificate management</x:v>
      </x:c>
      <x:c r="J125" s="115" t="str">
        <x:v>Provision, manage and rotate public or private TLS certificates.</x:v>
      </x:c>
      <x:c r="K125" s="115" t="str">
        <x:v>Choose this capability when you need to provision, manage and rotate public or private tls certificates.</x:v>
      </x:c>
      <x:c r="L125" s="115" t="str">
        <x:v>What business outcome, scale, control, integration and operating model justify choosing certificate management?</x:v>
      </x:c>
      <x:c r="M125" s="115" t="str">
        <x:v>Centralised control and deep integration versus cross-cloud consistency and tool consolidation.</x:v>
      </x:c>
      <x:c r="N125" s="115" t="n">
        <x:v>5</x:v>
      </x:c>
      <x:c r="O125" s="115" t="str">
        <x:v>Very easy</x:v>
      </x:c>
      <x:c r="P125" s="115" t="str">
        <x:v>Hours</x:v>
      </x:c>
      <x:c r="Q125" s="115" t="str">
        <x:v>Medium</x:v>
      </x:c>
      <x:c r="R125" s="115" t="str">
        <x:v>AWS Certificate Manager
AWS Private CA</x:v>
      </x:c>
      <x:c r="S125" s="115" t="str">
        <x:v>Azure Key Vault Certificates
Microsoft Cloud PKI</x:v>
      </x:c>
      <x:c r="T125" s="115" t="str">
        <x:v>Certificate Manager
Certificate Authority Service</x:v>
      </x:c>
      <x:c r="U125" s="115" t="n">
        <x:v>4.13</x:v>
      </x:c>
      <x:c r="V125" s="115" t="n">
        <x:v>4.15</x:v>
      </x:c>
      <x:c r="W125" s="115" t="n">
        <x:v>4.12</x:v>
      </x:c>
      <x:c r="X125" s="118" t="str">
        <x:v>Context-dependent tie</x:v>
      </x:c>
      <x:c r="Y125" s="115" t="str">
        <x:v>Scores are close: use ecosystem, data gravity, region, skills, commercials and proof-of-value results to decide.</x:v>
      </x:c>
      <x:c r="Z125" s="115" t="str">
        <x:v>Close</x:v>
      </x:c>
      <x:c r="AA125" s="115"/>
      <x:c r="AB125" s="115" t="str">
        <x:v>2026-07-12</x:v>
      </x:c>
      <x:c r="AC125" s="115" t="str">
        <x:v>Scored and mapped</x:v>
      </x:c>
      <x:c r="AD125" s="115" t="str">
        <x:v>https://docs.aws.amazon.com/whitepapers/latest/aws-overview/amazon-web-services-cloud-platform.html</x:v>
      </x:c>
    </x:row>
    <x:row r="126">
      <x:c r="A126" s="115" t="str">
        <x:v>2. Foundation, Infrastructure &amp; Security</x:v>
      </x:c>
      <x:c r="B126" s="115" t="str">
        <x:v>04. Identity, Security, Privacy, Risk &amp; Compliance</x:v>
      </x:c>
      <x:c r="C126" s="115" t="str">
        <x:v>Governance, Posture &amp; Compliance</x:v>
      </x:c>
      <x:c r="D126" s="115" t="str">
        <x:v>Ready &amp; Govern</x:v>
      </x:c>
      <x:c r="E126" s="115" t="str">
        <x:v>Security, Privacy &amp; Compliance
Cost &amp; FinOps
Operations &amp; Support</x:v>
      </x:c>
      <x:c r="F126" s="115" t="str">
        <x:v>02 Security, Identity &amp; Compliance</x:v>
      </x:c>
      <x:c r="G126" s="115" t="str">
        <x:v>Security, Identity &amp; Compliance</x:v>
      </x:c>
      <x:c r="H126" s="115" t="str">
        <x:v>Security posture</x:v>
      </x:c>
      <x:c r="I126" s="115" t="str">
        <x:v>Cloud security posture management</x:v>
      </x:c>
      <x:c r="J126" s="115" t="str">
        <x:v>Assess misconfigurations, compliance and security posture across cloud workloads.</x:v>
      </x:c>
      <x:c r="K126" s="115" t="str">
        <x:v>Choose this capability when you need to assess misconfigurations, compliance and security posture across cloud workloads.</x:v>
      </x:c>
      <x:c r="L126" s="115" t="str">
        <x:v>What business outcome, scale, control, integration and operating model justify choosing cloud security posture management?</x:v>
      </x:c>
      <x:c r="M126" s="115" t="str">
        <x:v>Centralised control and deep integration versus cross-cloud consistency and tool consolidation.</x:v>
      </x:c>
      <x:c r="N126" s="115" t="n">
        <x:v>3</x:v>
      </x:c>
      <x:c r="O126" s="115" t="str">
        <x:v>Moderate</x:v>
      </x:c>
      <x:c r="P126" s="115" t="str">
        <x:v>1–3 weeks</x:v>
      </x:c>
      <x:c r="Q126" s="115" t="str">
        <x:v>Medium</x:v>
      </x:c>
      <x:c r="R126" s="115" t="str">
        <x:v>AWS Security Hub</x:v>
      </x:c>
      <x:c r="S126" s="115" t="str">
        <x:v>Microsoft Defender for Cloud</x:v>
      </x:c>
      <x:c r="T126" s="115" t="str">
        <x:v>Security Command Center</x:v>
      </x:c>
      <x:c r="U126" s="115" t="n">
        <x:v>3.89</x:v>
      </x:c>
      <x:c r="V126" s="115" t="n">
        <x:v>4.09</x:v>
      </x:c>
      <x:c r="W126" s="115" t="n">
        <x:v>3.87</x:v>
      </x:c>
      <x:c r="X126" s="118" t="str">
        <x:v>Azure</x:v>
      </x:c>
      <x:c r="Y126" s="115" t="str">
        <x:v>Start with Azure when Microsoft identity, security, data, productivity or hybrid integration reduces delivery effort.</x:v>
      </x:c>
      <x:c r="Z126" s="115" t="str">
        <x:v>Exact</x:v>
      </x:c>
      <x:c r="AA126" s="115"/>
      <x:c r="AB126" s="115" t="str">
        <x:v>2026-07-12</x:v>
      </x:c>
      <x:c r="AC126" s="115" t="str">
        <x:v>Scored and mapped</x:v>
      </x:c>
      <x:c r="AD126" s="115" t="str">
        <x:v>https://docs.aws.amazon.com/whitepapers/latest/aws-overview/amazon-web-services-cloud-platform.html</x:v>
      </x:c>
    </x:row>
    <x:row r="127">
      <x:c r="A127" s="115" t="str">
        <x:v>2. Foundation, Infrastructure &amp; Security</x:v>
      </x:c>
      <x:c r="B127" s="115" t="str">
        <x:v>04. Identity, Security, Privacy, Risk &amp; Compliance</x:v>
      </x:c>
      <x:c r="C127" s="115" t="str">
        <x:v>Threat Detection &amp; Security Operations</x:v>
      </x:c>
      <x:c r="D127" s="115" t="str">
        <x:v>Ready &amp; Govern</x:v>
      </x:c>
      <x:c r="E127" s="115" t="str">
        <x:v>Security, Privacy &amp; Compliance
Cost &amp; FinOps
Operations &amp; Support</x:v>
      </x:c>
      <x:c r="F127" s="115" t="str">
        <x:v>02 Security, Identity &amp; Compliance</x:v>
      </x:c>
      <x:c r="G127" s="115" t="str">
        <x:v>Security, Identity &amp; Compliance</x:v>
      </x:c>
      <x:c r="H127" s="115" t="str">
        <x:v>Threat detection</x:v>
      </x:c>
      <x:c r="I127" s="115" t="str">
        <x:v>Cloud threat detection</x:v>
      </x:c>
      <x:c r="J127" s="115" t="str">
        <x:v>Detect suspicious activity, compromised identities and malicious workload behaviour.</x:v>
      </x:c>
      <x:c r="K127" s="115" t="str">
        <x:v>Choose this capability when you need to detect suspicious activity, compromised identities and malicious workload behaviour.</x:v>
      </x:c>
      <x:c r="L127" s="115" t="str">
        <x:v>Do you need posture, detection, investigation, SIEM/SOAR, or all of them in one operating model?</x:v>
      </x:c>
      <x:c r="M127" s="115" t="str">
        <x:v>Centralised control and deep integration versus cross-cloud consistency and tool consolidation.</x:v>
      </x:c>
      <x:c r="N127" s="115" t="n">
        <x:v>3</x:v>
      </x:c>
      <x:c r="O127" s="115" t="str">
        <x:v>Moderate</x:v>
      </x:c>
      <x:c r="P127" s="115" t="str">
        <x:v>1–3 weeks</x:v>
      </x:c>
      <x:c r="Q127" s="115" t="str">
        <x:v>Medium</x:v>
      </x:c>
      <x:c r="R127" s="115" t="str">
        <x:v>Amazon GuardDuty</x:v>
      </x:c>
      <x:c r="S127" s="115" t="str">
        <x:v>Microsoft Defender for Cloud
Microsoft Sentinel</x:v>
      </x:c>
      <x:c r="T127" s="115" t="str">
        <x:v>Security Command Center
Google Security Operations</x:v>
      </x:c>
      <x:c r="U127" s="115" t="n">
        <x:v>3.8</x:v>
      </x:c>
      <x:c r="V127" s="115" t="n">
        <x:v>3.92</x:v>
      </x:c>
      <x:c r="W127" s="115" t="n">
        <x:v>3.72</x:v>
      </x:c>
      <x:c r="X127" s="118" t="str">
        <x:v>Context-dependent tie</x:v>
      </x:c>
      <x:c r="Y127" s="115" t="str">
        <x:v>Scores are close: use ecosystem, data gravity, region, skills, commercials and proof-of-value results to decide.</x:v>
      </x:c>
      <x:c r="Z127" s="115" t="str">
        <x:v>Close</x:v>
      </x:c>
      <x:c r="AA127" s="115"/>
      <x:c r="AB127" s="115" t="str">
        <x:v>2026-07-12</x:v>
      </x:c>
      <x:c r="AC127" s="115" t="str">
        <x:v>Scored and mapped</x:v>
      </x:c>
      <x:c r="AD127" s="115" t="str">
        <x:v>https://docs.aws.amazon.com/whitepapers/latest/aws-overview/amazon-web-services-cloud-platform.html</x:v>
      </x:c>
    </x:row>
    <x:row r="128">
      <x:c r="A128" s="115" t="str">
        <x:v>2. Foundation, Infrastructure &amp; Security</x:v>
      </x:c>
      <x:c r="B128" s="115" t="str">
        <x:v>04. Identity, Security, Privacy, Risk &amp; Compliance</x:v>
      </x:c>
      <x:c r="C128" s="115" t="str">
        <x:v>Threat Detection &amp; Security Operations</x:v>
      </x:c>
      <x:c r="D128" s="115" t="str">
        <x:v>Ready &amp; Govern</x:v>
      </x:c>
      <x:c r="E128" s="115" t="str">
        <x:v>Security, Privacy &amp; Compliance
Cost &amp; FinOps
Operations &amp; Support</x:v>
      </x:c>
      <x:c r="F128" s="115" t="str">
        <x:v>02 Security, Identity &amp; Compliance</x:v>
      </x:c>
      <x:c r="G128" s="115" t="str">
        <x:v>Security, Identity &amp; Compliance</x:v>
      </x:c>
      <x:c r="H128" s="115" t="str">
        <x:v>Investigation</x:v>
      </x:c>
      <x:c r="I128" s="115" t="str">
        <x:v>Security investigation</x:v>
      </x:c>
      <x:c r="J128" s="115" t="str">
        <x:v>Correlate security findings and accelerate investigation of potential incidents.</x:v>
      </x:c>
      <x:c r="K128" s="115" t="str">
        <x:v>Choose this capability when you need to correlate security findings and accelerate investigation of potential incidents.</x:v>
      </x:c>
      <x:c r="L128" s="115" t="str">
        <x:v>Do you need posture, detection, investigation, SIEM/SOAR, or all of them in one operating model?</x:v>
      </x:c>
      <x:c r="M128" s="115" t="str">
        <x:v>Centralised control and deep integration versus cross-cloud consistency and tool consolidation.</x:v>
      </x:c>
      <x:c r="N128" s="115" t="n">
        <x:v>3</x:v>
      </x:c>
      <x:c r="O128" s="115" t="str">
        <x:v>Moderate</x:v>
      </x:c>
      <x:c r="P128" s="115" t="str">
        <x:v>1–3 weeks</x:v>
      </x:c>
      <x:c r="Q128" s="115" t="str">
        <x:v>Medium</x:v>
      </x:c>
      <x:c r="R128" s="115" t="str">
        <x:v>Amazon Detective</x:v>
      </x:c>
      <x:c r="S128" s="115" t="str">
        <x:v>Microsoft Sentinel
Microsoft Defender XDR</x:v>
      </x:c>
      <x:c r="T128" s="115" t="str">
        <x:v>Google Security Operations</x:v>
      </x:c>
      <x:c r="U128" s="115" t="n">
        <x:v>3.8</x:v>
      </x:c>
      <x:c r="V128" s="115" t="n">
        <x:v>3.92</x:v>
      </x:c>
      <x:c r="W128" s="115" t="n">
        <x:v>3.81</x:v>
      </x:c>
      <x:c r="X128" s="118" t="str">
        <x:v>Context-dependent tie</x:v>
      </x:c>
      <x:c r="Y128" s="115" t="str">
        <x:v>Scores are close: use ecosystem, data gravity, region, skills, commercials and proof-of-value results to decide.</x:v>
      </x:c>
      <x:c r="Z128" s="115" t="str">
        <x:v>Close</x:v>
      </x:c>
      <x:c r="AA128" s="115"/>
      <x:c r="AB128" s="115" t="str">
        <x:v>2026-07-12</x:v>
      </x:c>
      <x:c r="AC128" s="115" t="str">
        <x:v>Scored and mapped</x:v>
      </x:c>
      <x:c r="AD128" s="115" t="str">
        <x:v>https://docs.aws.amazon.com/whitepapers/latest/aws-overview/amazon-web-services-cloud-platform.html</x:v>
      </x:c>
    </x:row>
    <x:row r="129">
      <x:c r="A129" s="115" t="str">
        <x:v>2. Foundation, Infrastructure &amp; Security</x:v>
      </x:c>
      <x:c r="B129" s="115" t="str">
        <x:v>04. Identity, Security, Privacy, Risk &amp; Compliance</x:v>
      </x:c>
      <x:c r="C129" s="115" t="str">
        <x:v>Threat Detection &amp; Security Operations</x:v>
      </x:c>
      <x:c r="D129" s="115" t="str">
        <x:v>Ready &amp; Govern</x:v>
      </x:c>
      <x:c r="E129" s="115" t="str">
        <x:v>Security, Privacy &amp; Compliance
Cost &amp; FinOps
Operations &amp; Support</x:v>
      </x:c>
      <x:c r="F129" s="115" t="str">
        <x:v>02 Security, Identity &amp; Compliance</x:v>
      </x:c>
      <x:c r="G129" s="115" t="str">
        <x:v>Security, Identity &amp; Compliance</x:v>
      </x:c>
      <x:c r="H129" s="115" t="str">
        <x:v>Vulnerability management</x:v>
      </x:c>
      <x:c r="I129" s="115" t="str">
        <x:v>Workload vulnerability assessment</x:v>
      </x:c>
      <x:c r="J129" s="115" t="str">
        <x:v>Scan virtual machines, containers and software packages for vulnerabilities.</x:v>
      </x:c>
      <x:c r="K129" s="115" t="str">
        <x:v>Choose this capability when you need to scan virtual machines, containers and software packages for vulnerabilities.</x:v>
      </x:c>
      <x:c r="L129" s="115" t="str">
        <x:v>Do you need posture, detection, investigation, SIEM/SOAR, or all of them in one operating model?</x:v>
      </x:c>
      <x:c r="M129" s="115" t="str">
        <x:v>Centralised control and deep integration versus cross-cloud consistency and tool consolidation.</x:v>
      </x:c>
      <x:c r="N129" s="115" t="n">
        <x:v>3</x:v>
      </x:c>
      <x:c r="O129" s="115" t="str">
        <x:v>Moderate</x:v>
      </x:c>
      <x:c r="P129" s="115" t="str">
        <x:v>1–3 weeks</x:v>
      </x:c>
      <x:c r="Q129" s="115" t="str">
        <x:v>Medium</x:v>
      </x:c>
      <x:c r="R129" s="115" t="str">
        <x:v>Amazon Inspector
Amazon ECR image scanning</x:v>
      </x:c>
      <x:c r="S129" s="115" t="str">
        <x:v>Microsoft Defender Vulnerability Management
Defender for Cloud</x:v>
      </x:c>
      <x:c r="T129" s="115" t="str">
        <x:v>Artifact Analysis
Security Command Center</x:v>
      </x:c>
      <x:c r="U129" s="115" t="n">
        <x:v>3.71</x:v>
      </x:c>
      <x:c r="V129" s="115" t="n">
        <x:v>3.92</x:v>
      </x:c>
      <x:c r="W129" s="115" t="n">
        <x:v>3.72</x:v>
      </x:c>
      <x:c r="X129" s="118" t="str">
        <x:v>Azure</x:v>
      </x:c>
      <x:c r="Y129" s="115" t="str">
        <x:v>Start with Azure when Microsoft identity, security, data, productivity or hybrid integration reduces delivery effort.</x:v>
      </x:c>
      <x:c r="Z129" s="115" t="str">
        <x:v>Close</x:v>
      </x:c>
      <x:c r="AA129" s="115"/>
      <x:c r="AB129" s="115" t="str">
        <x:v>2026-07-12</x:v>
      </x:c>
      <x:c r="AC129" s="115" t="str">
        <x:v>Scored and mapped</x:v>
      </x:c>
      <x:c r="AD129" s="115" t="str">
        <x:v>https://docs.aws.amazon.com/whitepapers/latest/aws-overview/amazon-web-services-cloud-platform.html</x:v>
      </x:c>
    </x:row>
    <x:row r="130">
      <x:c r="A130" s="115" t="str">
        <x:v>2. Foundation, Infrastructure &amp; Security</x:v>
      </x:c>
      <x:c r="B130" s="115" t="str">
        <x:v>04. Identity, Security, Privacy, Risk &amp; Compliance</x:v>
      </x:c>
      <x:c r="C130" s="115" t="str">
        <x:v>Data Protection &amp; Privacy</x:v>
      </x:c>
      <x:c r="D130" s="115" t="str">
        <x:v>Ready &amp; Govern</x:v>
      </x:c>
      <x:c r="E130" s="115" t="str">
        <x:v>Security, Privacy &amp; Compliance
Cost &amp; FinOps
Operations &amp; Support</x:v>
      </x:c>
      <x:c r="F130" s="115" t="str">
        <x:v>02 Security, Identity &amp; Compliance</x:v>
      </x:c>
      <x:c r="G130" s="115" t="str">
        <x:v>Security, Identity &amp; Compliance</x:v>
      </x:c>
      <x:c r="H130" s="115" t="str">
        <x:v>Data discovery</x:v>
      </x:c>
      <x:c r="I130" s="115" t="str">
        <x:v>Sensitive-data discovery</x:v>
      </x:c>
      <x:c r="J130" s="115" t="str">
        <x:v>Discover, classify and monitor sensitive data held in cloud services.</x:v>
      </x:c>
      <x:c r="K130" s="115" t="str">
        <x:v>Choose this capability when you need to discover, classify and monitor sensitive data held in cloud services.</x:v>
      </x:c>
      <x:c r="L130" s="115" t="str">
        <x:v>What business outcome, scale, control, integration and operating model justify choosing sensitive-data discovery?</x:v>
      </x:c>
      <x:c r="M130" s="115" t="str">
        <x:v>Centralised control and deep integration versus cross-cloud consistency and tool consolidation.</x:v>
      </x:c>
      <x:c r="N130" s="115" t="n">
        <x:v>3</x:v>
      </x:c>
      <x:c r="O130" s="115" t="str">
        <x:v>Moderate</x:v>
      </x:c>
      <x:c r="P130" s="115" t="str">
        <x:v>1–3 weeks</x:v>
      </x:c>
      <x:c r="Q130" s="115" t="str">
        <x:v>Medium</x:v>
      </x:c>
      <x:c r="R130" s="115" t="str">
        <x:v>Amazon Macie</x:v>
      </x:c>
      <x:c r="S130" s="115" t="str">
        <x:v>Microsoft Purview Information Protection
Microsoft Purview Data Map</x:v>
      </x:c>
      <x:c r="T130" s="115" t="str">
        <x:v>Sensitive Data Protection</x:v>
      </x:c>
      <x:c r="U130" s="115" t="n">
        <x:v>3.82</x:v>
      </x:c>
      <x:c r="V130" s="115" t="n">
        <x:v>3.75</x:v>
      </x:c>
      <x:c r="W130" s="115" t="n">
        <x:v>3.84</x:v>
      </x:c>
      <x:c r="X130" s="118" t="str">
        <x:v>Context-dependent tie</x:v>
      </x:c>
      <x:c r="Y130" s="115" t="str">
        <x:v>Scores are close: use ecosystem, data gravity, region, skills, commercials and proof-of-value results to decide.</x:v>
      </x:c>
      <x:c r="Z130" s="115" t="str">
        <x:v>Close</x:v>
      </x:c>
      <x:c r="AA130" s="115"/>
      <x:c r="AB130" s="115" t="str">
        <x:v>2026-07-12</x:v>
      </x:c>
      <x:c r="AC130" s="115" t="str">
        <x:v>Scored and mapped</x:v>
      </x:c>
      <x:c r="AD130" s="115" t="str">
        <x:v>https://docs.aws.amazon.com/whitepapers/latest/aws-overview/amazon-web-services-cloud-platform.html</x:v>
      </x:c>
    </x:row>
    <x:row r="131">
      <x:c r="A131" s="115" t="str">
        <x:v>2. Foundation, Infrastructure &amp; Security</x:v>
      </x:c>
      <x:c r="B131" s="115" t="str">
        <x:v>04. Identity, Security, Privacy, Risk &amp; Compliance</x:v>
      </x:c>
      <x:c r="C131" s="115" t="str">
        <x:v>Threat Detection &amp; Security Operations</x:v>
      </x:c>
      <x:c r="D131" s="115" t="str">
        <x:v>Ready &amp; Govern</x:v>
      </x:c>
      <x:c r="E131" s="115" t="str">
        <x:v>Security, Privacy &amp; Compliance
Cost &amp; FinOps
Operations &amp; Support</x:v>
      </x:c>
      <x:c r="F131" s="115" t="str">
        <x:v>02 Security, Identity &amp; Compliance</x:v>
      </x:c>
      <x:c r="G131" s="115" t="str">
        <x:v>Security, Identity &amp; Compliance</x:v>
      </x:c>
      <x:c r="H131" s="115" t="str">
        <x:v>SIEM and SOAR</x:v>
      </x:c>
      <x:c r="I131" s="115" t="str">
        <x:v>Cloud-native SIEM and SOAR</x:v>
      </x:c>
      <x:c r="J131" s="115" t="str">
        <x:v>Centralise security telemetry, detect threats and automate incident response.</x:v>
      </x:c>
      <x:c r="K131" s="115" t="str">
        <x:v>Choose this capability when you need to centralise security telemetry, detect threats and automate incident response.</x:v>
      </x:c>
      <x:c r="L131" s="115" t="str">
        <x:v>Do you need posture, detection, investigation, SIEM/SOAR, or all of them in one operating model?</x:v>
      </x:c>
      <x:c r="M131" s="115" t="str">
        <x:v>Centralised control and deep integration versus cross-cloud consistency and tool consolidation.</x:v>
      </x:c>
      <x:c r="N131" s="115" t="n">
        <x:v>2</x:v>
      </x:c>
      <x:c r="O131" s="115" t="str">
        <x:v>Advanced</x:v>
      </x:c>
      <x:c r="P131" s="115" t="str">
        <x:v>3–8 weeks</x:v>
      </x:c>
      <x:c r="Q131" s="115" t="str">
        <x:v>Medium</x:v>
      </x:c>
      <x:c r="R131" s="115" t="str">
        <x:v>Amazon Security Lake
Amazon OpenSearch Service
partner SIEM</x:v>
      </x:c>
      <x:c r="S131" s="115" t="str">
        <x:v>Microsoft Sentinel</x:v>
      </x:c>
      <x:c r="T131" s="115" t="str">
        <x:v>Google Security Operations</x:v>
      </x:c>
      <x:c r="U131" s="115" t="n">
        <x:v>2.95</x:v>
      </x:c>
      <x:c r="V131" s="115" t="n">
        <x:v>3.62</x:v>
      </x:c>
      <x:c r="W131" s="115" t="n">
        <x:v>3.4</x:v>
      </x:c>
      <x:c r="X131" s="118" t="str">
        <x:v>Azure</x:v>
      </x:c>
      <x:c r="Y131" s="115" t="str">
        <x:v>Start with Azure when Microsoft identity, security, data, productivity or hybrid integration reduces delivery effort.</x:v>
      </x:c>
      <x:c r="Z131" s="115" t="str">
        <x:v>Partial</x:v>
      </x:c>
      <x:c r="AA131" s="115" t="str">
        <x:v>AWS provides the data lake and analytics building blocks but does not position one identical first-party SIEM product.</x:v>
      </x:c>
      <x:c r="AB131" s="115" t="str">
        <x:v>2026-07-12</x:v>
      </x:c>
      <x:c r="AC131" s="115" t="str">
        <x:v>Scored and mapped</x:v>
      </x:c>
      <x:c r="AD131" s="115" t="str">
        <x:v>https://docs.aws.amazon.com/whitepapers/latest/aws-overview/amazon-web-services-cloud-platform.html</x:v>
      </x:c>
    </x:row>
    <x:row r="132">
      <x:c r="A132" s="115" t="str">
        <x:v>2. Foundation, Infrastructure &amp; Security</x:v>
      </x:c>
      <x:c r="B132" s="115" t="str">
        <x:v>04. Identity, Security, Privacy, Risk &amp; Compliance</x:v>
      </x:c>
      <x:c r="C132" s="115" t="str">
        <x:v>Threat Detection &amp; Security Operations</x:v>
      </x:c>
      <x:c r="D132" s="115" t="str">
        <x:v>Ready &amp; Govern</x:v>
      </x:c>
      <x:c r="E132" s="115" t="str">
        <x:v>Security, Privacy &amp; Compliance
Cost &amp; FinOps
Operations &amp; Support</x:v>
      </x:c>
      <x:c r="F132" s="115" t="str">
        <x:v>02 Security, Identity &amp; Compliance</x:v>
      </x:c>
      <x:c r="G132" s="115" t="str">
        <x:v>Security, Identity &amp; Compliance</x:v>
      </x:c>
      <x:c r="H132" s="115" t="str">
        <x:v>Security data lake</x:v>
      </x:c>
      <x:c r="I132" s="115" t="str">
        <x:v>Security telemetry lake</x:v>
      </x:c>
      <x:c r="J132" s="115" t="str">
        <x:v>Centralise normalised security logs and findings for analytics and detection.</x:v>
      </x:c>
      <x:c r="K132" s="115" t="str">
        <x:v>Choose this capability when you need to centralise normalised security logs and findings for analytics and detection.</x:v>
      </x:c>
      <x:c r="L132" s="115" t="str">
        <x:v>Do you need posture, detection, investigation, SIEM/SOAR, or all of them in one operating model?</x:v>
      </x:c>
      <x:c r="M132" s="115" t="str">
        <x:v>Centralised control and deep integration versus cross-cloud consistency and tool consolidation.</x:v>
      </x:c>
      <x:c r="N132" s="115" t="n">
        <x:v>3</x:v>
      </x:c>
      <x:c r="O132" s="115" t="str">
        <x:v>Moderate</x:v>
      </x:c>
      <x:c r="P132" s="115" t="str">
        <x:v>1–3 weeks</x:v>
      </x:c>
      <x:c r="Q132" s="115" t="str">
        <x:v>Medium</x:v>
      </x:c>
      <x:c r="R132" s="115" t="str">
        <x:v>Amazon Security Lake</x:v>
      </x:c>
      <x:c r="S132" s="115" t="str">
        <x:v>Microsoft Sentinel data lake
Microsoft Fabric</x:v>
      </x:c>
      <x:c r="T132" s="115" t="str">
        <x:v>Google Security Operations</x:v>
      </x:c>
      <x:c r="U132" s="115" t="n">
        <x:v>3.8</x:v>
      </x:c>
      <x:c r="V132" s="115" t="n">
        <x:v>3.94</x:v>
      </x:c>
      <x:c r="W132" s="115" t="n">
        <x:v>3.95</x:v>
      </x:c>
      <x:c r="X132" s="118" t="str">
        <x:v>Context-dependent tie</x:v>
      </x:c>
      <x:c r="Y132" s="115" t="str">
        <x:v>Scores are close: use ecosystem, data gravity, region, skills, commercials and proof-of-value results to decide.</x:v>
      </x:c>
      <x:c r="Z132" s="115" t="str">
        <x:v>Close</x:v>
      </x:c>
      <x:c r="AA132" s="115"/>
      <x:c r="AB132" s="115" t="str">
        <x:v>2026-07-12</x:v>
      </x:c>
      <x:c r="AC132" s="115" t="str">
        <x:v>Scored and mapped</x:v>
      </x:c>
      <x:c r="AD132" s="115" t="str">
        <x:v>https://docs.aws.amazon.com/whitepapers/latest/aws-overview/amazon-web-services-cloud-platform.html</x:v>
      </x:c>
    </x:row>
    <x:row r="133">
      <x:c r="A133" s="115" t="str">
        <x:v>2. Foundation, Infrastructure &amp; Security</x:v>
      </x:c>
      <x:c r="B133" s="115" t="str">
        <x:v>04. Identity, Security, Privacy, Risk &amp; Compliance</x:v>
      </x:c>
      <x:c r="C133" s="115" t="str">
        <x:v>Network &amp; Application Security</x:v>
      </x:c>
      <x:c r="D133" s="115" t="str">
        <x:v>Ready &amp; Govern</x:v>
      </x:c>
      <x:c r="E133" s="115" t="str">
        <x:v>Security, Privacy &amp; Compliance
Cost &amp; FinOps
Operations &amp; Support</x:v>
      </x:c>
      <x:c r="F133" s="115" t="str">
        <x:v>02 Security, Identity &amp; Compliance</x:v>
      </x:c>
      <x:c r="G133" s="115" t="str">
        <x:v>Security, Identity &amp; Compliance</x:v>
      </x:c>
      <x:c r="H133" s="115" t="str">
        <x:v>Network security</x:v>
      </x:c>
      <x:c r="I133" s="115" t="str">
        <x:v>Managed network firewall</x:v>
      </x:c>
      <x:c r="J133" s="115" t="str">
        <x:v>Inspect and filter network traffic using managed firewall policies.</x:v>
      </x:c>
      <x:c r="K133" s="115" t="str">
        <x:v>Choose this capability when you need to inspect and filter network traffic using managed firewall policies.</x:v>
      </x:c>
      <x:c r="L133" s="115" t="str">
        <x:v>What business outcome, scale, control, integration and operating model justify choosing managed network firewall?</x:v>
      </x:c>
      <x:c r="M133" s="115" t="str">
        <x:v>Centralised control and deep integration versus cross-cloud consistency and tool consolidation.</x:v>
      </x:c>
      <x:c r="N133" s="115" t="n">
        <x:v>3</x:v>
      </x:c>
      <x:c r="O133" s="115" t="str">
        <x:v>Moderate</x:v>
      </x:c>
      <x:c r="P133" s="115" t="str">
        <x:v>1–3 weeks</x:v>
      </x:c>
      <x:c r="Q133" s="115" t="str">
        <x:v>Medium</x:v>
      </x:c>
      <x:c r="R133" s="115" t="str">
        <x:v>AWS Network Firewall</x:v>
      </x:c>
      <x:c r="S133" s="115" t="str">
        <x:v>Azure Firewall</x:v>
      </x:c>
      <x:c r="T133" s="115" t="str">
        <x:v>Cloud Next Generation Firewall</x:v>
      </x:c>
      <x:c r="U133" s="115" t="n">
        <x:v>3.94</x:v>
      </x:c>
      <x:c r="V133" s="115" t="n">
        <x:v>3.97</x:v>
      </x:c>
      <x:c r="W133" s="115" t="n">
        <x:v>3.91</x:v>
      </x:c>
      <x:c r="X133" s="118" t="str">
        <x:v>Context-dependent tie</x:v>
      </x:c>
      <x:c r="Y133" s="115" t="str">
        <x:v>Scores are close: use ecosystem, data gravity, region, skills, commercials and proof-of-value results to decide.</x:v>
      </x:c>
      <x:c r="Z133" s="115" t="str">
        <x:v>Exact</x:v>
      </x:c>
      <x:c r="AA133" s="115"/>
      <x:c r="AB133" s="115" t="str">
        <x:v>2026-07-12</x:v>
      </x:c>
      <x:c r="AC133" s="115" t="str">
        <x:v>Scored and mapped</x:v>
      </x:c>
      <x:c r="AD133" s="115" t="str">
        <x:v>https://docs.aws.amazon.com/whitepapers/latest/aws-overview/amazon-web-services-cloud-platform.html</x:v>
      </x:c>
    </x:row>
    <x:row r="134">
      <x:c r="A134" s="115" t="str">
        <x:v>2. Foundation, Infrastructure &amp; Security</x:v>
      </x:c>
      <x:c r="B134" s="115" t="str">
        <x:v>04. Identity, Security, Privacy, Risk &amp; Compliance</x:v>
      </x:c>
      <x:c r="C134" s="115" t="str">
        <x:v>Network &amp; Application Security</x:v>
      </x:c>
      <x:c r="D134" s="115" t="str">
        <x:v>Ready &amp; Govern</x:v>
      </x:c>
      <x:c r="E134" s="115" t="str">
        <x:v>Security, Privacy &amp; Compliance
Cost &amp; FinOps
Operations &amp; Support</x:v>
      </x:c>
      <x:c r="F134" s="115" t="str">
        <x:v>02 Security, Identity &amp; Compliance</x:v>
      </x:c>
      <x:c r="G134" s="115" t="str">
        <x:v>Security, Identity &amp; Compliance</x:v>
      </x:c>
      <x:c r="H134" s="115" t="str">
        <x:v>Web security</x:v>
      </x:c>
      <x:c r="I134" s="115" t="str">
        <x:v>Web application firewall</x:v>
      </x:c>
      <x:c r="J134" s="115" t="str">
        <x:v>Protect web applications from common exploits and malicious HTTP traffic.</x:v>
      </x:c>
      <x:c r="K134" s="115" t="str">
        <x:v>Choose this capability when you need to protect web applications from common exploits and malicious http traffic.</x:v>
      </x:c>
      <x:c r="L134" s="115" t="str">
        <x:v>What business outcome, scale, control, integration and operating model justify choosing web application firewall?</x:v>
      </x:c>
      <x:c r="M134" s="115" t="str">
        <x:v>Centralised control and deep integration versus cross-cloud consistency and tool consolidation.</x:v>
      </x:c>
      <x:c r="N134" s="115" t="n">
        <x:v>3</x:v>
      </x:c>
      <x:c r="O134" s="115" t="str">
        <x:v>Moderate</x:v>
      </x:c>
      <x:c r="P134" s="115" t="str">
        <x:v>1–3 weeks</x:v>
      </x:c>
      <x:c r="Q134" s="115" t="str">
        <x:v>Medium</x:v>
      </x:c>
      <x:c r="R134" s="115" t="str">
        <x:v>AWS WAF</x:v>
      </x:c>
      <x:c r="S134" s="115" t="str">
        <x:v>Azure Web Application Firewall</x:v>
      </x:c>
      <x:c r="T134" s="115" t="str">
        <x:v>Cloud Armor</x:v>
      </x:c>
      <x:c r="U134" s="115" t="n">
        <x:v>3.94</x:v>
      </x:c>
      <x:c r="V134" s="115" t="n">
        <x:v>3.97</x:v>
      </x:c>
      <x:c r="W134" s="115" t="n">
        <x:v>3.91</x:v>
      </x:c>
      <x:c r="X134" s="118" t="str">
        <x:v>Context-dependent tie</x:v>
      </x:c>
      <x:c r="Y134" s="115" t="str">
        <x:v>Scores are close: use ecosystem, data gravity, region, skills, commercials and proof-of-value results to decide.</x:v>
      </x:c>
      <x:c r="Z134" s="115" t="str">
        <x:v>Exact</x:v>
      </x:c>
      <x:c r="AA134" s="115"/>
      <x:c r="AB134" s="115" t="str">
        <x:v>2026-07-12</x:v>
      </x:c>
      <x:c r="AC134" s="115" t="str">
        <x:v>Scored and mapped</x:v>
      </x:c>
      <x:c r="AD134" s="115" t="str">
        <x:v>https://docs.aws.amazon.com/whitepapers/latest/aws-overview/amazon-web-services-cloud-platform.html</x:v>
      </x:c>
    </x:row>
    <x:row r="135">
      <x:c r="A135" s="115" t="str">
        <x:v>2. Foundation, Infrastructure &amp; Security</x:v>
      </x:c>
      <x:c r="B135" s="115" t="str">
        <x:v>04. Identity, Security, Privacy, Risk &amp; Compliance</x:v>
      </x:c>
      <x:c r="C135" s="115" t="str">
        <x:v>Network &amp; Application Security</x:v>
      </x:c>
      <x:c r="D135" s="115" t="str">
        <x:v>Ready &amp; Govern</x:v>
      </x:c>
      <x:c r="E135" s="115" t="str">
        <x:v>Security, Privacy &amp; Compliance
Cost &amp; FinOps
Operations &amp; Support</x:v>
      </x:c>
      <x:c r="F135" s="115" t="str">
        <x:v>02 Security, Identity &amp; Compliance</x:v>
      </x:c>
      <x:c r="G135" s="115" t="str">
        <x:v>Security, Identity &amp; Compliance</x:v>
      </x:c>
      <x:c r="H135" s="115" t="str">
        <x:v>DDoS</x:v>
      </x:c>
      <x:c r="I135" s="115" t="str">
        <x:v>DDoS protection</x:v>
      </x:c>
      <x:c r="J135" s="115" t="str">
        <x:v>Detect and mitigate volumetric and protocol denial-of-service attacks.</x:v>
      </x:c>
      <x:c r="K135" s="115" t="str">
        <x:v>Choose this capability when you need to detect and mitigate volumetric and protocol denial-of-service attacks.</x:v>
      </x:c>
      <x:c r="L135" s="115" t="str">
        <x:v>What business outcome, scale, control, integration and operating model justify choosing ddos protection?</x:v>
      </x:c>
      <x:c r="M135" s="115" t="str">
        <x:v>Centralised control and deep integration versus cross-cloud consistency and tool consolidation.</x:v>
      </x:c>
      <x:c r="N135" s="115" t="n">
        <x:v>3</x:v>
      </x:c>
      <x:c r="O135" s="115" t="str">
        <x:v>Moderate</x:v>
      </x:c>
      <x:c r="P135" s="115" t="str">
        <x:v>1–3 weeks</x:v>
      </x:c>
      <x:c r="Q135" s="115" t="str">
        <x:v>Medium</x:v>
      </x:c>
      <x:c r="R135" s="115" t="str">
        <x:v>AWS Shield</x:v>
      </x:c>
      <x:c r="S135" s="115" t="str">
        <x:v>Azure DDoS Protection</x:v>
      </x:c>
      <x:c r="T135" s="115" t="str">
        <x:v>Cloud Armor</x:v>
      </x:c>
      <x:c r="U135" s="115" t="n">
        <x:v>3.87</x:v>
      </x:c>
      <x:c r="V135" s="115" t="n">
        <x:v>3.91</x:v>
      </x:c>
      <x:c r="W135" s="115" t="n">
        <x:v>3.84</x:v>
      </x:c>
      <x:c r="X135" s="118" t="str">
        <x:v>Context-dependent tie</x:v>
      </x:c>
      <x:c r="Y135" s="115" t="str">
        <x:v>Scores are close: use ecosystem, data gravity, region, skills, commercials and proof-of-value results to decide.</x:v>
      </x:c>
      <x:c r="Z135" s="115" t="str">
        <x:v>Close</x:v>
      </x:c>
      <x:c r="AA135" s="115"/>
      <x:c r="AB135" s="115" t="str">
        <x:v>2026-07-12</x:v>
      </x:c>
      <x:c r="AC135" s="115" t="str">
        <x:v>Scored and mapped</x:v>
      </x:c>
      <x:c r="AD135" s="115" t="str">
        <x:v>https://docs.aws.amazon.com/whitepapers/latest/aws-overview/amazon-web-services-cloud-platform.html</x:v>
      </x:c>
    </x:row>
    <x:row r="136">
      <x:c r="A136" s="115" t="str">
        <x:v>2. Foundation, Infrastructure &amp; Security</x:v>
      </x:c>
      <x:c r="B136" s="115" t="str">
        <x:v>04. Identity, Security, Privacy, Risk &amp; Compliance</x:v>
      </x:c>
      <x:c r="C136" s="115" t="str">
        <x:v>Network &amp; Application Security</x:v>
      </x:c>
      <x:c r="D136" s="115" t="str">
        <x:v>Ready &amp; Govern</x:v>
      </x:c>
      <x:c r="E136" s="115" t="str">
        <x:v>Security, Privacy &amp; Compliance
Cost &amp; FinOps
Operations &amp; Support</x:v>
      </x:c>
      <x:c r="F136" s="115" t="str">
        <x:v>02 Security, Identity &amp; Compliance</x:v>
      </x:c>
      <x:c r="G136" s="115" t="str">
        <x:v>Security, Identity &amp; Compliance</x:v>
      </x:c>
      <x:c r="H136" s="115" t="str">
        <x:v>Firewall governance</x:v>
      </x:c>
      <x:c r="I136" s="115" t="str">
        <x:v>Central firewall policy management</x:v>
      </x:c>
      <x:c r="J136" s="115" t="str">
        <x:v>Centrally deploy and govern firewall and web-protection policies.</x:v>
      </x:c>
      <x:c r="K136" s="115" t="str">
        <x:v>Choose this capability when you need to centrally deploy and govern firewall and web-protection policies.</x:v>
      </x:c>
      <x:c r="L136" s="115" t="str">
        <x:v>What business outcome, scale, control, integration and operating model justify choosing central firewall policy management?</x:v>
      </x:c>
      <x:c r="M136" s="115" t="str">
        <x:v>Centralised control and deep integration versus cross-cloud consistency and tool consolidation.</x:v>
      </x:c>
      <x:c r="N136" s="115" t="n">
        <x:v>3</x:v>
      </x:c>
      <x:c r="O136" s="115" t="str">
        <x:v>Moderate</x:v>
      </x:c>
      <x:c r="P136" s="115" t="str">
        <x:v>1–3 weeks</x:v>
      </x:c>
      <x:c r="Q136" s="115" t="str">
        <x:v>Medium</x:v>
      </x:c>
      <x:c r="R136" s="115" t="str">
        <x:v>AWS Firewall Manager</x:v>
      </x:c>
      <x:c r="S136" s="115" t="str">
        <x:v>Azure Firewall Manager</x:v>
      </x:c>
      <x:c r="T136" s="115" t="str">
        <x:v>Network Security integration in Cloud NGFW</x:v>
      </x:c>
      <x:c r="U136" s="115" t="n">
        <x:v>3.87</x:v>
      </x:c>
      <x:c r="V136" s="115" t="n">
        <x:v>3.91</x:v>
      </x:c>
      <x:c r="W136" s="115" t="n">
        <x:v>3.84</x:v>
      </x:c>
      <x:c r="X136" s="118" t="str">
        <x:v>Context-dependent tie</x:v>
      </x:c>
      <x:c r="Y136" s="115" t="str">
        <x:v>Scores are close: use ecosystem, data gravity, region, skills, commercials and proof-of-value results to decide.</x:v>
      </x:c>
      <x:c r="Z136" s="115" t="str">
        <x:v>Close</x:v>
      </x:c>
      <x:c r="AA136" s="115"/>
      <x:c r="AB136" s="115" t="str">
        <x:v>2026-07-12</x:v>
      </x:c>
      <x:c r="AC136" s="115" t="str">
        <x:v>Scored and mapped</x:v>
      </x:c>
      <x:c r="AD136" s="115" t="str">
        <x:v>https://docs.aws.amazon.com/whitepapers/latest/aws-overview/amazon-web-services-cloud-platform.html</x:v>
      </x:c>
    </x:row>
    <x:row r="137">
      <x:c r="A137" s="115" t="str">
        <x:v>2. Foundation, Infrastructure &amp; Security</x:v>
      </x:c>
      <x:c r="B137" s="115" t="str">
        <x:v>04. Identity, Security, Privacy, Risk &amp; Compliance</x:v>
      </x:c>
      <x:c r="C137" s="115" t="str">
        <x:v>Network &amp; Application Security</x:v>
      </x:c>
      <x:c r="D137" s="115" t="str">
        <x:v>Ready &amp; Govern</x:v>
      </x:c>
      <x:c r="E137" s="115" t="str">
        <x:v>Security, Privacy &amp; Compliance
Cost &amp; FinOps
Operations &amp; Support</x:v>
      </x:c>
      <x:c r="F137" s="115" t="str">
        <x:v>02 Security, Identity &amp; Compliance</x:v>
      </x:c>
      <x:c r="G137" s="115" t="str">
        <x:v>Security, Identity &amp; Compliance</x:v>
      </x:c>
      <x:c r="H137" s="115" t="str">
        <x:v>Bastion access</x:v>
      </x:c>
      <x:c r="I137" s="115" t="str">
        <x:v>Managed bastion access</x:v>
      </x:c>
      <x:c r="J137" s="115" t="str">
        <x:v>Provide controlled administrative access to private virtual machines.</x:v>
      </x:c>
      <x:c r="K137" s="115" t="str">
        <x:v>Choose this capability when you need to provide controlled administrative access to private virtual machines.</x:v>
      </x:c>
      <x:c r="L137" s="115" t="str">
        <x:v>What business outcome, scale, control, integration and operating model justify choosing managed bastion access?</x:v>
      </x:c>
      <x:c r="M137" s="115" t="str">
        <x:v>Centralised control and deep integration versus cross-cloud consistency and tool consolidation.</x:v>
      </x:c>
      <x:c r="N137" s="115" t="n">
        <x:v>3</x:v>
      </x:c>
      <x:c r="O137" s="115" t="str">
        <x:v>Moderate</x:v>
      </x:c>
      <x:c r="P137" s="115" t="str">
        <x:v>1–3 weeks</x:v>
      </x:c>
      <x:c r="Q137" s="115" t="str">
        <x:v>Medium</x:v>
      </x:c>
      <x:c r="R137" s="115" t="str">
        <x:v>AWS Systems Manager Session Manager
EC2 Instance Connect Endpoint</x:v>
      </x:c>
      <x:c r="S137" s="115" t="str">
        <x:v>Azure Bastion</x:v>
      </x:c>
      <x:c r="T137" s="115" t="str">
        <x:v>Identity-Aware Proxy TCP forwarding</x:v>
      </x:c>
      <x:c r="U137" s="115" t="n">
        <x:v>3.77</x:v>
      </x:c>
      <x:c r="V137" s="115" t="n">
        <x:v>3.91</x:v>
      </x:c>
      <x:c r="W137" s="115" t="n">
        <x:v>3.84</x:v>
      </x:c>
      <x:c r="X137" s="118" t="str">
        <x:v>Context-dependent tie</x:v>
      </x:c>
      <x:c r="Y137" s="115" t="str">
        <x:v>Scores are close: use ecosystem, data gravity, region, skills, commercials and proof-of-value results to decide.</x:v>
      </x:c>
      <x:c r="Z137" s="115" t="str">
        <x:v>Close</x:v>
      </x:c>
      <x:c r="AA137" s="115"/>
      <x:c r="AB137" s="115" t="str">
        <x:v>2026-07-12</x:v>
      </x:c>
      <x:c r="AC137" s="115" t="str">
        <x:v>Scored and mapped</x:v>
      </x:c>
      <x:c r="AD137" s="115" t="str">
        <x:v>https://docs.aws.amazon.com/whitepapers/latest/aws-overview/amazon-web-services-cloud-platform.html</x:v>
      </x:c>
    </x:row>
    <x:row r="138">
      <x:c r="A138" s="115" t="str">
        <x:v>2. Foundation, Infrastructure &amp; Security</x:v>
      </x:c>
      <x:c r="B138" s="115" t="str">
        <x:v>04. Identity, Security, Privacy, Risk &amp; Compliance</x:v>
      </x:c>
      <x:c r="C138" s="115" t="str">
        <x:v>Threat Detection &amp; Security Operations</x:v>
      </x:c>
      <x:c r="D138" s="115" t="str">
        <x:v>Ready &amp; Govern</x:v>
      </x:c>
      <x:c r="E138" s="115" t="str">
        <x:v>Security, Privacy &amp; Compliance
Cost &amp; FinOps
Operations &amp; Support</x:v>
      </x:c>
      <x:c r="F138" s="115" t="str">
        <x:v>02 Security, Identity &amp; Compliance</x:v>
      </x:c>
      <x:c r="G138" s="115" t="str">
        <x:v>Security, Identity &amp; Compliance</x:v>
      </x:c>
      <x:c r="H138" s="115" t="str">
        <x:v>Confidential computing</x:v>
      </x:c>
      <x:c r="I138" s="115" t="str">
        <x:v>Confidential virtual machines</x:v>
      </x:c>
      <x:c r="J138" s="115" t="str">
        <x:v>Protect data in use with hardware-backed trusted execution environments.</x:v>
      </x:c>
      <x:c r="K138" s="115" t="str">
        <x:v>Choose this capability when you need to protect data in use with hardware-backed trusted execution environments.</x:v>
      </x:c>
      <x:c r="L138" s="115" t="str">
        <x:v>Do you need posture, detection, investigation, SIEM/SOAR, or all of them in one operating model?</x:v>
      </x:c>
      <x:c r="M138" s="115" t="str">
        <x:v>Centralised control and deep integration versus cross-cloud consistency and tool consolidation.</x:v>
      </x:c>
      <x:c r="N138" s="115" t="n">
        <x:v>2</x:v>
      </x:c>
      <x:c r="O138" s="115" t="str">
        <x:v>Advanced</x:v>
      </x:c>
      <x:c r="P138" s="115" t="str">
        <x:v>3–8 weeks</x:v>
      </x:c>
      <x:c r="Q138" s="115" t="str">
        <x:v>Low</x:v>
      </x:c>
      <x:c r="R138" s="115" t="str">
        <x:v>AWS Nitro Enclaves
confidential EC2 instances</x:v>
      </x:c>
      <x:c r="S138" s="115" t="str">
        <x:v>Azure Confidential Computing</x:v>
      </x:c>
      <x:c r="T138" s="115" t="str">
        <x:v>Confidential VM
Confidential Computing</x:v>
      </x:c>
      <x:c r="U138" s="115" t="n">
        <x:v>3.64</x:v>
      </x:c>
      <x:c r="V138" s="115" t="n">
        <x:v>3.9</x:v>
      </x:c>
      <x:c r="W138" s="115" t="n">
        <x:v>3.58</x:v>
      </x:c>
      <x:c r="X138" s="118" t="str">
        <x:v>Azure</x:v>
      </x:c>
      <x:c r="Y138" s="115" t="str">
        <x:v>Start with Azure when Microsoft identity, security, data, productivity or hybrid integration reduces delivery effort.</x:v>
      </x:c>
      <x:c r="Z138" s="115" t="str">
        <x:v>Close</x:v>
      </x:c>
      <x:c r="AA138" s="115"/>
      <x:c r="AB138" s="115" t="str">
        <x:v>2026-07-12</x:v>
      </x:c>
      <x:c r="AC138" s="115" t="str">
        <x:v>Scored and mapped</x:v>
      </x:c>
      <x:c r="AD138" s="115" t="str">
        <x:v>https://docs.aws.amazon.com/whitepapers/latest/aws-overview/amazon-web-services-cloud-platform.html</x:v>
      </x:c>
    </x:row>
    <x:row r="139">
      <x:c r="A139" s="115" t="str">
        <x:v>2. Foundation, Infrastructure &amp; Security</x:v>
      </x:c>
      <x:c r="B139" s="115" t="str">
        <x:v>04. Identity, Security, Privacy, Risk &amp; Compliance</x:v>
      </x:c>
      <x:c r="C139" s="115" t="str">
        <x:v>Cryptography, Keys &amp; Secrets</x:v>
      </x:c>
      <x:c r="D139" s="115" t="str">
        <x:v>Ready &amp; Govern</x:v>
      </x:c>
      <x:c r="E139" s="115" t="str">
        <x:v>Security, Privacy &amp; Compliance
Cost &amp; FinOps
Operations &amp; Support</x:v>
      </x:c>
      <x:c r="F139" s="115" t="str">
        <x:v>02 Security, Identity &amp; Compliance</x:v>
      </x:c>
      <x:c r="G139" s="115" t="str">
        <x:v>Security, Identity &amp; Compliance</x:v>
      </x:c>
      <x:c r="H139" s="115" t="str">
        <x:v>Attestation</x:v>
      </x:c>
      <x:c r="I139" s="115" t="str">
        <x:v>Trusted environment attestation</x:v>
      </x:c>
      <x:c r="J139" s="115" t="str">
        <x:v>Verify the integrity and trust state of confidential-computing environments.</x:v>
      </x:c>
      <x:c r="K139" s="115" t="str">
        <x:v>Choose this capability when you need to verify the integrity and trust state of confidential-computing environments.</x:v>
      </x:c>
      <x:c r="L139" s="115" t="str">
        <x:v>What business outcome, scale, control, integration and operating model justify choosing trusted environment attestation?</x:v>
      </x:c>
      <x:c r="M139" s="115" t="str">
        <x:v>Centralised control and deep integration versus cross-cloud consistency and tool consolidation.</x:v>
      </x:c>
      <x:c r="N139" s="115" t="n">
        <x:v>3</x:v>
      </x:c>
      <x:c r="O139" s="115" t="str">
        <x:v>Moderate</x:v>
      </x:c>
      <x:c r="P139" s="115" t="str">
        <x:v>1–3 weeks</x:v>
      </x:c>
      <x:c r="Q139" s="115" t="str">
        <x:v>Medium</x:v>
      </x:c>
      <x:c r="R139" s="115" t="str">
        <x:v>AWS Nitro Enclaves attestation</x:v>
      </x:c>
      <x:c r="S139" s="115" t="str">
        <x:v>Azure Attestation</x:v>
      </x:c>
      <x:c r="T139" s="115" t="str">
        <x:v>Confidential Space attestation</x:v>
      </x:c>
      <x:c r="U139" s="115" t="n">
        <x:v>3.82</x:v>
      </x:c>
      <x:c r="V139" s="115" t="n">
        <x:v>3.84</x:v>
      </x:c>
      <x:c r="W139" s="115" t="n">
        <x:v>3.81</x:v>
      </x:c>
      <x:c r="X139" s="118" t="str">
        <x:v>Context-dependent tie</x:v>
      </x:c>
      <x:c r="Y139" s="115" t="str">
        <x:v>Scores are close: use ecosystem, data gravity, region, skills, commercials and proof-of-value results to decide.</x:v>
      </x:c>
      <x:c r="Z139" s="115" t="str">
        <x:v>Close</x:v>
      </x:c>
      <x:c r="AA139" s="115"/>
      <x:c r="AB139" s="115" t="str">
        <x:v>2026-07-12</x:v>
      </x:c>
      <x:c r="AC139" s="115" t="str">
        <x:v>Scored and mapped</x:v>
      </x:c>
      <x:c r="AD139" s="115" t="str">
        <x:v>https://docs.aws.amazon.com/whitepapers/latest/aws-overview/amazon-web-services-cloud-platform.html</x:v>
      </x:c>
    </x:row>
    <x:row r="140">
      <x:c r="A140" s="115" t="str">
        <x:v>2. Foundation, Infrastructure &amp; Security</x:v>
      </x:c>
      <x:c r="B140" s="115" t="str">
        <x:v>04. Identity, Security, Privacy, Risk &amp; Compliance</x:v>
      </x:c>
      <x:c r="C140" s="115" t="str">
        <x:v>Governance, Posture &amp; Compliance</x:v>
      </x:c>
      <x:c r="D140" s="115" t="str">
        <x:v>Ready &amp; Govern</x:v>
      </x:c>
      <x:c r="E140" s="115" t="str">
        <x:v>Security, Privacy &amp; Compliance
Cost &amp; FinOps
Operations &amp; Support</x:v>
      </x:c>
      <x:c r="F140" s="115" t="str">
        <x:v>02 Security, Identity &amp; Compliance</x:v>
      </x:c>
      <x:c r="G140" s="115" t="str">
        <x:v>Security, Identity &amp; Compliance</x:v>
      </x:c>
      <x:c r="H140" s="115" t="str">
        <x:v>Compliance evidence</x:v>
      </x:c>
      <x:c r="I140" s="115" t="str">
        <x:v>Compliance reports and evidence</x:v>
      </x:c>
      <x:c r="J140" s="115" t="str">
        <x:v>Access provider compliance reports and collect audit evidence.</x:v>
      </x:c>
      <x:c r="K140" s="115" t="str">
        <x:v>Choose this capability when you need to access provider compliance reports and collect audit evidence.</x:v>
      </x:c>
      <x:c r="L140" s="115" t="str">
        <x:v>What business outcome, scale, control, integration and operating model justify choosing compliance reports and evidence?</x:v>
      </x:c>
      <x:c r="M140" s="115" t="str">
        <x:v>Centralised control and deep integration versus cross-cloud consistency and tool consolidation.</x:v>
      </x:c>
      <x:c r="N140" s="115" t="n">
        <x:v>3</x:v>
      </x:c>
      <x:c r="O140" s="115" t="str">
        <x:v>Moderate</x:v>
      </x:c>
      <x:c r="P140" s="115" t="str">
        <x:v>1–3 weeks</x:v>
      </x:c>
      <x:c r="Q140" s="115" t="str">
        <x:v>Medium</x:v>
      </x:c>
      <x:c r="R140" s="115" t="str">
        <x:v>AWS Artifact
AWS Audit Manager</x:v>
      </x:c>
      <x:c r="S140" s="115" t="str">
        <x:v>Microsoft Service Trust Portal
Microsoft Purview Compliance Manager</x:v>
      </x:c>
      <x:c r="T140" s="115" t="str">
        <x:v>Compliance Reports Manager
Audit Manager</x:v>
      </x:c>
      <x:c r="U140" s="115" t="n">
        <x:v>3.73</x:v>
      </x:c>
      <x:c r="V140" s="115" t="n">
        <x:v>3.85</x:v>
      </x:c>
      <x:c r="W140" s="115" t="n">
        <x:v>3.72</x:v>
      </x:c>
      <x:c r="X140" s="118" t="str">
        <x:v>Context-dependent tie</x:v>
      </x:c>
      <x:c r="Y140" s="115" t="str">
        <x:v>Scores are close: use ecosystem, data gravity, region, skills, commercials and proof-of-value results to decide.</x:v>
      </x:c>
      <x:c r="Z140" s="115" t="str">
        <x:v>Close</x:v>
      </x:c>
      <x:c r="AA140" s="115"/>
      <x:c r="AB140" s="115" t="str">
        <x:v>2026-07-12</x:v>
      </x:c>
      <x:c r="AC140" s="115" t="str">
        <x:v>Scored and mapped</x:v>
      </x:c>
      <x:c r="AD140" s="115" t="str">
        <x:v>https://docs.aws.amazon.com/whitepapers/latest/aws-overview/amazon-web-services-cloud-platform.html</x:v>
      </x:c>
    </x:row>
    <x:row r="141">
      <x:c r="A141" s="115" t="str">
        <x:v>2. Foundation, Infrastructure &amp; Security</x:v>
      </x:c>
      <x:c r="B141" s="115" t="str">
        <x:v>04. Identity, Security, Privacy, Risk &amp; Compliance</x:v>
      </x:c>
      <x:c r="C141" s="115" t="str">
        <x:v>Governance, Posture &amp; Compliance</x:v>
      </x:c>
      <x:c r="D141" s="115" t="str">
        <x:v>Ready &amp; Govern</x:v>
      </x:c>
      <x:c r="E141" s="115" t="str">
        <x:v>Security, Privacy &amp; Compliance
Cost &amp; FinOps
Operations &amp; Support</x:v>
      </x:c>
      <x:c r="F141" s="115" t="str">
        <x:v>02 Security, Identity &amp; Compliance</x:v>
      </x:c>
      <x:c r="G141" s="115" t="str">
        <x:v>Security, Identity &amp; Compliance</x:v>
      </x:c>
      <x:c r="H141" s="115" t="str">
        <x:v>Audit logs</x:v>
      </x:c>
      <x:c r="I141" s="115" t="str">
        <x:v>Cloud audit trail</x:v>
      </x:c>
      <x:c r="J141" s="115" t="str">
        <x:v>Record administrative and data-access activity for investigation and compliance.</x:v>
      </x:c>
      <x:c r="K141" s="115" t="str">
        <x:v>Choose this capability when you need to record administrative and data-access activity for investigation and compliance.</x:v>
      </x:c>
      <x:c r="L141" s="115" t="str">
        <x:v>What business outcome, scale, control, integration and operating model justify choosing cloud audit trail?</x:v>
      </x:c>
      <x:c r="M141" s="115" t="str">
        <x:v>Centralised control and deep integration versus cross-cloud consistency and tool consolidation.</x:v>
      </x:c>
      <x:c r="N141" s="115" t="n">
        <x:v>3</x:v>
      </x:c>
      <x:c r="O141" s="115" t="str">
        <x:v>Moderate</x:v>
      </x:c>
      <x:c r="P141" s="115" t="str">
        <x:v>1–3 weeks</x:v>
      </x:c>
      <x:c r="Q141" s="115" t="str">
        <x:v>Medium</x:v>
      </x:c>
      <x:c r="R141" s="115" t="str">
        <x:v>AWS CloudTrail</x:v>
      </x:c>
      <x:c r="S141" s="115" t="str">
        <x:v>Azure Activity Log
Microsoft Entra audit logs</x:v>
      </x:c>
      <x:c r="T141" s="115" t="str">
        <x:v>Cloud Audit Logs</x:v>
      </x:c>
      <x:c r="U141" s="115" t="n">
        <x:v>3.89</x:v>
      </x:c>
      <x:c r="V141" s="115" t="n">
        <x:v>3.93</x:v>
      </x:c>
      <x:c r="W141" s="115" t="n">
        <x:v>3.91</x:v>
      </x:c>
      <x:c r="X141" s="118" t="str">
        <x:v>Context-dependent tie</x:v>
      </x:c>
      <x:c r="Y141" s="115" t="str">
        <x:v>Scores are close: use ecosystem, data gravity, region, skills, commercials and proof-of-value results to decide.</x:v>
      </x:c>
      <x:c r="Z141" s="115" t="str">
        <x:v>Exact</x:v>
      </x:c>
      <x:c r="AA141" s="115"/>
      <x:c r="AB141" s="115" t="str">
        <x:v>2026-07-12</x:v>
      </x:c>
      <x:c r="AC141" s="115" t="str">
        <x:v>Scored and mapped</x:v>
      </x:c>
      <x:c r="AD141" s="115" t="str">
        <x:v>https://docs.aws.amazon.com/whitepapers/latest/aws-overview/amazon-web-services-cloud-platform.html</x:v>
      </x:c>
    </x:row>
    <x:row r="142">
      <x:c r="A142" s="115" t="str">
        <x:v>2. Foundation, Infrastructure &amp; Security</x:v>
      </x:c>
      <x:c r="B142" s="115" t="str">
        <x:v>04. Identity, Security, Privacy, Risk &amp; Compliance</x:v>
      </x:c>
      <x:c r="C142" s="115" t="str">
        <x:v>Data Protection &amp; Privacy</x:v>
      </x:c>
      <x:c r="D142" s="115" t="str">
        <x:v>Ready &amp; Govern</x:v>
      </x:c>
      <x:c r="E142" s="115" t="str">
        <x:v>Security, Privacy &amp; Compliance
Cost &amp; FinOps
Operations &amp; Support</x:v>
      </x:c>
      <x:c r="F142" s="115" t="str">
        <x:v>02 Security, Identity &amp; Compliance</x:v>
      </x:c>
      <x:c r="G142" s="115" t="str">
        <x:v>Security, Identity &amp; Compliance</x:v>
      </x:c>
      <x:c r="H142" s="115" t="str">
        <x:v>Access transparency</x:v>
      </x:c>
      <x:c r="I142" s="115" t="str">
        <x:v>Provider access transparency</x:v>
      </x:c>
      <x:c r="J142" s="115" t="str">
        <x:v>Show when and why provider personnel accessed customer content.</x:v>
      </x:c>
      <x:c r="K142" s="115" t="str">
        <x:v>Choose this capability when you need to show when and why provider personnel accessed customer content.</x:v>
      </x:c>
      <x:c r="L142" s="115" t="str">
        <x:v>What business outcome, scale, control, integration and operating model justify choosing provider access transparency?</x:v>
      </x:c>
      <x:c r="M142" s="115" t="str">
        <x:v>Centralised control and deep integration versus cross-cloud consistency and tool consolidation.</x:v>
      </x:c>
      <x:c r="N142" s="115" t="n">
        <x:v>3</x:v>
      </x:c>
      <x:c r="O142" s="115" t="str">
        <x:v>Moderate</x:v>
      </x:c>
      <x:c r="P142" s="115" t="str">
        <x:v>1–3 weeks</x:v>
      </x:c>
      <x:c r="Q142" s="115" t="str">
        <x:v>Medium</x:v>
      </x:c>
      <x:c r="R142" s="115" t="str">
        <x:v>AWS CloudTrail for provider events / AWS support controls</x:v>
      </x:c>
      <x:c r="S142" s="115" t="str">
        <x:v>Customer Lockbox for Microsoft Azure</x:v>
      </x:c>
      <x:c r="T142" s="115" t="str">
        <x:v>Access Transparency
Cloud provider access management</x:v>
      </x:c>
      <x:c r="U142" s="115" t="n">
        <x:v>3.55</x:v>
      </x:c>
      <x:c r="V142" s="115" t="n">
        <x:v>3.65</x:v>
      </x:c>
      <x:c r="W142" s="115" t="n">
        <x:v>3.57</x:v>
      </x:c>
      <x:c r="X142" s="118" t="str">
        <x:v>Context-dependent tie</x:v>
      </x:c>
      <x:c r="Y142" s="115" t="str">
        <x:v>Scores are close: use ecosystem, data gravity, region, skills, commercials and proof-of-value results to decide.</x:v>
      </x:c>
      <x:c r="Z142" s="115" t="str">
        <x:v>Partial</x:v>
      </x:c>
      <x:c r="AA142" s="115"/>
      <x:c r="AB142" s="115" t="str">
        <x:v>2026-07-12</x:v>
      </x:c>
      <x:c r="AC142" s="115" t="str">
        <x:v>Scored and mapped</x:v>
      </x:c>
      <x:c r="AD142" s="115" t="str">
        <x:v>https://docs.aws.amazon.com/whitepapers/latest/aws-overview/amazon-web-services-cloud-platform.html</x:v>
      </x:c>
    </x:row>
    <x:row r="143">
      <x:c r="A143" s="115" t="str">
        <x:v>2. Foundation, Infrastructure &amp; Security</x:v>
      </x:c>
      <x:c r="B143" s="115" t="str">
        <x:v>04. Identity, Security, Privacy, Risk &amp; Compliance</x:v>
      </x:c>
      <x:c r="C143" s="115" t="str">
        <x:v>Data Protection &amp; Privacy</x:v>
      </x:c>
      <x:c r="D143" s="115" t="str">
        <x:v>Ready &amp; Govern</x:v>
      </x:c>
      <x:c r="E143" s="115" t="str">
        <x:v>Security, Privacy &amp; Compliance
Cost &amp; FinOps
Operations &amp; Support</x:v>
      </x:c>
      <x:c r="F143" s="115" t="str">
        <x:v>02 Security, Identity &amp; Compliance</x:v>
      </x:c>
      <x:c r="G143" s="115" t="str">
        <x:v>Security, Identity &amp; Compliance</x:v>
      </x:c>
      <x:c r="H143" s="115" t="str">
        <x:v>Data perimeter</x:v>
      </x:c>
      <x:c r="I143" s="115" t="str">
        <x:v>Service data perimeter</x:v>
      </x:c>
      <x:c r="J143" s="115" t="str">
        <x:v>Restrict data movement and service access across trusted cloud boundaries.</x:v>
      </x:c>
      <x:c r="K143" s="115" t="str">
        <x:v>Choose this capability when you need to restrict data movement and service access across trusted cloud boundaries.</x:v>
      </x:c>
      <x:c r="L143" s="115" t="str">
        <x:v>What business outcome, scale, control, integration and operating model justify choosing service data perimeter?</x:v>
      </x:c>
      <x:c r="M143" s="115" t="str">
        <x:v>Centralised control and deep integration versus cross-cloud consistency and tool consolidation.</x:v>
      </x:c>
      <x:c r="N143" s="115" t="n">
        <x:v>2</x:v>
      </x:c>
      <x:c r="O143" s="115" t="str">
        <x:v>Advanced</x:v>
      </x:c>
      <x:c r="P143" s="115" t="str">
        <x:v>3–8 weeks</x:v>
      </x:c>
      <x:c r="Q143" s="115" t="str">
        <x:v>Medium</x:v>
      </x:c>
      <x:c r="R143" s="115" t="str">
        <x:v>AWS Organizations SCPs
VPC endpoints
AWS Network Firewall</x:v>
      </x:c>
      <x:c r="S143" s="115" t="str">
        <x:v>Azure Policy
Private Link
Microsoft Purview</x:v>
      </x:c>
      <x:c r="T143" s="115" t="str">
        <x:v>VPC Service Controls
Access Context Manager</x:v>
      </x:c>
      <x:c r="U143" s="115" t="n">
        <x:v>3.53</x:v>
      </x:c>
      <x:c r="V143" s="115" t="n">
        <x:v>3.55</x:v>
      </x:c>
      <x:c r="W143" s="115" t="n">
        <x:v>3.55</x:v>
      </x:c>
      <x:c r="X143" s="118" t="str">
        <x:v>Context-dependent tie</x:v>
      </x:c>
      <x:c r="Y143" s="115" t="str">
        <x:v>Scores are close: use ecosystem, data gravity, region, skills, commercials and proof-of-value results to decide.</x:v>
      </x:c>
      <x:c r="Z143" s="115" t="str">
        <x:v>Close</x:v>
      </x:c>
      <x:c r="AA143" s="115"/>
      <x:c r="AB143" s="115" t="str">
        <x:v>2026-07-12</x:v>
      </x:c>
      <x:c r="AC143" s="115" t="str">
        <x:v>Scored and mapped</x:v>
      </x:c>
      <x:c r="AD143" s="115" t="str">
        <x:v>https://docs.aws.amazon.com/whitepapers/latest/aws-overview/amazon-web-services-cloud-platform.html</x:v>
      </x:c>
    </x:row>
    <x:row r="144">
      <x:c r="A144" s="115" t="str">
        <x:v>2. Foundation, Infrastructure &amp; Security</x:v>
      </x:c>
      <x:c r="B144" s="115" t="str">
        <x:v>04. Identity, Security, Privacy, Risk &amp; Compliance</x:v>
      </x:c>
      <x:c r="C144" s="115" t="str">
        <x:v>Threat Detection &amp; Security Operations</x:v>
      </x:c>
      <x:c r="D144" s="115" t="str">
        <x:v>Ready &amp; Govern</x:v>
      </x:c>
      <x:c r="E144" s="115" t="str">
        <x:v>Security, Privacy &amp; Compliance
Cost &amp; FinOps
Operations &amp; Support</x:v>
      </x:c>
      <x:c r="F144" s="115" t="str">
        <x:v>02 Security, Identity &amp; Compliance</x:v>
      </x:c>
      <x:c r="G144" s="115" t="str">
        <x:v>Security, Identity &amp; Compliance</x:v>
      </x:c>
      <x:c r="H144" s="115" t="str">
        <x:v>External attack surface</x:v>
      </x:c>
      <x:c r="I144" s="115" t="str">
        <x:v>External attack-surface management</x:v>
      </x:c>
      <x:c r="J144" s="115" t="str">
        <x:v>Discover internet-exposed assets and assess external risk.</x:v>
      </x:c>
      <x:c r="K144" s="115" t="str">
        <x:v>Choose this capability when you need to discover internet-exposed assets and assess external risk.</x:v>
      </x:c>
      <x:c r="L144" s="115" t="str">
        <x:v>Do you need posture, detection, investigation, SIEM/SOAR, or all of them in one operating model?</x:v>
      </x:c>
      <x:c r="M144" s="115" t="str">
        <x:v>Centralised control and deep integration versus cross-cloud consistency and tool consolidation.</x:v>
      </x:c>
      <x:c r="N144" s="115" t="n">
        <x:v>3</x:v>
      </x:c>
      <x:c r="O144" s="115" t="str">
        <x:v>Moderate</x:v>
      </x:c>
      <x:c r="P144" s="115" t="str">
        <x:v>1–3 weeks</x:v>
      </x:c>
      <x:c r="Q144" s="115" t="str">
        <x:v>Medium</x:v>
      </x:c>
      <x:c r="R144" s="115" t="str">
        <x:v>Amazon Inspector external exposure insights
AWS Security Hub</x:v>
      </x:c>
      <x:c r="S144" s="115" t="str">
        <x:v>Microsoft Defender External Attack Surface Management</x:v>
      </x:c>
      <x:c r="T144" s="115" t="str">
        <x:v>Security Command Center attack-path and exposure management</x:v>
      </x:c>
      <x:c r="U144" s="115" t="n">
        <x:v>3.53</x:v>
      </x:c>
      <x:c r="V144" s="115" t="n">
        <x:v>3.84</x:v>
      </x:c>
      <x:c r="W144" s="115" t="n">
        <x:v>3.62</x:v>
      </x:c>
      <x:c r="X144" s="118" t="str">
        <x:v>Azure</x:v>
      </x:c>
      <x:c r="Y144" s="115" t="str">
        <x:v>Start with Azure when Microsoft identity, security, data, productivity or hybrid integration reduces delivery effort.</x:v>
      </x:c>
      <x:c r="Z144" s="115" t="str">
        <x:v>Partial</x:v>
      </x:c>
      <x:c r="AA144" s="115"/>
      <x:c r="AB144" s="115" t="str">
        <x:v>2026-07-12</x:v>
      </x:c>
      <x:c r="AC144" s="115" t="str">
        <x:v>Scored and mapped</x:v>
      </x:c>
      <x:c r="AD144" s="115" t="str">
        <x:v>https://docs.aws.amazon.com/whitepapers/latest/aws-overview/amazon-web-services-cloud-platform.html</x:v>
      </x:c>
    </x:row>
    <x:row r="145">
      <x:c r="A145" s="115" t="str">
        <x:v>2. Foundation, Infrastructure &amp; Security</x:v>
      </x:c>
      <x:c r="B145" s="115" t="str">
        <x:v>04. Identity, Security, Privacy, Risk &amp; Compliance</x:v>
      </x:c>
      <x:c r="C145" s="115" t="str">
        <x:v>Threat Detection &amp; Security Operations</x:v>
      </x:c>
      <x:c r="D145" s="115" t="str">
        <x:v>Ready &amp; Govern</x:v>
      </x:c>
      <x:c r="E145" s="115" t="str">
        <x:v>Security, Privacy &amp; Compliance
Cost &amp; FinOps
Operations &amp; Support</x:v>
      </x:c>
      <x:c r="F145" s="115" t="str">
        <x:v>02 Security, Identity &amp; Compliance</x:v>
      </x:c>
      <x:c r="G145" s="115" t="str">
        <x:v>Security, Identity &amp; Compliance</x:v>
      </x:c>
      <x:c r="H145" s="115" t="str">
        <x:v>Security assistant</x:v>
      </x:c>
      <x:c r="I145" s="115" t="str">
        <x:v>Generative-AI security assistant</x:v>
      </x:c>
      <x:c r="J145" s="115" t="str">
        <x:v>Use generative AI to investigate threats, summarise incidents and guide response.</x:v>
      </x:c>
      <x:c r="K145" s="115" t="str">
        <x:v>Choose this capability when you need to use generative ai to investigate threats, summarise incidents and guide response.</x:v>
      </x:c>
      <x:c r="L145" s="115" t="str">
        <x:v>Do you need posture, detection, investigation, SIEM/SOAR, or all of them in one operating model?</x:v>
      </x:c>
      <x:c r="M145" s="115" t="str">
        <x:v>Centralised control and deep integration versus cross-cloud consistency and tool consolidation.</x:v>
      </x:c>
      <x:c r="N145" s="115" t="n">
        <x:v>3</x:v>
      </x:c>
      <x:c r="O145" s="115" t="str">
        <x:v>Moderate</x:v>
      </x:c>
      <x:c r="P145" s="115" t="str">
        <x:v>1–3 weeks</x:v>
      </x:c>
      <x:c r="Q145" s="115" t="str">
        <x:v>Medium</x:v>
      </x:c>
      <x:c r="R145" s="115" t="str">
        <x:v>Amazon Q Developer security integrations</x:v>
      </x:c>
      <x:c r="S145" s="115" t="str">
        <x:v>Microsoft Security Copilot</x:v>
      </x:c>
      <x:c r="T145" s="115" t="str">
        <x:v>Gemini in Security / Google Security Operations</x:v>
      </x:c>
      <x:c r="U145" s="115" t="n">
        <x:v>3.8</x:v>
      </x:c>
      <x:c r="V145" s="115" t="n">
        <x:v>4.03</x:v>
      </x:c>
      <x:c r="W145" s="115" t="n">
        <x:v>3.74</x:v>
      </x:c>
      <x:c r="X145" s="118" t="str">
        <x:v>Azure</x:v>
      </x:c>
      <x:c r="Y145" s="115" t="str">
        <x:v>Start with Azure when Microsoft identity, security, data, productivity or hybrid integration reduces delivery effort.</x:v>
      </x:c>
      <x:c r="Z145" s="115" t="str">
        <x:v>Close</x:v>
      </x:c>
      <x:c r="AA145" s="115"/>
      <x:c r="AB145" s="115" t="str">
        <x:v>2026-07-12</x:v>
      </x:c>
      <x:c r="AC145" s="115" t="str">
        <x:v>Scored and mapped</x:v>
      </x:c>
      <x:c r="AD145" s="115" t="str">
        <x:v>https://docs.aws.amazon.com/whitepapers/latest/aws-overview/amazon-web-services-cloud-platform.html</x:v>
      </x:c>
    </x:row>
    <x:row r="146">
      <x:c r="A146" s="115" t="str">
        <x:v>2. Foundation, Infrastructure &amp; Security</x:v>
      </x:c>
      <x:c r="B146" s="115" t="str">
        <x:v>09. Databases, Caching, Search &amp; Ledger</x:v>
      </x:c>
      <x:c r="C146" s="115" t="str">
        <x:v>Relational Databases</x:v>
      </x:c>
      <x:c r="D146" s="115" t="str">
        <x:v>Adopt &amp; Build</x:v>
      </x:c>
      <x:c r="E146" s="115" t="str">
        <x:v>Security, Privacy &amp; Compliance
Cost &amp; FinOps
Operations &amp; Support
Reliability &amp; Resilience
Performance &amp; Scalability
Data Residency &amp; Sovereignty
Portability &amp; Exit</x:v>
      </x:c>
      <x:c r="F146" s="115" t="str">
        <x:v>05 Data Infrastructure</x:v>
      </x:c>
      <x:c r="G146" s="115" t="str">
        <x:v>Databases</x:v>
      </x:c>
      <x:c r="H146" s="115" t="str">
        <x:v>Relational databases</x:v>
      </x:c>
      <x:c r="I146" s="115" t="str">
        <x:v>Managed relational database service</x:v>
      </x:c>
      <x:c r="J146" s="115" t="str">
        <x:v>Operate common relational database engines with managed backups, patching and availability.</x:v>
      </x:c>
      <x:c r="K146" s="115" t="str">
        <x:v>Choose this capability when you need to operate common relational database engines with managed backups, patching and availability.</x:v>
      </x:c>
      <x:c r="L146" s="115" t="str">
        <x:v>What data model, engine compatibility, scale, availability and operational control do you need?</x:v>
      </x:c>
      <x:c r="M146" s="115" t="str">
        <x:v>Managed simplicity and performance versus portability, data gravity and long-term cost.</x:v>
      </x:c>
      <x:c r="N146" s="115" t="n">
        <x:v>3</x:v>
      </x:c>
      <x:c r="O146" s="115" t="str">
        <x:v>Moderate</x:v>
      </x:c>
      <x:c r="P146" s="115" t="str">
        <x:v>1–3 weeks</x:v>
      </x:c>
      <x:c r="Q146" s="115" t="str">
        <x:v>High</x:v>
      </x:c>
      <x:c r="R146" s="115" t="str">
        <x:v>Amazon Relational Database Service</x:v>
      </x:c>
      <x:c r="S146" s="115" t="str">
        <x:v>Azure SQL Managed Instance
Azure Database for PostgreSQL
Azure Database for MySQL</x:v>
      </x:c>
      <x:c r="T146" s="115" t="str">
        <x:v>Cloud SQL</x:v>
      </x:c>
      <x:c r="U146" s="115" t="n">
        <x:v>3.95</x:v>
      </x:c>
      <x:c r="V146" s="115" t="n">
        <x:v>3.92</x:v>
      </x:c>
      <x:c r="W146" s="115" t="n">
        <x:v>3.94</x:v>
      </x:c>
      <x:c r="X146" s="118" t="str">
        <x:v>Context-dependent tie</x:v>
      </x:c>
      <x:c r="Y146" s="115" t="str">
        <x:v>Scores are close: use ecosystem, data gravity, region, skills, commercials and proof-of-value results to decide.</x:v>
      </x:c>
      <x:c r="Z146" s="115" t="str">
        <x:v>Close</x:v>
      </x:c>
      <x:c r="AA146" s="115"/>
      <x:c r="AB146" s="115" t="str">
        <x:v>2026-07-12</x:v>
      </x:c>
      <x:c r="AC146" s="115" t="str">
        <x:v>Scored and mapped</x:v>
      </x:c>
      <x:c r="AD146" s="115" t="str">
        <x:v>https://docs.aws.amazon.com/whitepapers/latest/aws-overview/database.html</x:v>
      </x:c>
    </x:row>
    <x:row r="147">
      <x:c r="A147" s="115" t="str">
        <x:v>2. Foundation, Infrastructure &amp; Security</x:v>
      </x:c>
      <x:c r="B147" s="115" t="str">
        <x:v>09. Databases, Caching, Search &amp; Ledger</x:v>
      </x:c>
      <x:c r="C147" s="115" t="str">
        <x:v>Relational Databases</x:v>
      </x:c>
      <x:c r="D147" s="115" t="str">
        <x:v>Adopt &amp; Build</x:v>
      </x:c>
      <x:c r="E147" s="115" t="str">
        <x:v>Security, Privacy &amp; Compliance
Cost &amp; FinOps
Operations &amp; Support
Reliability &amp; Resilience
Performance &amp; Scalability
Data Residency &amp; Sovereignty
Portability &amp; Exit</x:v>
      </x:c>
      <x:c r="F147" s="115" t="str">
        <x:v>05 Data Infrastructure</x:v>
      </x:c>
      <x:c r="G147" s="115" t="str">
        <x:v>Databases</x:v>
      </x:c>
      <x:c r="H147" s="115" t="str">
        <x:v>Cloud-native relational</x:v>
      </x:c>
      <x:c r="I147" s="115" t="str">
        <x:v>Cloud-native relational database</x:v>
      </x:c>
      <x:c r="J147" s="115" t="str">
        <x:v>Run a highly available cloud-native relational database optimised for scale and resilience.</x:v>
      </x:c>
      <x:c r="K147" s="115" t="str">
        <x:v>Choose this capability when you need to run a highly available cloud-native relational database optimised for scale and resilience.</x:v>
      </x:c>
      <x:c r="L147" s="115" t="str">
        <x:v>What data model, engine compatibility, scale, availability and operational control do you need?</x:v>
      </x:c>
      <x:c r="M147" s="115" t="str">
        <x:v>Managed simplicity and performance versus portability, data gravity and long-term cost.</x:v>
      </x:c>
      <x:c r="N147" s="115" t="n">
        <x:v>3</x:v>
      </x:c>
      <x:c r="O147" s="115" t="str">
        <x:v>Moderate</x:v>
      </x:c>
      <x:c r="P147" s="115" t="str">
        <x:v>1–3 weeks</x:v>
      </x:c>
      <x:c r="Q147" s="115" t="str">
        <x:v>Medium</x:v>
      </x:c>
      <x:c r="R147" s="115" t="str">
        <x:v>Amazon Aurora</x:v>
      </x:c>
      <x:c r="S147" s="115" t="str">
        <x:v>Azure SQL Database</x:v>
      </x:c>
      <x:c r="T147" s="115" t="str">
        <x:v>AlloyDB for PostgreSQL</x:v>
      </x:c>
      <x:c r="U147" s="115" t="n">
        <x:v>3.95</x:v>
      </x:c>
      <x:c r="V147" s="115" t="n">
        <x:v>4.01</x:v>
      </x:c>
      <x:c r="W147" s="115" t="n">
        <x:v>3.94</x:v>
      </x:c>
      <x:c r="X147" s="118" t="str">
        <x:v>Context-dependent tie</x:v>
      </x:c>
      <x:c r="Y147" s="115" t="str">
        <x:v>Scores are close: use ecosystem, data gravity, region, skills, commercials and proof-of-value results to decide.</x:v>
      </x:c>
      <x:c r="Z147" s="115" t="str">
        <x:v>Close</x:v>
      </x:c>
      <x:c r="AA147" s="115"/>
      <x:c r="AB147" s="115" t="str">
        <x:v>2026-07-12</x:v>
      </x:c>
      <x:c r="AC147" s="115" t="str">
        <x:v>Scored and mapped</x:v>
      </x:c>
      <x:c r="AD147" s="115" t="str">
        <x:v>https://docs.aws.amazon.com/whitepapers/latest/aws-overview/database.html</x:v>
      </x:c>
    </x:row>
    <x:row r="148">
      <x:c r="A148" s="115" t="str">
        <x:v>2. Foundation, Infrastructure &amp; Security</x:v>
      </x:c>
      <x:c r="B148" s="115" t="str">
        <x:v>09. Databases, Caching, Search &amp; Ledger</x:v>
      </x:c>
      <x:c r="C148" s="115" t="str">
        <x:v>Relational Databases</x:v>
      </x:c>
      <x:c r="D148" s="115" t="str">
        <x:v>Adopt &amp; Build</x:v>
      </x:c>
      <x:c r="E148" s="115" t="str">
        <x:v>Security, Privacy &amp; Compliance
Cost &amp; FinOps
Operations &amp; Support
Reliability &amp; Resilience
Performance &amp; Scalability
Data Residency &amp; Sovereignty
Portability &amp; Exit</x:v>
      </x:c>
      <x:c r="F148" s="115" t="str">
        <x:v>05 Data Infrastructure</x:v>
      </x:c>
      <x:c r="G148" s="115" t="str">
        <x:v>Databases</x:v>
      </x:c>
      <x:c r="H148" s="115" t="str">
        <x:v>Distributed SQL</x:v>
      </x:c>
      <x:c r="I148" s="115" t="str">
        <x:v>Globally distributed relational database</x:v>
      </x:c>
      <x:c r="J148" s="115" t="str">
        <x:v>Provide strongly consistent relational transactions across regions at horizontal scale.</x:v>
      </x:c>
      <x:c r="K148" s="115" t="str">
        <x:v>Choose this capability when you need to provide strongly consistent relational transactions across regions at horizontal scale.</x:v>
      </x:c>
      <x:c r="L148" s="115" t="str">
        <x:v>What data model, engine compatibility, scale, availability and operational control do you need?</x:v>
      </x:c>
      <x:c r="M148" s="115" t="str">
        <x:v>Managed simplicity and performance versus portability, data gravity and long-term cost.</x:v>
      </x:c>
      <x:c r="N148" s="115" t="n">
        <x:v>3</x:v>
      </x:c>
      <x:c r="O148" s="115" t="str">
        <x:v>Moderate</x:v>
      </x:c>
      <x:c r="P148" s="115" t="str">
        <x:v>1–3 weeks</x:v>
      </x:c>
      <x:c r="Q148" s="115" t="str">
        <x:v>Medium</x:v>
      </x:c>
      <x:c r="R148" s="115" t="str">
        <x:v>Amazon Aurora DSQL</x:v>
      </x:c>
      <x:c r="S148" s="115" t="str">
        <x:v>Azure Cosmos DB for PostgreSQL / Azure SQL Hyperscale</x:v>
      </x:c>
      <x:c r="T148" s="115" t="str">
        <x:v>Spanner</x:v>
      </x:c>
      <x:c r="U148" s="115" t="n">
        <x:v>3.79</x:v>
      </x:c>
      <x:c r="V148" s="115" t="n">
        <x:v>3.76</x:v>
      </x:c>
      <x:c r="W148" s="115" t="n">
        <x:v>3.75</x:v>
      </x:c>
      <x:c r="X148" s="118" t="str">
        <x:v>Context-dependent tie</x:v>
      </x:c>
      <x:c r="Y148" s="115" t="str">
        <x:v>Scores are close: use ecosystem, data gravity, region, skills, commercials and proof-of-value results to decide.</x:v>
      </x:c>
      <x:c r="Z148" s="115" t="str">
        <x:v>Partial</x:v>
      </x:c>
      <x:c r="AA148" s="115"/>
      <x:c r="AB148" s="115" t="str">
        <x:v>2026-07-12</x:v>
      </x:c>
      <x:c r="AC148" s="115" t="str">
        <x:v>Scored and mapped</x:v>
      </x:c>
      <x:c r="AD148" s="115" t="str">
        <x:v>https://docs.aws.amazon.com/whitepapers/latest/aws-overview/database.html</x:v>
      </x:c>
    </x:row>
    <x:row r="149">
      <x:c r="A149" s="115" t="str">
        <x:v>2. Foundation, Infrastructure &amp; Security</x:v>
      </x:c>
      <x:c r="B149" s="115" t="str">
        <x:v>09. Databases, Caching, Search &amp; Ledger</x:v>
      </x:c>
      <x:c r="C149" s="115" t="str">
        <x:v>Relational Databases</x:v>
      </x:c>
      <x:c r="D149" s="115" t="str">
        <x:v>Adopt &amp; Build</x:v>
      </x:c>
      <x:c r="E149" s="115" t="str">
        <x:v>Security, Privacy &amp; Compliance
Cost &amp; FinOps
Operations &amp; Support
Reliability &amp; Resilience
Performance &amp; Scalability
Data Residency &amp; Sovereignty
Portability &amp; Exit</x:v>
      </x:c>
      <x:c r="F149" s="115" t="str">
        <x:v>05 Data Infrastructure</x:v>
      </x:c>
      <x:c r="G149" s="115" t="str">
        <x:v>Databases</x:v>
      </x:c>
      <x:c r="H149" s="115" t="str">
        <x:v>PostgreSQL</x:v>
      </x:c>
      <x:c r="I149" s="115" t="str">
        <x:v>High-performance PostgreSQL-compatible database</x:v>
      </x:c>
      <x:c r="J149" s="115" t="str">
        <x:v>Deliver PostgreSQL compatibility with cloud-native performance and availability.</x:v>
      </x:c>
      <x:c r="K149" s="115" t="str">
        <x:v>Choose this capability when you need to deliver postgresql compatibility with cloud-native performance and availability.</x:v>
      </x:c>
      <x:c r="L149" s="115" t="str">
        <x:v>What data model, engine compatibility, scale, availability and operational control do you need?</x:v>
      </x:c>
      <x:c r="M149" s="115" t="str">
        <x:v>Managed simplicity and performance versus portability, data gravity and long-term cost.</x:v>
      </x:c>
      <x:c r="N149" s="115" t="n">
        <x:v>3</x:v>
      </x:c>
      <x:c r="O149" s="115" t="str">
        <x:v>Moderate</x:v>
      </x:c>
      <x:c r="P149" s="115" t="str">
        <x:v>1–3 weeks</x:v>
      </x:c>
      <x:c r="Q149" s="115" t="str">
        <x:v>Low</x:v>
      </x:c>
      <x:c r="R149" s="115" t="str">
        <x:v>Amazon Aurora PostgreSQL</x:v>
      </x:c>
      <x:c r="S149" s="115" t="str">
        <x:v>Azure Database for PostgreSQL</x:v>
      </x:c>
      <x:c r="T149" s="115" t="str">
        <x:v>AlloyDB for PostgreSQL</x:v>
      </x:c>
      <x:c r="U149" s="115" t="n">
        <x:v>4.02</x:v>
      </x:c>
      <x:c r="V149" s="115" t="n">
        <x:v>4.12</x:v>
      </x:c>
      <x:c r="W149" s="115" t="n">
        <x:v>4.01</x:v>
      </x:c>
      <x:c r="X149" s="118" t="str">
        <x:v>Context-dependent tie</x:v>
      </x:c>
      <x:c r="Y149" s="115" t="str">
        <x:v>Scores are close: use ecosystem, data gravity, region, skills, commercials and proof-of-value results to decide.</x:v>
      </x:c>
      <x:c r="Z149" s="115" t="str">
        <x:v>Close</x:v>
      </x:c>
      <x:c r="AA149" s="115"/>
      <x:c r="AB149" s="115" t="str">
        <x:v>2026-07-12</x:v>
      </x:c>
      <x:c r="AC149" s="115" t="str">
        <x:v>Scored and mapped</x:v>
      </x:c>
      <x:c r="AD149" s="115" t="str">
        <x:v>https://docs.aws.amazon.com/whitepapers/latest/aws-overview/database.html</x:v>
      </x:c>
    </x:row>
    <x:row r="150">
      <x:c r="A150" s="115" t="str">
        <x:v>2. Foundation, Infrastructure &amp; Security</x:v>
      </x:c>
      <x:c r="B150" s="115" t="str">
        <x:v>09. Databases, Caching, Search &amp; Ledger</x:v>
      </x:c>
      <x:c r="C150" s="115" t="str">
        <x:v>Relational Databases</x:v>
      </x:c>
      <x:c r="D150" s="115" t="str">
        <x:v>Adopt &amp; Build</x:v>
      </x:c>
      <x:c r="E150" s="115" t="str">
        <x:v>Security, Privacy &amp; Compliance
Cost &amp; FinOps
Operations &amp; Support
Reliability &amp; Resilience
Performance &amp; Scalability
Data Residency &amp; Sovereignty
Portability &amp; Exit</x:v>
      </x:c>
      <x:c r="F150" s="115" t="str">
        <x:v>05 Data Infrastructure</x:v>
      </x:c>
      <x:c r="G150" s="115" t="str">
        <x:v>Databases</x:v>
      </x:c>
      <x:c r="H150" s="115" t="str">
        <x:v>SQL Server</x:v>
      </x:c>
      <x:c r="I150" s="115" t="str">
        <x:v>Managed SQL Server</x:v>
      </x:c>
      <x:c r="J150" s="115" t="str">
        <x:v>Run Microsoft SQL Server as a managed database or on cloud virtual machines.</x:v>
      </x:c>
      <x:c r="K150" s="115" t="str">
        <x:v>Choose this capability when you need to run microsoft sql server as a managed database or on cloud virtual machines.</x:v>
      </x:c>
      <x:c r="L150" s="115" t="str">
        <x:v>What data model, engine compatibility, scale, availability and operational control do you need?</x:v>
      </x:c>
      <x:c r="M150" s="115" t="str">
        <x:v>Managed simplicity and performance versus portability, data gravity and long-term cost.</x:v>
      </x:c>
      <x:c r="N150" s="115" t="n">
        <x:v>3</x:v>
      </x:c>
      <x:c r="O150" s="115" t="str">
        <x:v>Moderate</x:v>
      </x:c>
      <x:c r="P150" s="115" t="str">
        <x:v>1–3 weeks</x:v>
      </x:c>
      <x:c r="Q150" s="115" t="str">
        <x:v>Medium</x:v>
      </x:c>
      <x:c r="R150" s="115" t="str">
        <x:v>Amazon RDS for SQL Server
SQL Server on Amazon EC2</x:v>
      </x:c>
      <x:c r="S150" s="115" t="str">
        <x:v>Azure SQL Managed Instance
SQL Server on Azure VMs</x:v>
      </x:c>
      <x:c r="T150" s="115" t="str">
        <x:v>Cloud SQL for SQL Server</x:v>
      </x:c>
      <x:c r="U150" s="115" t="n">
        <x:v>3.88</x:v>
      </x:c>
      <x:c r="V150" s="115" t="n">
        <x:v>3.96</x:v>
      </x:c>
      <x:c r="W150" s="115" t="n">
        <x:v>3.94</x:v>
      </x:c>
      <x:c r="X150" s="118" t="str">
        <x:v>Context-dependent tie</x:v>
      </x:c>
      <x:c r="Y150" s="115" t="str">
        <x:v>Scores are close: use ecosystem, data gravity, region, skills, commercials and proof-of-value results to decide.</x:v>
      </x:c>
      <x:c r="Z150" s="115" t="str">
        <x:v>Close</x:v>
      </x:c>
      <x:c r="AA150" s="115"/>
      <x:c r="AB150" s="115" t="str">
        <x:v>2026-07-12</x:v>
      </x:c>
      <x:c r="AC150" s="115" t="str">
        <x:v>Scored and mapped</x:v>
      </x:c>
      <x:c r="AD150" s="115" t="str">
        <x:v>https://docs.aws.amazon.com/whitepapers/latest/aws-overview/database.html</x:v>
      </x:c>
    </x:row>
    <x:row r="151">
      <x:c r="A151" s="115" t="str">
        <x:v>2. Foundation, Infrastructure &amp; Security</x:v>
      </x:c>
      <x:c r="B151" s="115" t="str">
        <x:v>09. Databases, Caching, Search &amp; Ledger</x:v>
      </x:c>
      <x:c r="C151" s="115" t="str">
        <x:v>Relational Databases</x:v>
      </x:c>
      <x:c r="D151" s="115" t="str">
        <x:v>Adopt &amp; Build</x:v>
      </x:c>
      <x:c r="E151" s="115" t="str">
        <x:v>Security, Privacy &amp; Compliance
Cost &amp; FinOps
Operations &amp; Support
Reliability &amp; Resilience
Performance &amp; Scalability
Data Residency &amp; Sovereignty
Portability &amp; Exit</x:v>
      </x:c>
      <x:c r="F151" s="115" t="str">
        <x:v>05 Data Infrastructure</x:v>
      </x:c>
      <x:c r="G151" s="115" t="str">
        <x:v>Databases</x:v>
      </x:c>
      <x:c r="H151" s="115" t="str">
        <x:v>MySQL</x:v>
      </x:c>
      <x:c r="I151" s="115" t="str">
        <x:v>Managed MySQL</x:v>
      </x:c>
      <x:c r="J151" s="115" t="str">
        <x:v>Operate MySQL databases with managed backups, patching and high availability.</x:v>
      </x:c>
      <x:c r="K151" s="115" t="str">
        <x:v>Choose this capability when you need to operate mysql databases with managed backups, patching and high availability.</x:v>
      </x:c>
      <x:c r="L151" s="115" t="str">
        <x:v>What data model, engine compatibility, scale, availability and operational control do you need?</x:v>
      </x:c>
      <x:c r="M151" s="115" t="str">
        <x:v>Managed simplicity and performance versus portability, data gravity and long-term cost.</x:v>
      </x:c>
      <x:c r="N151" s="115" t="n">
        <x:v>3</x:v>
      </x:c>
      <x:c r="O151" s="115" t="str">
        <x:v>Moderate</x:v>
      </x:c>
      <x:c r="P151" s="115" t="str">
        <x:v>1–3 weeks</x:v>
      </x:c>
      <x:c r="Q151" s="115" t="str">
        <x:v>Low</x:v>
      </x:c>
      <x:c r="R151" s="115" t="str">
        <x:v>Amazon RDS for MySQL
Amazon Aurora MySQL</x:v>
      </x:c>
      <x:c r="S151" s="115" t="str">
        <x:v>Azure Database for MySQL</x:v>
      </x:c>
      <x:c r="T151" s="115" t="str">
        <x:v>Cloud SQL for MySQL</x:v>
      </x:c>
      <x:c r="U151" s="115" t="n">
        <x:v>4.01</x:v>
      </x:c>
      <x:c r="V151" s="115" t="n">
        <x:v>4.18</x:v>
      </x:c>
      <x:c r="W151" s="115" t="n">
        <x:v>4.09</x:v>
      </x:c>
      <x:c r="X151" s="118" t="str">
        <x:v>Context-dependent tie</x:v>
      </x:c>
      <x:c r="Y151" s="115" t="str">
        <x:v>Scores are close: use ecosystem, data gravity, region, skills, commercials and proof-of-value results to decide.</x:v>
      </x:c>
      <x:c r="Z151" s="115" t="str">
        <x:v>Exact</x:v>
      </x:c>
      <x:c r="AA151" s="115"/>
      <x:c r="AB151" s="115" t="str">
        <x:v>2026-07-12</x:v>
      </x:c>
      <x:c r="AC151" s="115" t="str">
        <x:v>Scored and mapped</x:v>
      </x:c>
      <x:c r="AD151" s="115" t="str">
        <x:v>https://docs.aws.amazon.com/whitepapers/latest/aws-overview/database.html</x:v>
      </x:c>
    </x:row>
    <x:row r="152">
      <x:c r="A152" s="115" t="str">
        <x:v>6. Edge, Industry &amp; Specialist</x:v>
      </x:c>
      <x:c r="B152" s="115" t="str">
        <x:v>23. Industry Clouds, Sovereign, Enterprise Apps &amp; Regulated Workloads</x:v>
      </x:c>
      <x:c r="C152" s="115" t="str">
        <x:v>Relational Databases</x:v>
      </x:c>
      <x:c r="D152" s="115" t="str">
        <x:v>Adopt &amp; Build</x:v>
      </x:c>
      <x:c r="E152" s="115" t="str">
        <x:v>Security, Privacy &amp; Compliance
Cost &amp; FinOps
Operations &amp; Support
Data Residency &amp; Sovereignty</x:v>
      </x:c>
      <x:c r="F152" s="115" t="str">
        <x:v>05 Data Infrastructure</x:v>
      </x:c>
      <x:c r="G152" s="115" t="str">
        <x:v>Databases</x:v>
      </x:c>
      <x:c r="H152" s="115" t="str">
        <x:v>Oracle</x:v>
      </x:c>
      <x:c r="I152" s="115" t="str">
        <x:v>Managed Oracle database</x:v>
      </x:c>
      <x:c r="J152" s="115" t="str">
        <x:v>Operate Oracle database workloads through managed or cloud-hosted services.</x:v>
      </x:c>
      <x:c r="K152" s="115" t="str">
        <x:v>Choose this capability when you need to operate oracle database workloads through managed or cloud-hosted services.</x:v>
      </x:c>
      <x:c r="L152" s="115" t="str">
        <x:v>What data model, engine compatibility, scale, availability and operational control do you need?</x:v>
      </x:c>
      <x:c r="M152" s="115" t="str">
        <x:v>Managed simplicity and performance versus portability, data gravity and long-term cost.</x:v>
      </x:c>
      <x:c r="N152" s="115" t="n">
        <x:v>3</x:v>
      </x:c>
      <x:c r="O152" s="115" t="str">
        <x:v>Moderate</x:v>
      </x:c>
      <x:c r="P152" s="115" t="str">
        <x:v>1–3 weeks</x:v>
      </x:c>
      <x:c r="Q152" s="115" t="str">
        <x:v>Medium</x:v>
      </x:c>
      <x:c r="R152" s="115" t="str">
        <x:v>Amazon RDS for Oracle
Oracle Database@AWS</x:v>
      </x:c>
      <x:c r="S152" s="115" t="str">
        <x:v>Oracle Database@Azure
Oracle on Azure VMs</x:v>
      </x:c>
      <x:c r="T152" s="115" t="str">
        <x:v>Oracle Database@Google Cloud
Oracle on Google Cloud Compute</x:v>
      </x:c>
      <x:c r="U152" s="115" t="n">
        <x:v>3.88</x:v>
      </x:c>
      <x:c r="V152" s="115" t="n">
        <x:v>3.92</x:v>
      </x:c>
      <x:c r="W152" s="115" t="n">
        <x:v>3.85</x:v>
      </x:c>
      <x:c r="X152" s="118" t="str">
        <x:v>Context-dependent tie</x:v>
      </x:c>
      <x:c r="Y152" s="115" t="str">
        <x:v>Scores are close: use ecosystem, data gravity, region, skills, commercials and proof-of-value results to decide.</x:v>
      </x:c>
      <x:c r="Z152" s="115" t="str">
        <x:v>Close</x:v>
      </x:c>
      <x:c r="AA152" s="115"/>
      <x:c r="AB152" s="115" t="str">
        <x:v>2026-07-12</x:v>
      </x:c>
      <x:c r="AC152" s="115" t="str">
        <x:v>Scored and mapped</x:v>
      </x:c>
      <x:c r="AD152" s="115" t="str">
        <x:v>https://docs.cloud.google.com/docs/product-list</x:v>
      </x:c>
    </x:row>
    <x:row r="153">
      <x:c r="A153" s="115" t="str">
        <x:v>2. Foundation, Infrastructure &amp; Security</x:v>
      </x:c>
      <x:c r="B153" s="115" t="str">
        <x:v>09. Databases, Caching, Search &amp; Ledger</x:v>
      </x:c>
      <x:c r="C153" s="115" t="str">
        <x:v>Relational Databases</x:v>
      </x:c>
      <x:c r="D153" s="115" t="str">
        <x:v>Adopt &amp; Build</x:v>
      </x:c>
      <x:c r="E153" s="115" t="str">
        <x:v>Security, Privacy &amp; Compliance
Cost &amp; FinOps
Operations &amp; Support
Reliability &amp; Resilience
Performance &amp; Scalability
Data Residency &amp; Sovereignty
Portability &amp; Exit</x:v>
      </x:c>
      <x:c r="F153" s="115" t="str">
        <x:v>05 Data Infrastructure</x:v>
      </x:c>
      <x:c r="G153" s="115" t="str">
        <x:v>Databases</x:v>
      </x:c>
      <x:c r="H153" s="115" t="str">
        <x:v>DB2</x:v>
      </x:c>
      <x:c r="I153" s="115" t="str">
        <x:v>Managed IBM Db2 database</x:v>
      </x:c>
      <x:c r="J153" s="115" t="str">
        <x:v>Operate IBM Db2 databases with managed infrastructure capabilities.</x:v>
      </x:c>
      <x:c r="K153" s="115" t="str">
        <x:v>Choose this capability when you need to operate ibm db2 databases with managed infrastructure capabilities.</x:v>
      </x:c>
      <x:c r="L153" s="115" t="str">
        <x:v>What data model, engine compatibility, scale, availability and operational control do you need?</x:v>
      </x:c>
      <x:c r="M153" s="115" t="str">
        <x:v>Managed simplicity and performance versus portability, data gravity and long-term cost.</x:v>
      </x:c>
      <x:c r="N153" s="115" t="n">
        <x:v>3</x:v>
      </x:c>
      <x:c r="O153" s="115" t="str">
        <x:v>Moderate</x:v>
      </x:c>
      <x:c r="P153" s="115" t="str">
        <x:v>1–3 weeks</x:v>
      </x:c>
      <x:c r="Q153" s="115" t="str">
        <x:v>Medium</x:v>
      </x:c>
      <x:c r="R153" s="115" t="str">
        <x:v>Amazon RDS for Db2</x:v>
      </x:c>
      <x:c r="S153" s="115" t="str">
        <x:v>IBM Db2 on Azure</x:v>
      </x:c>
      <x:c r="T153" s="115" t="str">
        <x:v>IBM Db2 on Google Cloud</x:v>
      </x:c>
      <x:c r="U153" s="115" t="n">
        <x:v>3.8</x:v>
      </x:c>
      <x:c r="V153" s="115" t="n">
        <x:v>3.82</x:v>
      </x:c>
      <x:c r="W153" s="115" t="n">
        <x:v>3.77</x:v>
      </x:c>
      <x:c r="X153" s="118" t="str">
        <x:v>Context-dependent tie</x:v>
      </x:c>
      <x:c r="Y153" s="115" t="str">
        <x:v>Scores are close: use ecosystem, data gravity, region, skills, commercials and proof-of-value results to decide.</x:v>
      </x:c>
      <x:c r="Z153" s="115" t="str">
        <x:v>Partial</x:v>
      </x:c>
      <x:c r="AA153" s="115"/>
      <x:c r="AB153" s="115" t="str">
        <x:v>2026-07-12</x:v>
      </x:c>
      <x:c r="AC153" s="115" t="str">
        <x:v>Scored and mapped</x:v>
      </x:c>
      <x:c r="AD153" s="115" t="str">
        <x:v>https://docs.aws.amazon.com/whitepapers/latest/aws-overview/database.html</x:v>
      </x:c>
    </x:row>
    <x:row r="154">
      <x:c r="A154" s="115" t="str">
        <x:v>2. Foundation, Infrastructure &amp; Security</x:v>
      </x:c>
      <x:c r="B154" s="115" t="str">
        <x:v>09. Databases, Caching, Search &amp; Ledger</x:v>
      </x:c>
      <x:c r="C154" s="115" t="str">
        <x:v>NoSQL Databases</x:v>
      </x:c>
      <x:c r="D154" s="115" t="str">
        <x:v>Adopt &amp; Build</x:v>
      </x:c>
      <x:c r="E154" s="115" t="str">
        <x:v>Security, Privacy &amp; Compliance
Cost &amp; FinOps
Operations &amp; Support
Reliability &amp; Resilience
Performance &amp; Scalability
Data Residency &amp; Sovereignty
Portability &amp; Exit</x:v>
      </x:c>
      <x:c r="F154" s="115" t="str">
        <x:v>05 Data Infrastructure</x:v>
      </x:c>
      <x:c r="G154" s="115" t="str">
        <x:v>Databases</x:v>
      </x:c>
      <x:c r="H154" s="115" t="str">
        <x:v>Key-value NoSQL</x:v>
      </x:c>
      <x:c r="I154" s="115" t="str">
        <x:v>Managed key-value database</x:v>
      </x:c>
      <x:c r="J154" s="115" t="str">
        <x:v>Store and retrieve low-latency key-value data at large scale.</x:v>
      </x:c>
      <x:c r="K154" s="115" t="str">
        <x:v>Choose this capability when you need to store and retrieve low-latency key-value data at large scale.</x:v>
      </x:c>
      <x:c r="L154" s="115" t="str">
        <x:v>Which access pattern matters most: key-value, document, wide-column, consistency or global distribution?</x:v>
      </x:c>
      <x:c r="M154" s="115" t="str">
        <x:v>Managed simplicity and performance versus portability, data gravity and long-term cost.</x:v>
      </x:c>
      <x:c r="N154" s="115" t="n">
        <x:v>3</x:v>
      </x:c>
      <x:c r="O154" s="115" t="str">
        <x:v>Moderate</x:v>
      </x:c>
      <x:c r="P154" s="115" t="str">
        <x:v>1–3 weeks</x:v>
      </x:c>
      <x:c r="Q154" s="115" t="str">
        <x:v>Medium</x:v>
      </x:c>
      <x:c r="R154" s="115" t="str">
        <x:v>Amazon DynamoDB</x:v>
      </x:c>
      <x:c r="S154" s="115" t="str">
        <x:v>Azure Cosmos DB</x:v>
      </x:c>
      <x:c r="T154" s="115" t="str">
        <x:v>Bigtable
Firestore</x:v>
      </x:c>
      <x:c r="U154" s="115" t="n">
        <x:v>3.88</x:v>
      </x:c>
      <x:c r="V154" s="115" t="n">
        <x:v>3.98</x:v>
      </x:c>
      <x:c r="W154" s="115" t="n">
        <x:v>3.85</x:v>
      </x:c>
      <x:c r="X154" s="118" t="str">
        <x:v>Context-dependent tie</x:v>
      </x:c>
      <x:c r="Y154" s="115" t="str">
        <x:v>Scores are close: use ecosystem, data gravity, region, skills, commercials and proof-of-value results to decide.</x:v>
      </x:c>
      <x:c r="Z154" s="115" t="str">
        <x:v>Close</x:v>
      </x:c>
      <x:c r="AA154" s="115"/>
      <x:c r="AB154" s="115" t="str">
        <x:v>2026-07-12</x:v>
      </x:c>
      <x:c r="AC154" s="115" t="str">
        <x:v>Scored and mapped</x:v>
      </x:c>
      <x:c r="AD154" s="115" t="str">
        <x:v>https://docs.aws.amazon.com/whitepapers/latest/aws-overview/database.html</x:v>
      </x:c>
    </x:row>
    <x:row r="155">
      <x:c r="A155" s="115" t="str">
        <x:v>2. Foundation, Infrastructure &amp; Security</x:v>
      </x:c>
      <x:c r="B155" s="115" t="str">
        <x:v>09. Databases, Caching, Search &amp; Ledger</x:v>
      </x:c>
      <x:c r="C155" s="115" t="str">
        <x:v>NoSQL Databases</x:v>
      </x:c>
      <x:c r="D155" s="115" t="str">
        <x:v>Adopt &amp; Build</x:v>
      </x:c>
      <x:c r="E155" s="115" t="str">
        <x:v>Security, Privacy &amp; Compliance
Cost &amp; FinOps
Operations &amp; Support
Reliability &amp; Resilience
Performance &amp; Scalability
Data Residency &amp; Sovereignty
Portability &amp; Exit</x:v>
      </x:c>
      <x:c r="F155" s="115" t="str">
        <x:v>05 Data Infrastructure</x:v>
      </x:c>
      <x:c r="G155" s="115" t="str">
        <x:v>Databases</x:v>
      </x:c>
      <x:c r="H155" s="115" t="str">
        <x:v>Document database</x:v>
      </x:c>
      <x:c r="I155" s="115" t="str">
        <x:v>Managed document database</x:v>
      </x:c>
      <x:c r="J155" s="115" t="str">
        <x:v>Store semi-structured JSON-like documents with flexible schemas.</x:v>
      </x:c>
      <x:c r="K155" s="115" t="str">
        <x:v>Choose this capability when you need to store semi-structured json-like documents with flexible schemas.</x:v>
      </x:c>
      <x:c r="L155" s="115" t="str">
        <x:v>Which access pattern matters most: key-value, document, wide-column, consistency or global distribution?</x:v>
      </x:c>
      <x:c r="M155" s="115" t="str">
        <x:v>Managed simplicity and performance versus portability, data gravity and long-term cost.</x:v>
      </x:c>
      <x:c r="N155" s="115" t="n">
        <x:v>3</x:v>
      </x:c>
      <x:c r="O155" s="115" t="str">
        <x:v>Moderate</x:v>
      </x:c>
      <x:c r="P155" s="115" t="str">
        <x:v>1–3 weeks</x:v>
      </x:c>
      <x:c r="Q155" s="115" t="str">
        <x:v>Medium</x:v>
      </x:c>
      <x:c r="R155" s="115" t="str">
        <x:v>Amazon DocumentDB
Amazon DynamoDB</x:v>
      </x:c>
      <x:c r="S155" s="115" t="str">
        <x:v>Azure Cosmos DB
Azure DocumentDB</x:v>
      </x:c>
      <x:c r="T155" s="115" t="str">
        <x:v>Firestore in Native mode
Firestore with MongoDB compatibility</x:v>
      </x:c>
      <x:c r="U155" s="115" t="n">
        <x:v>3.8</x:v>
      </x:c>
      <x:c r="V155" s="115" t="n">
        <x:v>3.89</x:v>
      </x:c>
      <x:c r="W155" s="115" t="n">
        <x:v>3.85</x:v>
      </x:c>
      <x:c r="X155" s="118" t="str">
        <x:v>Context-dependent tie</x:v>
      </x:c>
      <x:c r="Y155" s="115" t="str">
        <x:v>Scores are close: use ecosystem, data gravity, region, skills, commercials and proof-of-value results to decide.</x:v>
      </x:c>
      <x:c r="Z155" s="115" t="str">
        <x:v>Close</x:v>
      </x:c>
      <x:c r="AA155" s="115"/>
      <x:c r="AB155" s="115" t="str">
        <x:v>2026-07-12</x:v>
      </x:c>
      <x:c r="AC155" s="115" t="str">
        <x:v>Scored and mapped</x:v>
      </x:c>
      <x:c r="AD155" s="115" t="str">
        <x:v>https://docs.aws.amazon.com/whitepapers/latest/aws-overview/database.html</x:v>
      </x:c>
    </x:row>
    <x:row r="156">
      <x:c r="A156" s="115" t="str">
        <x:v>2. Foundation, Infrastructure &amp; Security</x:v>
      </x:c>
      <x:c r="B156" s="115" t="str">
        <x:v>09. Databases, Caching, Search &amp; Ledger</x:v>
      </x:c>
      <x:c r="C156" s="115" t="str">
        <x:v>NoSQL Databases</x:v>
      </x:c>
      <x:c r="D156" s="115" t="str">
        <x:v>Adopt &amp; Build</x:v>
      </x:c>
      <x:c r="E156" s="115" t="str">
        <x:v>Security, Privacy &amp; Compliance
Cost &amp; FinOps
Operations &amp; Support
Reliability &amp; Resilience
Performance &amp; Scalability
Data Residency &amp; Sovereignty
Portability &amp; Exit</x:v>
      </x:c>
      <x:c r="F156" s="115" t="str">
        <x:v>05 Data Infrastructure</x:v>
      </x:c>
      <x:c r="G156" s="115" t="str">
        <x:v>Databases</x:v>
      </x:c>
      <x:c r="H156" s="115" t="str">
        <x:v>MongoDB compatibility</x:v>
      </x:c>
      <x:c r="I156" s="115" t="str">
        <x:v>MongoDB-compatible managed database</x:v>
      </x:c>
      <x:c r="J156" s="115" t="str">
        <x:v>Run document workloads using MongoDB-compatible interfaces.</x:v>
      </x:c>
      <x:c r="K156" s="115" t="str">
        <x:v>Choose this capability when you need to run document workloads using mongodb-compatible interfaces.</x:v>
      </x:c>
      <x:c r="L156" s="115" t="str">
        <x:v>Which access pattern matters most: key-value, document, wide-column, consistency or global distribution?</x:v>
      </x:c>
      <x:c r="M156" s="115" t="str">
        <x:v>Managed simplicity and performance versus portability, data gravity and long-term cost.</x:v>
      </x:c>
      <x:c r="N156" s="115" t="n">
        <x:v>3</x:v>
      </x:c>
      <x:c r="O156" s="115" t="str">
        <x:v>Moderate</x:v>
      </x:c>
      <x:c r="P156" s="115" t="str">
        <x:v>1–3 weeks</x:v>
      </x:c>
      <x:c r="Q156" s="115" t="str">
        <x:v>Medium</x:v>
      </x:c>
      <x:c r="R156" s="115" t="str">
        <x:v>Amazon DocumentDB</x:v>
      </x:c>
      <x:c r="S156" s="115" t="str">
        <x:v>Azure Cosmos DB for MongoDB
Azure DocumentDB</x:v>
      </x:c>
      <x:c r="T156" s="115" t="str">
        <x:v>Firestore with MongoDB compatibility</x:v>
      </x:c>
      <x:c r="U156" s="115" t="n">
        <x:v>3.88</x:v>
      </x:c>
      <x:c r="V156" s="115" t="n">
        <x:v>3.89</x:v>
      </x:c>
      <x:c r="W156" s="115" t="n">
        <x:v>3.94</x:v>
      </x:c>
      <x:c r="X156" s="118" t="str">
        <x:v>Context-dependent tie</x:v>
      </x:c>
      <x:c r="Y156" s="115" t="str">
        <x:v>Scores are close: use ecosystem, data gravity, region, skills, commercials and proof-of-value results to decide.</x:v>
      </x:c>
      <x:c r="Z156" s="115" t="str">
        <x:v>Close</x:v>
      </x:c>
      <x:c r="AA156" s="115"/>
      <x:c r="AB156" s="115" t="str">
        <x:v>2026-07-12</x:v>
      </x:c>
      <x:c r="AC156" s="115" t="str">
        <x:v>Scored and mapped</x:v>
      </x:c>
      <x:c r="AD156" s="115" t="str">
        <x:v>https://docs.aws.amazon.com/whitepapers/latest/aws-overview/database.html</x:v>
      </x:c>
    </x:row>
    <x:row r="157">
      <x:c r="A157" s="115" t="str">
        <x:v>2. Foundation, Infrastructure &amp; Security</x:v>
      </x:c>
      <x:c r="B157" s="115" t="str">
        <x:v>09. Databases, Caching, Search &amp; Ledger</x:v>
      </x:c>
      <x:c r="C157" s="115" t="str">
        <x:v>NoSQL Databases</x:v>
      </x:c>
      <x:c r="D157" s="115" t="str">
        <x:v>Adopt &amp; Build</x:v>
      </x:c>
      <x:c r="E157" s="115" t="str">
        <x:v>Security, Privacy &amp; Compliance
Cost &amp; FinOps
Operations &amp; Support
Reliability &amp; Resilience
Performance &amp; Scalability
Data Residency &amp; Sovereignty
Portability &amp; Exit</x:v>
      </x:c>
      <x:c r="F157" s="115" t="str">
        <x:v>05 Data Infrastructure</x:v>
      </x:c>
      <x:c r="G157" s="115" t="str">
        <x:v>Databases</x:v>
      </x:c>
      <x:c r="H157" s="115" t="str">
        <x:v>Wide-column database</x:v>
      </x:c>
      <x:c r="I157" s="115" t="str">
        <x:v>Managed wide-column database</x:v>
      </x:c>
      <x:c r="J157" s="115" t="str">
        <x:v>Store massive sparse datasets using a wide-column data model.</x:v>
      </x:c>
      <x:c r="K157" s="115" t="str">
        <x:v>Choose this capability when you need to store massive sparse datasets using a wide-column data model.</x:v>
      </x:c>
      <x:c r="L157" s="115" t="str">
        <x:v>Which access pattern matters most: key-value, document, wide-column, consistency or global distribution?</x:v>
      </x:c>
      <x:c r="M157" s="115" t="str">
        <x:v>Managed simplicity and performance versus portability, data gravity and long-term cost.</x:v>
      </x:c>
      <x:c r="N157" s="115" t="n">
        <x:v>3</x:v>
      </x:c>
      <x:c r="O157" s="115" t="str">
        <x:v>Moderate</x:v>
      </x:c>
      <x:c r="P157" s="115" t="str">
        <x:v>1–3 weeks</x:v>
      </x:c>
      <x:c r="Q157" s="115" t="str">
        <x:v>Medium</x:v>
      </x:c>
      <x:c r="R157" s="115" t="str">
        <x:v>Amazon Keyspaces for Apache Cassandra
Amazon DynamoDB</x:v>
      </x:c>
      <x:c r="S157" s="115" t="str">
        <x:v>Azure Managed Instance for Apache Cassandra
Azure Cosmos DB</x:v>
      </x:c>
      <x:c r="T157" s="115" t="str">
        <x:v>Bigtable</x:v>
      </x:c>
      <x:c r="U157" s="115" t="n">
        <x:v>3.8</x:v>
      </x:c>
      <x:c r="V157" s="115" t="n">
        <x:v>3.89</x:v>
      </x:c>
      <x:c r="W157" s="115" t="n">
        <x:v>3.94</x:v>
      </x:c>
      <x:c r="X157" s="118" t="str">
        <x:v>Context-dependent tie</x:v>
      </x:c>
      <x:c r="Y157" s="115" t="str">
        <x:v>Scores are close: use ecosystem, data gravity, region, skills, commercials and proof-of-value results to decide.</x:v>
      </x:c>
      <x:c r="Z157" s="115" t="str">
        <x:v>Close</x:v>
      </x:c>
      <x:c r="AA157" s="115"/>
      <x:c r="AB157" s="115" t="str">
        <x:v>2026-07-12</x:v>
      </x:c>
      <x:c r="AC157" s="115" t="str">
        <x:v>Scored and mapped</x:v>
      </x:c>
      <x:c r="AD157" s="115" t="str">
        <x:v>https://docs.aws.amazon.com/whitepapers/latest/aws-overview/database.html</x:v>
      </x:c>
    </x:row>
    <x:row r="158">
      <x:c r="A158" s="115" t="str">
        <x:v>2. Foundation, Infrastructure &amp; Security</x:v>
      </x:c>
      <x:c r="B158" s="115" t="str">
        <x:v>09. Databases, Caching, Search &amp; Ledger</x:v>
      </x:c>
      <x:c r="C158" s="115" t="str">
        <x:v>Specialised Databases</x:v>
      </x:c>
      <x:c r="D158" s="115" t="str">
        <x:v>Adopt &amp; Build</x:v>
      </x:c>
      <x:c r="E158" s="115" t="str">
        <x:v>Security, Privacy &amp; Compliance
Cost &amp; FinOps
Operations &amp; Support
Reliability &amp; Resilience
Performance &amp; Scalability
Data Residency &amp; Sovereignty
Portability &amp; Exit</x:v>
      </x:c>
      <x:c r="F158" s="115" t="str">
        <x:v>05 Data Infrastructure</x:v>
      </x:c>
      <x:c r="G158" s="115" t="str">
        <x:v>Databases</x:v>
      </x:c>
      <x:c r="H158" s="115" t="str">
        <x:v>Graph database</x:v>
      </x:c>
      <x:c r="I158" s="115" t="str">
        <x:v>Managed graph database</x:v>
      </x:c>
      <x:c r="J158" s="115" t="str">
        <x:v>Store and query highly connected data using graph models and traversals.</x:v>
      </x:c>
      <x:c r="K158" s="115" t="str">
        <x:v>Choose this capability when you need to store and query highly connected data using graph models and traversals.</x:v>
      </x:c>
      <x:c r="L158" s="115" t="str">
        <x:v>What business outcome, scale, control, integration and operating model justify choosing managed graph database?</x:v>
      </x:c>
      <x:c r="M158" s="115" t="str">
        <x:v>Managed simplicity and performance versus portability, data gravity and long-term cost.</x:v>
      </x:c>
      <x:c r="N158" s="115" t="n">
        <x:v>3</x:v>
      </x:c>
      <x:c r="O158" s="115" t="str">
        <x:v>Moderate</x:v>
      </x:c>
      <x:c r="P158" s="115" t="str">
        <x:v>1–3 weeks</x:v>
      </x:c>
      <x:c r="Q158" s="115" t="str">
        <x:v>Medium</x:v>
      </x:c>
      <x:c r="R158" s="115" t="str">
        <x:v>Amazon Neptune</x:v>
      </x:c>
      <x:c r="S158" s="115" t="str">
        <x:v>Azure Cosmos DB for Apache Gremlin</x:v>
      </x:c>
      <x:c r="T158" s="115" t="str">
        <x:v>Spanner Graph</x:v>
      </x:c>
      <x:c r="U158" s="115" t="n">
        <x:v>3.84</x:v>
      </x:c>
      <x:c r="V158" s="115" t="n">
        <x:v>3.89</x:v>
      </x:c>
      <x:c r="W158" s="115" t="n">
        <x:v>3.9</x:v>
      </x:c>
      <x:c r="X158" s="118" t="str">
        <x:v>Context-dependent tie</x:v>
      </x:c>
      <x:c r="Y158" s="115" t="str">
        <x:v>Scores are close: use ecosystem, data gravity, region, skills, commercials and proof-of-value results to decide.</x:v>
      </x:c>
      <x:c r="Z158" s="115" t="str">
        <x:v>Close</x:v>
      </x:c>
      <x:c r="AA158" s="115"/>
      <x:c r="AB158" s="115" t="str">
        <x:v>2026-07-12</x:v>
      </x:c>
      <x:c r="AC158" s="115" t="str">
        <x:v>Scored and mapped</x:v>
      </x:c>
      <x:c r="AD158" s="115" t="str">
        <x:v>https://docs.aws.amazon.com/whitepapers/latest/aws-overview/database.html</x:v>
      </x:c>
    </x:row>
    <x:row r="159">
      <x:c r="A159" s="115" t="str">
        <x:v>2. Foundation, Infrastructure &amp; Security</x:v>
      </x:c>
      <x:c r="B159" s="115" t="str">
        <x:v>09. Databases, Caching, Search &amp; Ledger</x:v>
      </x:c>
      <x:c r="C159" s="115" t="str">
        <x:v>Specialised Databases</x:v>
      </x:c>
      <x:c r="D159" s="115" t="str">
        <x:v>Adopt &amp; Build</x:v>
      </x:c>
      <x:c r="E159" s="115" t="str">
        <x:v>Security, Privacy &amp; Compliance
Cost &amp; FinOps
Operations &amp; Support
Reliability &amp; Resilience
Performance &amp; Scalability
Data Residency &amp; Sovereignty
Portability &amp; Exit</x:v>
      </x:c>
      <x:c r="F159" s="115" t="str">
        <x:v>05 Data Infrastructure</x:v>
      </x:c>
      <x:c r="G159" s="115" t="str">
        <x:v>Databases</x:v>
      </x:c>
      <x:c r="H159" s="115" t="str">
        <x:v>Time-series database</x:v>
      </x:c>
      <x:c r="I159" s="115" t="str">
        <x:v>Managed time-series database</x:v>
      </x:c>
      <x:c r="J159" s="115" t="str">
        <x:v>Store, query and analyse timestamped operational or IoT data.</x:v>
      </x:c>
      <x:c r="K159" s="115" t="str">
        <x:v>Choose this capability when you need to store, query and analyse timestamped operational or iot data.</x:v>
      </x:c>
      <x:c r="L159" s="115" t="str">
        <x:v>What business outcome, scale, control, integration and operating model justify choosing managed time-series database?</x:v>
      </x:c>
      <x:c r="M159" s="115" t="str">
        <x:v>Managed simplicity and performance versus portability, data gravity and long-term cost.</x:v>
      </x:c>
      <x:c r="N159" s="115" t="n">
        <x:v>3</x:v>
      </x:c>
      <x:c r="O159" s="115" t="str">
        <x:v>Moderate</x:v>
      </x:c>
      <x:c r="P159" s="115" t="str">
        <x:v>1–3 weeks</x:v>
      </x:c>
      <x:c r="Q159" s="115" t="str">
        <x:v>Medium</x:v>
      </x:c>
      <x:c r="R159" s="115" t="str">
        <x:v>Amazon Timestream</x:v>
      </x:c>
      <x:c r="S159" s="115" t="str">
        <x:v>Azure Data Explorer</x:v>
      </x:c>
      <x:c r="T159" s="115" t="str">
        <x:v>Bigtable
BigQuery</x:v>
      </x:c>
      <x:c r="U159" s="115" t="n">
        <x:v>3.7</x:v>
      </x:c>
      <x:c r="V159" s="115" t="n">
        <x:v>3.74</x:v>
      </x:c>
      <x:c r="W159" s="115" t="n">
        <x:v>3.68</x:v>
      </x:c>
      <x:c r="X159" s="118" t="str">
        <x:v>Context-dependent tie</x:v>
      </x:c>
      <x:c r="Y159" s="115" t="str">
        <x:v>Scores are close: use ecosystem, data gravity, region, skills, commercials and proof-of-value results to decide.</x:v>
      </x:c>
      <x:c r="Z159" s="115" t="str">
        <x:v>Partial</x:v>
      </x:c>
      <x:c r="AA159" s="115"/>
      <x:c r="AB159" s="115" t="str">
        <x:v>2026-07-12</x:v>
      </x:c>
      <x:c r="AC159" s="115" t="str">
        <x:v>Scored and mapped</x:v>
      </x:c>
      <x:c r="AD159" s="115" t="str">
        <x:v>https://docs.aws.amazon.com/whitepapers/latest/aws-overview/database.html</x:v>
      </x:c>
    </x:row>
    <x:row r="160">
      <x:c r="A160" s="115" t="str">
        <x:v>2. Foundation, Infrastructure &amp; Security</x:v>
      </x:c>
      <x:c r="B160" s="115" t="str">
        <x:v>09. Databases, Caching, Search &amp; Ledger</x:v>
      </x:c>
      <x:c r="C160" s="115" t="str">
        <x:v>Caching &amp; In-Memory Data</x:v>
      </x:c>
      <x:c r="D160" s="115" t="str">
        <x:v>Adopt &amp; Build</x:v>
      </x:c>
      <x:c r="E160" s="115" t="str">
        <x:v>Security, Privacy &amp; Compliance
Cost &amp; FinOps
Operations &amp; Support
Reliability &amp; Resilience
Performance &amp; Scalability
Data Residency &amp; Sovereignty
Portability &amp; Exit</x:v>
      </x:c>
      <x:c r="F160" s="115" t="str">
        <x:v>05 Data Infrastructure</x:v>
      </x:c>
      <x:c r="G160" s="115" t="str">
        <x:v>Databases</x:v>
      </x:c>
      <x:c r="H160" s="115" t="str">
        <x:v>In-memory cache</x:v>
      </x:c>
      <x:c r="I160" s="115" t="str">
        <x:v>Managed Redis or Valkey cache</x:v>
      </x:c>
      <x:c r="J160" s="115" t="str">
        <x:v>Provide low-latency in-memory caching and data structures.</x:v>
      </x:c>
      <x:c r="K160" s="115" t="str">
        <x:v>Choose this capability when you need to provide low-latency in-memory caching and data structures.</x:v>
      </x:c>
      <x:c r="L160" s="115" t="str">
        <x:v>Is this transient acceleration, durable in-memory data, or a messaging/session-state requirement?</x:v>
      </x:c>
      <x:c r="M160" s="115" t="str">
        <x:v>Managed simplicity and performance versus portability, data gravity and long-term cost.</x:v>
      </x:c>
      <x:c r="N160" s="115" t="n">
        <x:v>4</x:v>
      </x:c>
      <x:c r="O160" s="115" t="str">
        <x:v>Easy</x:v>
      </x:c>
      <x:c r="P160" s="115" t="str">
        <x:v>1–3 days</x:v>
      </x:c>
      <x:c r="Q160" s="115" t="str">
        <x:v>Medium</x:v>
      </x:c>
      <x:c r="R160" s="115" t="str">
        <x:v>Amazon ElastiCache
Amazon MemoryDB</x:v>
      </x:c>
      <x:c r="S160" s="115" t="str">
        <x:v>Azure Managed Redis</x:v>
      </x:c>
      <x:c r="T160" s="115" t="str">
        <x:v>Memorystore for Redis
Memorystore for Redis Cluster
Memorystore for Valkey</x:v>
      </x:c>
      <x:c r="U160" s="115" t="n">
        <x:v>4</x:v>
      </x:c>
      <x:c r="V160" s="115" t="n">
        <x:v>4.13</x:v>
      </x:c>
      <x:c r="W160" s="115" t="n">
        <x:v>4.05</x:v>
      </x:c>
      <x:c r="X160" s="118" t="str">
        <x:v>Context-dependent tie</x:v>
      </x:c>
      <x:c r="Y160" s="115" t="str">
        <x:v>Scores are close: use ecosystem, data gravity, region, skills, commercials and proof-of-value results to decide.</x:v>
      </x:c>
      <x:c r="Z160" s="115" t="str">
        <x:v>Close</x:v>
      </x:c>
      <x:c r="AA160" s="115"/>
      <x:c r="AB160" s="115" t="str">
        <x:v>2026-07-12</x:v>
      </x:c>
      <x:c r="AC160" s="115" t="str">
        <x:v>Scored and mapped</x:v>
      </x:c>
      <x:c r="AD160" s="115" t="str">
        <x:v>https://docs.aws.amazon.com/whitepapers/latest/aws-overview/database.html</x:v>
      </x:c>
    </x:row>
    <x:row r="161">
      <x:c r="A161" s="115" t="str">
        <x:v>2. Foundation, Infrastructure &amp; Security</x:v>
      </x:c>
      <x:c r="B161" s="115" t="str">
        <x:v>09. Databases, Caching, Search &amp; Ledger</x:v>
      </x:c>
      <x:c r="C161" s="115" t="str">
        <x:v>Caching &amp; In-Memory Data</x:v>
      </x:c>
      <x:c r="D161" s="115" t="str">
        <x:v>Adopt &amp; Build</x:v>
      </x:c>
      <x:c r="E161" s="115" t="str">
        <x:v>Security, Privacy &amp; Compliance
Cost &amp; FinOps
Operations &amp; Support
Reliability &amp; Resilience
Performance &amp; Scalability
Data Residency &amp; Sovereignty
Portability &amp; Exit</x:v>
      </x:c>
      <x:c r="F161" s="115" t="str">
        <x:v>05 Data Infrastructure</x:v>
      </x:c>
      <x:c r="G161" s="115" t="str">
        <x:v>Databases</x:v>
      </x:c>
      <x:c r="H161" s="115" t="str">
        <x:v>Memcached</x:v>
      </x:c>
      <x:c r="I161" s="115" t="str">
        <x:v>Managed Memcached</x:v>
      </x:c>
      <x:c r="J161" s="115" t="str">
        <x:v>Provide a managed distributed memory-caching service compatible with Memcached.</x:v>
      </x:c>
      <x:c r="K161" s="115" t="str">
        <x:v>Choose this capability when you need to provide a managed distributed memory-caching service compatible with memcached.</x:v>
      </x:c>
      <x:c r="L161" s="115" t="str">
        <x:v>Is this transient acceleration, durable in-memory data, or a messaging/session-state requirement?</x:v>
      </x:c>
      <x:c r="M161" s="115" t="str">
        <x:v>Managed simplicity and performance versus portability, data gravity and long-term cost.</x:v>
      </x:c>
      <x:c r="N161" s="115" t="n">
        <x:v>4</x:v>
      </x:c>
      <x:c r="O161" s="115" t="str">
        <x:v>Easy</x:v>
      </x:c>
      <x:c r="P161" s="115" t="str">
        <x:v>1–3 days</x:v>
      </x:c>
      <x:c r="Q161" s="115" t="str">
        <x:v>Medium</x:v>
      </x:c>
      <x:c r="R161" s="115" t="str">
        <x:v>Amazon ElastiCache for Memcached</x:v>
      </x:c>
      <x:c r="S161" s="115" t="str">
        <x:v>Azure Managed Redis as alternative</x:v>
      </x:c>
      <x:c r="T161" s="115" t="str">
        <x:v>Memorystore for Memcached</x:v>
      </x:c>
      <x:c r="U161" s="115" t="n">
        <x:v>3.9</x:v>
      </x:c>
      <x:c r="V161" s="115" t="n">
        <x:v>3.49</x:v>
      </x:c>
      <x:c r="W161" s="115" t="n">
        <x:v>3.97</x:v>
      </x:c>
      <x:c r="X161" s="118" t="str">
        <x:v>Context-dependent tie</x:v>
      </x:c>
      <x:c r="Y161" s="115" t="str">
        <x:v>Scores are close: use ecosystem, data gravity, region, skills, commercials and proof-of-value results to decide.</x:v>
      </x:c>
      <x:c r="Z161" s="115" t="str">
        <x:v>Partial</x:v>
      </x:c>
      <x:c r="AA161" s="115"/>
      <x:c r="AB161" s="115" t="str">
        <x:v>2026-07-12</x:v>
      </x:c>
      <x:c r="AC161" s="115" t="str">
        <x:v>Scored and mapped</x:v>
      </x:c>
      <x:c r="AD161" s="115" t="str">
        <x:v>https://docs.aws.amazon.com/whitepapers/latest/aws-overview/database.html</x:v>
      </x:c>
    </x:row>
    <x:row r="162">
      <x:c r="A162" s="115" t="str">
        <x:v>6. Edge, Industry &amp; Specialist</x:v>
      </x:c>
      <x:c r="B162" s="115" t="str">
        <x:v>24. Emerging Technologies: Quantum, Blockchain &amp; Satellite</x:v>
      </x:c>
      <x:c r="C162" s="115" t="str">
        <x:v>Specialised Databases</x:v>
      </x:c>
      <x:c r="D162" s="115" t="str">
        <x:v>Adopt &amp; Build</x:v>
      </x:c>
      <x:c r="E162" s="115" t="str">
        <x:v>Security, Privacy &amp; Compliance
Cost &amp; FinOps
Operations &amp; Support</x:v>
      </x:c>
      <x:c r="F162" s="115" t="str">
        <x:v>05 Data Infrastructure</x:v>
      </x:c>
      <x:c r="G162" s="115" t="str">
        <x:v>Databases</x:v>
      </x:c>
      <x:c r="H162" s="115" t="str">
        <x:v>Ledger</x:v>
      </x:c>
      <x:c r="I162" s="115" t="str">
        <x:v>Immutable ledger database</x:v>
      </x:c>
      <x:c r="J162" s="115" t="str">
        <x:v>Maintain cryptographically verifiable or tamper-evident transaction records.</x:v>
      </x:c>
      <x:c r="K162" s="115" t="str">
        <x:v>Choose this capability when you need to maintain cryptographically verifiable or tamper-evident transaction records.</x:v>
      </x:c>
      <x:c r="L162" s="115" t="str">
        <x:v>What business outcome, scale, control, integration and operating model justify choosing immutable ledger database?</x:v>
      </x:c>
      <x:c r="M162" s="115" t="str">
        <x:v>Managed simplicity and performance versus portability, data gravity and long-term cost.</x:v>
      </x:c>
      <x:c r="N162" s="115" t="n">
        <x:v>3</x:v>
      </x:c>
      <x:c r="O162" s="115" t="str">
        <x:v>Moderate</x:v>
      </x:c>
      <x:c r="P162" s="115" t="str">
        <x:v>1–3 weeks</x:v>
      </x:c>
      <x:c r="Q162" s="115" t="str">
        <x:v>Medium</x:v>
      </x:c>
      <x:c r="R162" s="115" t="str">
        <x:v>Amazon QLDB legacy / Amazon Managed Blockchain</x:v>
      </x:c>
      <x:c r="S162" s="115" t="str">
        <x:v>Azure Confidential Ledger</x:v>
      </x:c>
      <x:c r="T162" s="115" t="str">
        <x:v>Blockchain Node Engine / partner ledgers</x:v>
      </x:c>
      <x:c r="U162" s="115" t="n">
        <x:v>3.26</x:v>
      </x:c>
      <x:c r="V162" s="115" t="n">
        <x:v>3.74</x:v>
      </x:c>
      <x:c r="W162" s="115" t="n">
        <x:v>3.31</x:v>
      </x:c>
      <x:c r="X162" s="118" t="str">
        <x:v>Azure</x:v>
      </x:c>
      <x:c r="Y162" s="115" t="str">
        <x:v>Start with Azure when Microsoft identity, security, data, productivity or hybrid integration reduces delivery effort.</x:v>
      </x:c>
      <x:c r="Z162" s="115" t="str">
        <x:v>Partial</x:v>
      </x:c>
      <x:c r="AA162" s="115"/>
      <x:c r="AB162" s="115" t="str">
        <x:v>2026-07-12</x:v>
      </x:c>
      <x:c r="AC162" s="115" t="str">
        <x:v>Scored and mapped</x:v>
      </x:c>
      <x:c r="AD162" s="115" t="str">
        <x:v>https://docs.aws.amazon.com/whitepapers/latest/aws-overview/amazon-web-services-cloud-platform.html</x:v>
      </x:c>
    </x:row>
    <x:row r="163">
      <x:c r="A163" s="115" t="str">
        <x:v>6. Edge, Industry &amp; Specialist</x:v>
      </x:c>
      <x:c r="B163" s="115" t="str">
        <x:v>24. Emerging Technologies: Quantum, Blockchain &amp; Satellite</x:v>
      </x:c>
      <x:c r="C163" s="115" t="str">
        <x:v>Specialised Databases</x:v>
      </x:c>
      <x:c r="D163" s="115" t="str">
        <x:v>Adopt &amp; Build</x:v>
      </x:c>
      <x:c r="E163" s="115" t="str">
        <x:v>Security, Privacy &amp; Compliance
Cost &amp; FinOps
Operations &amp; Support</x:v>
      </x:c>
      <x:c r="F163" s="115" t="str">
        <x:v>05 Data Infrastructure</x:v>
      </x:c>
      <x:c r="G163" s="115" t="str">
        <x:v>Databases</x:v>
      </x:c>
      <x:c r="H163" s="115" t="str">
        <x:v>Blockchain</x:v>
      </x:c>
      <x:c r="I163" s="115" t="str">
        <x:v>Managed blockchain infrastructure</x:v>
      </x:c>
      <x:c r="J163" s="115" t="str">
        <x:v>Provision and operate blockchain networks, nodes or blockchain data access.</x:v>
      </x:c>
      <x:c r="K163" s="115" t="str">
        <x:v>Choose this capability when you need to provision and operate blockchain networks, nodes or blockchain data access.</x:v>
      </x:c>
      <x:c r="L163" s="115" t="str">
        <x:v>What business outcome, scale, control, integration and operating model justify choosing managed blockchain infrastructure?</x:v>
      </x:c>
      <x:c r="M163" s="115" t="str">
        <x:v>Managed simplicity and performance versus portability, data gravity and long-term cost.</x:v>
      </x:c>
      <x:c r="N163" s="115" t="n">
        <x:v>3</x:v>
      </x:c>
      <x:c r="O163" s="115" t="str">
        <x:v>Moderate</x:v>
      </x:c>
      <x:c r="P163" s="115" t="str">
        <x:v>1–3 weeks</x:v>
      </x:c>
      <x:c r="Q163" s="115" t="str">
        <x:v>Medium</x:v>
      </x:c>
      <x:c r="R163" s="115" t="str">
        <x:v>Amazon Managed Blockchain</x:v>
      </x:c>
      <x:c r="S163" s="115" t="str">
        <x:v>Azure Confidential Ledger / partner blockchain offerings</x:v>
      </x:c>
      <x:c r="T163" s="115" t="str">
        <x:v>Blockchain Node Engine
Blockchain RPC
Blockchain Analytics</x:v>
      </x:c>
      <x:c r="U163" s="115" t="n">
        <x:v>3.7</x:v>
      </x:c>
      <x:c r="V163" s="115" t="n">
        <x:v>3.29</x:v>
      </x:c>
      <x:c r="W163" s="115" t="n">
        <x:v>3.68</x:v>
      </x:c>
      <x:c r="X163" s="118" t="str">
        <x:v>Context-dependent tie</x:v>
      </x:c>
      <x:c r="Y163" s="115" t="str">
        <x:v>Scores are close: use ecosystem, data gravity, region, skills, commercials and proof-of-value results to decide.</x:v>
      </x:c>
      <x:c r="Z163" s="115" t="str">
        <x:v>Partial</x:v>
      </x:c>
      <x:c r="AA163" s="115"/>
      <x:c r="AB163" s="115" t="str">
        <x:v>2026-07-12</x:v>
      </x:c>
      <x:c r="AC163" s="115" t="str">
        <x:v>Scored and mapped</x:v>
      </x:c>
      <x:c r="AD163" s="115" t="str">
        <x:v>https://docs.aws.amazon.com/whitepapers/latest/aws-overview/amazon-web-services-cloud-platform.html</x:v>
      </x:c>
    </x:row>
    <x:row r="164">
      <x:c r="A164" s="115" t="str">
        <x:v>2. Foundation, Infrastructure &amp; Security</x:v>
      </x:c>
      <x:c r="B164" s="115" t="str">
        <x:v>09. Databases, Caching, Search &amp; Ledger</x:v>
      </x:c>
      <x:c r="C164" s="115" t="str">
        <x:v>Database Migration &amp; Estate Management</x:v>
      </x:c>
      <x:c r="D164" s="115" t="str">
        <x:v>Adopt &amp; Build</x:v>
      </x:c>
      <x:c r="E164" s="115" t="str">
        <x:v>Security, Privacy &amp; Compliance
Cost &amp; FinOps
Operations &amp; Support
Reliability &amp; Resilience
Performance &amp; Scalability
Data Residency &amp; Sovereignty
Portability &amp; Exit</x:v>
      </x:c>
      <x:c r="F164" s="115" t="str">
        <x:v>05 Data Infrastructure</x:v>
      </x:c>
      <x:c r="G164" s="115" t="str">
        <x:v>Databases</x:v>
      </x:c>
      <x:c r="H164" s="115" t="str">
        <x:v>Database migration</x:v>
      </x:c>
      <x:c r="I164" s="115" t="str">
        <x:v>Database migration service</x:v>
      </x:c>
      <x:c r="J164" s="115" t="str">
        <x:v>Assess, replicate and migrate databases with minimal downtime.</x:v>
      </x:c>
      <x:c r="K164" s="115" t="str">
        <x:v>Choose this capability when you need to assess, replicate and migrate databases with minimal downtime.</x:v>
      </x:c>
      <x:c r="L164" s="115" t="str">
        <x:v>What business outcome, scale, control, integration and operating model justify choosing database migration service?</x:v>
      </x:c>
      <x:c r="M164" s="115" t="str">
        <x:v>Managed simplicity and performance versus portability, data gravity and long-term cost.</x:v>
      </x:c>
      <x:c r="N164" s="115" t="n">
        <x:v>3</x:v>
      </x:c>
      <x:c r="O164" s="115" t="str">
        <x:v>Moderate</x:v>
      </x:c>
      <x:c r="P164" s="115" t="str">
        <x:v>1–3 weeks</x:v>
      </x:c>
      <x:c r="Q164" s="115" t="str">
        <x:v>Medium</x:v>
      </x:c>
      <x:c r="R164" s="115" t="str">
        <x:v>AWS Database Migration Service
AWS Schema Conversion Tool</x:v>
      </x:c>
      <x:c r="S164" s="115" t="str">
        <x:v>Azure Database Migration Service</x:v>
      </x:c>
      <x:c r="T164" s="115" t="str">
        <x:v>Database Migration Service</x:v>
      </x:c>
      <x:c r="U164" s="115" t="n">
        <x:v>3.99</x:v>
      </x:c>
      <x:c r="V164" s="115" t="n">
        <x:v>3.99</x:v>
      </x:c>
      <x:c r="W164" s="115" t="n">
        <x:v>4.02</x:v>
      </x:c>
      <x:c r="X164" s="118" t="str">
        <x:v>Context-dependent tie</x:v>
      </x:c>
      <x:c r="Y164" s="115" t="str">
        <x:v>Scores are close: use ecosystem, data gravity, region, skills, commercials and proof-of-value results to decide.</x:v>
      </x:c>
      <x:c r="Z164" s="115" t="str">
        <x:v>Exact</x:v>
      </x:c>
      <x:c r="AA164" s="115"/>
      <x:c r="AB164" s="115" t="str">
        <x:v>2026-07-12</x:v>
      </x:c>
      <x:c r="AC164" s="115" t="str">
        <x:v>Scored and mapped</x:v>
      </x:c>
      <x:c r="AD164" s="115" t="str">
        <x:v>https://docs.aws.amazon.com/whitepapers/latest/aws-overview/database.html</x:v>
      </x:c>
    </x:row>
    <x:row r="165">
      <x:c r="A165" s="115" t="str">
        <x:v>2. Foundation, Infrastructure &amp; Security</x:v>
      </x:c>
      <x:c r="B165" s="115" t="str">
        <x:v>09. Databases, Caching, Search &amp; Ledger</x:v>
      </x:c>
      <x:c r="C165" s="115" t="str">
        <x:v>Database Migration &amp; Estate Management</x:v>
      </x:c>
      <x:c r="D165" s="115" t="str">
        <x:v>Adopt &amp; Build</x:v>
      </x:c>
      <x:c r="E165" s="115" t="str">
        <x:v>Security, Privacy &amp; Compliance
Cost &amp; FinOps
Operations &amp; Support
Reliability &amp; Resilience
Performance &amp; Scalability
Data Residency &amp; Sovereignty
Portability &amp; Exit</x:v>
      </x:c>
      <x:c r="F165" s="115" t="str">
        <x:v>05 Data Infrastructure</x:v>
      </x:c>
      <x:c r="G165" s="115" t="str">
        <x:v>Databases</x:v>
      </x:c>
      <x:c r="H165" s="115" t="str">
        <x:v>Database fleet</x:v>
      </x:c>
      <x:c r="I165" s="115" t="str">
        <x:v>Database fleet management</x:v>
      </x:c>
      <x:c r="J165" s="115" t="str">
        <x:v>Discover, assess and manage database estates from a central view.</x:v>
      </x:c>
      <x:c r="K165" s="115" t="str">
        <x:v>Choose this capability when you need to discover, assess and manage database estates from a central view.</x:v>
      </x:c>
      <x:c r="L165" s="115" t="str">
        <x:v>What business outcome, scale, control, integration and operating model justify choosing database fleet management?</x:v>
      </x:c>
      <x:c r="M165" s="115" t="str">
        <x:v>Managed simplicity and performance versus portability, data gravity and long-term cost.</x:v>
      </x:c>
      <x:c r="N165" s="115" t="n">
        <x:v>3</x:v>
      </x:c>
      <x:c r="O165" s="115" t="str">
        <x:v>Moderate</x:v>
      </x:c>
      <x:c r="P165" s="115" t="str">
        <x:v>1–3 weeks</x:v>
      </x:c>
      <x:c r="Q165" s="115" t="str">
        <x:v>Medium</x:v>
      </x:c>
      <x:c r="R165" s="115" t="str">
        <x:v>Amazon RDS fleet capabilities
AWS Systems Manager</x:v>
      </x:c>
      <x:c r="S165" s="115" t="str">
        <x:v>Azure Arc-enabled data services
Azure SQL fleet tools</x:v>
      </x:c>
      <x:c r="T165" s="115" t="str">
        <x:v>Database Center</x:v>
      </x:c>
      <x:c r="U165" s="115" t="n">
        <x:v>3.77</x:v>
      </x:c>
      <x:c r="V165" s="115" t="n">
        <x:v>3.65</x:v>
      </x:c>
      <x:c r="W165" s="115" t="n">
        <x:v>3.77</x:v>
      </x:c>
      <x:c r="X165" s="118" t="str">
        <x:v>Context-dependent tie</x:v>
      </x:c>
      <x:c r="Y165" s="115" t="str">
        <x:v>Scores are close: use ecosystem, data gravity, region, skills, commercials and proof-of-value results to decide.</x:v>
      </x:c>
      <x:c r="Z165" s="115" t="str">
        <x:v>Partial</x:v>
      </x:c>
      <x:c r="AA165" s="115"/>
      <x:c r="AB165" s="115" t="str">
        <x:v>2026-07-12</x:v>
      </x:c>
      <x:c r="AC165" s="115" t="str">
        <x:v>Scored and mapped</x:v>
      </x:c>
      <x:c r="AD165" s="115" t="str">
        <x:v>https://docs.aws.amazon.com/whitepapers/latest/aws-overview/database.html</x:v>
      </x:c>
    </x:row>
    <x:row r="166">
      <x:c r="A166" s="115" t="str">
        <x:v>2. Foundation, Infrastructure &amp; Security</x:v>
      </x:c>
      <x:c r="B166" s="115" t="str">
        <x:v>08. Storage, Backup, Archive, DR &amp; Data Transfer</x:v>
      </x:c>
      <x:c r="C166" s="115" t="str">
        <x:v>Object &amp; Archive Storage</x:v>
      </x:c>
      <x:c r="D166" s="115" t="str">
        <x:v>Adopt &amp; Build</x:v>
      </x:c>
      <x:c r="E166" s="115" t="str">
        <x:v>Security, Privacy &amp; Compliance
Cost &amp; FinOps
Operations &amp; Support
Reliability &amp; Resilience
Performance &amp; Scalability
Data Residency &amp; Sovereignty
Sustainability</x:v>
      </x:c>
      <x:c r="F166" s="115" t="str">
        <x:v>05 Data Infrastructure</x:v>
      </x:c>
      <x:c r="G166" s="115" t="str">
        <x:v>Storage</x:v>
      </x:c>
      <x:c r="H166" s="115" t="str">
        <x:v>Object storage</x:v>
      </x:c>
      <x:c r="I166" s="115" t="str">
        <x:v>Object storage</x:v>
      </x:c>
      <x:c r="J166" s="115" t="str">
        <x:v>Store unstructured data as durable objects accessible through APIs.</x:v>
      </x:c>
      <x:c r="K166" s="115" t="str">
        <x:v>Choose this capability when you need to store unstructured data as durable objects accessible through apis.</x:v>
      </x:c>
      <x:c r="L166" s="115" t="str">
        <x:v>What access frequency, durability, retention, retrieval time and residency constraints apply?</x:v>
      </x:c>
      <x:c r="M166" s="115" t="str">
        <x:v>Managed simplicity and performance versus portability, data gravity and long-term cost.</x:v>
      </x:c>
      <x:c r="N166" s="115" t="n">
        <x:v>4</x:v>
      </x:c>
      <x:c r="O166" s="115" t="str">
        <x:v>Easy</x:v>
      </x:c>
      <x:c r="P166" s="115" t="str">
        <x:v>1–3 days</x:v>
      </x:c>
      <x:c r="Q166" s="115" t="str">
        <x:v>Medium</x:v>
      </x:c>
      <x:c r="R166" s="115" t="str">
        <x:v>Amazon Simple Storage Service</x:v>
      </x:c>
      <x:c r="S166" s="115" t="str">
        <x:v>Azure Blob Storage</x:v>
      </x:c>
      <x:c r="T166" s="115" t="str">
        <x:v>Cloud Storage</x:v>
      </x:c>
      <x:c r="U166" s="115" t="n">
        <x:v>4.33</x:v>
      </x:c>
      <x:c r="V166" s="115" t="n">
        <x:v>4.21</x:v>
      </x:c>
      <x:c r="W166" s="115" t="n">
        <x:v>4.19</x:v>
      </x:c>
      <x:c r="X166" s="118" t="str">
        <x:v>Context-dependent tie</x:v>
      </x:c>
      <x:c r="Y166" s="115" t="str">
        <x:v>Scores are close: use ecosystem, data gravity, region, skills, commercials and proof-of-value results to decide.</x:v>
      </x:c>
      <x:c r="Z166" s="115" t="str">
        <x:v>Exact</x:v>
      </x:c>
      <x:c r="AA166" s="115"/>
      <x:c r="AB166" s="115" t="str">
        <x:v>2026-07-12</x:v>
      </x:c>
      <x:c r="AC166" s="115" t="str">
        <x:v>Scored and mapped</x:v>
      </x:c>
      <x:c r="AD166" s="115" t="str">
        <x:v>https://docs.cloud.google.com/docs/product-list</x:v>
      </x:c>
    </x:row>
    <x:row r="167">
      <x:c r="A167" s="115" t="str">
        <x:v>2. Foundation, Infrastructure &amp; Security</x:v>
      </x:c>
      <x:c r="B167" s="115" t="str">
        <x:v>08. Storage, Backup, Archive, DR &amp; Data Transfer</x:v>
      </x:c>
      <x:c r="C167" s="115" t="str">
        <x:v>Object &amp; Archive Storage</x:v>
      </x:c>
      <x:c r="D167" s="115" t="str">
        <x:v>Adopt &amp; Build</x:v>
      </x:c>
      <x:c r="E167" s="115" t="str">
        <x:v>Security, Privacy &amp; Compliance
Cost &amp; FinOps
Operations &amp; Support
Reliability &amp; Resilience
Performance &amp; Scalability
Data Residency &amp; Sovereignty
Sustainability</x:v>
      </x:c>
      <x:c r="F167" s="115" t="str">
        <x:v>05 Data Infrastructure</x:v>
      </x:c>
      <x:c r="G167" s="115" t="str">
        <x:v>Storage</x:v>
      </x:c>
      <x:c r="H167" s="115" t="str">
        <x:v>Archive storage</x:v>
      </x:c>
      <x:c r="I167" s="115" t="str">
        <x:v>Long-term archive storage</x:v>
      </x:c>
      <x:c r="J167" s="115" t="str">
        <x:v>Store infrequently accessed data at low cost with delayed or tiered retrieval.</x:v>
      </x:c>
      <x:c r="K167" s="115" t="str">
        <x:v>Choose this capability when you need to store infrequently accessed data at low cost with delayed or tiered retrieval.</x:v>
      </x:c>
      <x:c r="L167" s="115" t="str">
        <x:v>What access frequency, durability, retention, retrieval time and residency constraints apply?</x:v>
      </x:c>
      <x:c r="M167" s="115" t="str">
        <x:v>Managed simplicity and performance versus portability, data gravity and long-term cost.</x:v>
      </x:c>
      <x:c r="N167" s="115" t="n">
        <x:v>3</x:v>
      </x:c>
      <x:c r="O167" s="115" t="str">
        <x:v>Moderate</x:v>
      </x:c>
      <x:c r="P167" s="115" t="str">
        <x:v>1–3 weeks</x:v>
      </x:c>
      <x:c r="Q167" s="115" t="str">
        <x:v>Medium</x:v>
      </x:c>
      <x:c r="R167" s="115" t="str">
        <x:v>Amazon S3 Glacier storage classes</x:v>
      </x:c>
      <x:c r="S167" s="115" t="str">
        <x:v>Azure Archive Storage</x:v>
      </x:c>
      <x:c r="T167" s="115" t="str">
        <x:v>Cloud Storage Archive</x:v>
      </x:c>
      <x:c r="U167" s="115" t="n">
        <x:v>4.12</x:v>
      </x:c>
      <x:c r="V167" s="115" t="n">
        <x:v>3.99</x:v>
      </x:c>
      <x:c r="W167" s="115" t="n">
        <x:v>3.97</x:v>
      </x:c>
      <x:c r="X167" s="118" t="str">
        <x:v>Context-dependent tie</x:v>
      </x:c>
      <x:c r="Y167" s="115" t="str">
        <x:v>Scores are close: use ecosystem, data gravity, region, skills, commercials and proof-of-value results to decide.</x:v>
      </x:c>
      <x:c r="Z167" s="115" t="str">
        <x:v>Exact</x:v>
      </x:c>
      <x:c r="AA167" s="115"/>
      <x:c r="AB167" s="115" t="str">
        <x:v>2026-07-12</x:v>
      </x:c>
      <x:c r="AC167" s="115" t="str">
        <x:v>Scored and mapped</x:v>
      </x:c>
      <x:c r="AD167" s="115" t="str">
        <x:v>https://docs.cloud.google.com/docs/product-list</x:v>
      </x:c>
    </x:row>
    <x:row r="168">
      <x:c r="A168" s="115" t="str">
        <x:v>2. Foundation, Infrastructure &amp; Security</x:v>
      </x:c>
      <x:c r="B168" s="115" t="str">
        <x:v>08. Storage, Backup, Archive, DR &amp; Data Transfer</x:v>
      </x:c>
      <x:c r="C168" s="115" t="str">
        <x:v>Block &amp; Local Storage</x:v>
      </x:c>
      <x:c r="D168" s="115" t="str">
        <x:v>Adopt &amp; Build</x:v>
      </x:c>
      <x:c r="E168" s="115" t="str">
        <x:v>Security, Privacy &amp; Compliance
Cost &amp; FinOps
Operations &amp; Support
Reliability &amp; Resilience
Performance &amp; Scalability
Data Residency &amp; Sovereignty
Sustainability</x:v>
      </x:c>
      <x:c r="F168" s="115" t="str">
        <x:v>05 Data Infrastructure</x:v>
      </x:c>
      <x:c r="G168" s="115" t="str">
        <x:v>Storage</x:v>
      </x:c>
      <x:c r="H168" s="115" t="str">
        <x:v>Block storage</x:v>
      </x:c>
      <x:c r="I168" s="115" t="str">
        <x:v>Persistent block storage</x:v>
      </x:c>
      <x:c r="J168" s="115" t="str">
        <x:v>Attach durable block volumes to virtual machines and stateful workloads.</x:v>
      </x:c>
      <x:c r="K168" s="115" t="str">
        <x:v>Choose this capability when you need to attach durable block volumes to virtual machines and stateful workloads.</x:v>
      </x:c>
      <x:c r="L168" s="115" t="str">
        <x:v>What business outcome, scale, control, integration and operating model justify choosing persistent block storage?</x:v>
      </x:c>
      <x:c r="M168" s="115" t="str">
        <x:v>Managed simplicity and performance versus portability, data gravity and long-term cost.</x:v>
      </x:c>
      <x:c r="N168" s="115" t="n">
        <x:v>3</x:v>
      </x:c>
      <x:c r="O168" s="115" t="str">
        <x:v>Moderate</x:v>
      </x:c>
      <x:c r="P168" s="115" t="str">
        <x:v>1–3 weeks</x:v>
      </x:c>
      <x:c r="Q168" s="115" t="str">
        <x:v>Medium</x:v>
      </x:c>
      <x:c r="R168" s="115" t="str">
        <x:v>Amazon Elastic Block Store</x:v>
      </x:c>
      <x:c r="S168" s="115" t="str">
        <x:v>Azure Disk Storage</x:v>
      </x:c>
      <x:c r="T168" s="115" t="str">
        <x:v>Persistent Disk
Hyperdisk</x:v>
      </x:c>
      <x:c r="U168" s="115" t="n">
        <x:v>4</x:v>
      </x:c>
      <x:c r="V168" s="115" t="n">
        <x:v>3.99</x:v>
      </x:c>
      <x:c r="W168" s="115" t="n">
        <x:v>3.87</x:v>
      </x:c>
      <x:c r="X168" s="118" t="str">
        <x:v>Context-dependent tie</x:v>
      </x:c>
      <x:c r="Y168" s="115" t="str">
        <x:v>Scores are close: use ecosystem, data gravity, region, skills, commercials and proof-of-value results to decide.</x:v>
      </x:c>
      <x:c r="Z168" s="115" t="str">
        <x:v>Exact</x:v>
      </x:c>
      <x:c r="AA168" s="115"/>
      <x:c r="AB168" s="115" t="str">
        <x:v>2026-07-12</x:v>
      </x:c>
      <x:c r="AC168" s="115" t="str">
        <x:v>Scored and mapped</x:v>
      </x:c>
      <x:c r="AD168" s="115" t="str">
        <x:v>https://docs.cloud.google.com/docs/product-list</x:v>
      </x:c>
    </x:row>
    <x:row r="169">
      <x:c r="A169" s="115" t="str">
        <x:v>2. Foundation, Infrastructure &amp; Security</x:v>
      </x:c>
      <x:c r="B169" s="115" t="str">
        <x:v>08. Storage, Backup, Archive, DR &amp; Data Transfer</x:v>
      </x:c>
      <x:c r="C169" s="115" t="str">
        <x:v>Block &amp; Local Storage</x:v>
      </x:c>
      <x:c r="D169" s="115" t="str">
        <x:v>Adopt &amp; Build</x:v>
      </x:c>
      <x:c r="E169" s="115" t="str">
        <x:v>Security, Privacy &amp; Compliance
Cost &amp; FinOps
Operations &amp; Support
Reliability &amp; Resilience
Performance &amp; Scalability
Data Residency &amp; Sovereignty
Sustainability</x:v>
      </x:c>
      <x:c r="F169" s="115" t="str">
        <x:v>05 Data Infrastructure</x:v>
      </x:c>
      <x:c r="G169" s="115" t="str">
        <x:v>Storage</x:v>
      </x:c>
      <x:c r="H169" s="115" t="str">
        <x:v>Local storage</x:v>
      </x:c>
      <x:c r="I169" s="115" t="str">
        <x:v>Local ephemeral SSD</x:v>
      </x:c>
      <x:c r="J169" s="115" t="str">
        <x:v>Provide high-performance storage physically attached to the compute host.</x:v>
      </x:c>
      <x:c r="K169" s="115" t="str">
        <x:v>Choose this capability when you need to provide high-performance storage physically attached to the compute host.</x:v>
      </x:c>
      <x:c r="L169" s="115" t="str">
        <x:v>What business outcome, scale, control, integration and operating model justify choosing local ephemeral ssd?</x:v>
      </x:c>
      <x:c r="M169" s="115" t="str">
        <x:v>Managed simplicity and performance versus portability, data gravity and long-term cost.</x:v>
      </x:c>
      <x:c r="N169" s="115" t="n">
        <x:v>3</x:v>
      </x:c>
      <x:c r="O169" s="115" t="str">
        <x:v>Moderate</x:v>
      </x:c>
      <x:c r="P169" s="115" t="str">
        <x:v>1–3 weeks</x:v>
      </x:c>
      <x:c r="Q169" s="115" t="str">
        <x:v>Medium</x:v>
      </x:c>
      <x:c r="R169" s="115" t="str">
        <x:v>EC2 instance store</x:v>
      </x:c>
      <x:c r="S169" s="115" t="str">
        <x:v>Azure Local SSD / temporary disk</x:v>
      </x:c>
      <x:c r="T169" s="115" t="str">
        <x:v>Local SSD</x:v>
      </x:c>
      <x:c r="U169" s="115" t="n">
        <x:v>3.93</x:v>
      </x:c>
      <x:c r="V169" s="115" t="n">
        <x:v>3.84</x:v>
      </x:c>
      <x:c r="W169" s="115" t="n">
        <x:v>3.91</x:v>
      </x:c>
      <x:c r="X169" s="118" t="str">
        <x:v>Context-dependent tie</x:v>
      </x:c>
      <x:c r="Y169" s="115" t="str">
        <x:v>Scores are close: use ecosystem, data gravity, region, skills, commercials and proof-of-value results to decide.</x:v>
      </x:c>
      <x:c r="Z169" s="115" t="str">
        <x:v>Close</x:v>
      </x:c>
      <x:c r="AA169" s="115"/>
      <x:c r="AB169" s="115" t="str">
        <x:v>2026-07-12</x:v>
      </x:c>
      <x:c r="AC169" s="115" t="str">
        <x:v>Scored and mapped</x:v>
      </x:c>
      <x:c r="AD169" s="115" t="str">
        <x:v>https://docs.cloud.google.com/docs/product-list</x:v>
      </x:c>
    </x:row>
    <x:row r="170">
      <x:c r="A170" s="115" t="str">
        <x:v>2. Foundation, Infrastructure &amp; Security</x:v>
      </x:c>
      <x:c r="B170" s="115" t="str">
        <x:v>08. Storage, Backup, Archive, DR &amp; Data Transfer</x:v>
      </x:c>
      <x:c r="C170" s="115" t="str">
        <x:v>File &amp; High-Performance Storage</x:v>
      </x:c>
      <x:c r="D170" s="115" t="str">
        <x:v>Adopt &amp; Build</x:v>
      </x:c>
      <x:c r="E170" s="115" t="str">
        <x:v>Security, Privacy &amp; Compliance
Cost &amp; FinOps
Operations &amp; Support
Reliability &amp; Resilience
Performance &amp; Scalability
Data Residency &amp; Sovereignty
Sustainability</x:v>
      </x:c>
      <x:c r="F170" s="115" t="str">
        <x:v>05 Data Infrastructure</x:v>
      </x:c>
      <x:c r="G170" s="115" t="str">
        <x:v>Storage</x:v>
      </x:c>
      <x:c r="H170" s="115" t="str">
        <x:v>File storage</x:v>
      </x:c>
      <x:c r="I170" s="115" t="str">
        <x:v>Managed network file storage</x:v>
      </x:c>
      <x:c r="J170" s="115" t="str">
        <x:v>Provide shared file systems for applications and user workloads.</x:v>
      </x:c>
      <x:c r="K170" s="115" t="str">
        <x:v>Choose this capability when you need to provide shared file systems for applications and user workloads.</x:v>
      </x:c>
      <x:c r="L170" s="115" t="str">
        <x:v>What business outcome, scale, control, integration and operating model justify choosing managed network file storage?</x:v>
      </x:c>
      <x:c r="M170" s="115" t="str">
        <x:v>Managed simplicity and performance versus portability, data gravity and long-term cost.</x:v>
      </x:c>
      <x:c r="N170" s="115" t="n">
        <x:v>3</x:v>
      </x:c>
      <x:c r="O170" s="115" t="str">
        <x:v>Moderate</x:v>
      </x:c>
      <x:c r="P170" s="115" t="str">
        <x:v>1–3 weeks</x:v>
      </x:c>
      <x:c r="Q170" s="115" t="str">
        <x:v>Medium</x:v>
      </x:c>
      <x:c r="R170" s="115" t="str">
        <x:v>Amazon Elastic File System</x:v>
      </x:c>
      <x:c r="S170" s="115" t="str">
        <x:v>Azure Files</x:v>
      </x:c>
      <x:c r="T170" s="115" t="str">
        <x:v>Filestore</x:v>
      </x:c>
      <x:c r="U170" s="115" t="n">
        <x:v>4</x:v>
      </x:c>
      <x:c r="V170" s="115" t="n">
        <x:v>3.99</x:v>
      </x:c>
      <x:c r="W170" s="115" t="n">
        <x:v>4.02</x:v>
      </x:c>
      <x:c r="X170" s="118" t="str">
        <x:v>Context-dependent tie</x:v>
      </x:c>
      <x:c r="Y170" s="115" t="str">
        <x:v>Scores are close: use ecosystem, data gravity, region, skills, commercials and proof-of-value results to decide.</x:v>
      </x:c>
      <x:c r="Z170" s="115" t="str">
        <x:v>Exact</x:v>
      </x:c>
      <x:c r="AA170" s="115"/>
      <x:c r="AB170" s="115" t="str">
        <x:v>2026-07-12</x:v>
      </x:c>
      <x:c r="AC170" s="115" t="str">
        <x:v>Scored and mapped</x:v>
      </x:c>
      <x:c r="AD170" s="115" t="str">
        <x:v>https://docs.cloud.google.com/docs/product-list</x:v>
      </x:c>
    </x:row>
    <x:row r="171">
      <x:c r="A171" s="115" t="str">
        <x:v>2. Foundation, Infrastructure &amp; Security</x:v>
      </x:c>
      <x:c r="B171" s="115" t="str">
        <x:v>08. Storage, Backup, Archive, DR &amp; Data Transfer</x:v>
      </x:c>
      <x:c r="C171" s="115" t="str">
        <x:v>File &amp; High-Performance Storage</x:v>
      </x:c>
      <x:c r="D171" s="115" t="str">
        <x:v>Adopt &amp; Build</x:v>
      </x:c>
      <x:c r="E171" s="115" t="str">
        <x:v>Security, Privacy &amp; Compliance
Cost &amp; FinOps
Operations &amp; Support
Reliability &amp; Resilience
Performance &amp; Scalability
Data Residency &amp; Sovereignty
Sustainability</x:v>
      </x:c>
      <x:c r="F171" s="115" t="str">
        <x:v>05 Data Infrastructure</x:v>
      </x:c>
      <x:c r="G171" s="115" t="str">
        <x:v>Storage</x:v>
      </x:c>
      <x:c r="H171" s="115" t="str">
        <x:v>Enterprise file storage</x:v>
      </x:c>
      <x:c r="I171" s="115" t="str">
        <x:v>Managed enterprise NAS</x:v>
      </x:c>
      <x:c r="J171" s="115" t="str">
        <x:v>Provide enterprise file protocols, snapshots and data-management features.</x:v>
      </x:c>
      <x:c r="K171" s="115" t="str">
        <x:v>Choose this capability when you need to provide enterprise file protocols, snapshots and data-management features.</x:v>
      </x:c>
      <x:c r="L171" s="115" t="str">
        <x:v>What business outcome, scale, control, integration and operating model justify choosing managed enterprise nas?</x:v>
      </x:c>
      <x:c r="M171" s="115" t="str">
        <x:v>Managed simplicity and performance versus portability, data gravity and long-term cost.</x:v>
      </x:c>
      <x:c r="N171" s="115" t="n">
        <x:v>3</x:v>
      </x:c>
      <x:c r="O171" s="115" t="str">
        <x:v>Moderate</x:v>
      </x:c>
      <x:c r="P171" s="115" t="str">
        <x:v>1–3 weeks</x:v>
      </x:c>
      <x:c r="Q171" s="115" t="str">
        <x:v>Medium</x:v>
      </x:c>
      <x:c r="R171" s="115" t="str">
        <x:v>Amazon FSx for NetApp ONTAP</x:v>
      </x:c>
      <x:c r="S171" s="115" t="str">
        <x:v>Azure NetApp Files</x:v>
      </x:c>
      <x:c r="T171" s="115" t="str">
        <x:v>NetApp Volumes</x:v>
      </x:c>
      <x:c r="U171" s="115" t="n">
        <x:v>4</x:v>
      </x:c>
      <x:c r="V171" s="115" t="n">
        <x:v>3.99</x:v>
      </x:c>
      <x:c r="W171" s="115" t="n">
        <x:v>3.97</x:v>
      </x:c>
      <x:c r="X171" s="118" t="str">
        <x:v>Context-dependent tie</x:v>
      </x:c>
      <x:c r="Y171" s="115" t="str">
        <x:v>Scores are close: use ecosystem, data gravity, region, skills, commercials and proof-of-value results to decide.</x:v>
      </x:c>
      <x:c r="Z171" s="115" t="str">
        <x:v>Exact</x:v>
      </x:c>
      <x:c r="AA171" s="115"/>
      <x:c r="AB171" s="115" t="str">
        <x:v>2026-07-12</x:v>
      </x:c>
      <x:c r="AC171" s="115" t="str">
        <x:v>Scored and mapped</x:v>
      </x:c>
      <x:c r="AD171" s="115" t="str">
        <x:v>https://docs.cloud.google.com/docs/product-list</x:v>
      </x:c>
    </x:row>
    <x:row r="172">
      <x:c r="A172" s="115" t="str">
        <x:v>2. Foundation, Infrastructure &amp; Security</x:v>
      </x:c>
      <x:c r="B172" s="115" t="str">
        <x:v>08. Storage, Backup, Archive, DR &amp; Data Transfer</x:v>
      </x:c>
      <x:c r="C172" s="115" t="str">
        <x:v>File &amp; High-Performance Storage</x:v>
      </x:c>
      <x:c r="D172" s="115" t="str">
        <x:v>Adopt &amp; Build</x:v>
      </x:c>
      <x:c r="E172" s="115" t="str">
        <x:v>Security, Privacy &amp; Compliance
Cost &amp; FinOps
Operations &amp; Support
Reliability &amp; Resilience
Performance &amp; Scalability
Data Residency &amp; Sovereignty
Sustainability</x:v>
      </x:c>
      <x:c r="F172" s="115" t="str">
        <x:v>05 Data Infrastructure</x:v>
      </x:c>
      <x:c r="G172" s="115" t="str">
        <x:v>Storage</x:v>
      </x:c>
      <x:c r="H172" s="115" t="str">
        <x:v>High-performance file</x:v>
      </x:c>
      <x:c r="I172" s="115" t="str">
        <x:v>High-performance parallel file system</x:v>
      </x:c>
      <x:c r="J172" s="115" t="str">
        <x:v>Provide low-latency, high-throughput parallel file storage for HPC and AI.</x:v>
      </x:c>
      <x:c r="K172" s="115" t="str">
        <x:v>Choose this capability when you need to provide low-latency, high-throughput parallel file storage for hpc and ai.</x:v>
      </x:c>
      <x:c r="L172" s="115" t="str">
        <x:v>What business outcome, scale, control, integration and operating model justify choosing high-performance parallel file system?</x:v>
      </x:c>
      <x:c r="M172" s="115" t="str">
        <x:v>Managed simplicity and performance versus portability, data gravity and long-term cost.</x:v>
      </x:c>
      <x:c r="N172" s="115" t="n">
        <x:v>3</x:v>
      </x:c>
      <x:c r="O172" s="115" t="str">
        <x:v>Moderate</x:v>
      </x:c>
      <x:c r="P172" s="115" t="str">
        <x:v>1–3 weeks</x:v>
      </x:c>
      <x:c r="Q172" s="115" t="str">
        <x:v>Medium</x:v>
      </x:c>
      <x:c r="R172" s="115" t="str">
        <x:v>Amazon FSx for Lustre</x:v>
      </x:c>
      <x:c r="S172" s="115" t="str">
        <x:v>Azure Managed Lustre</x:v>
      </x:c>
      <x:c r="T172" s="115" t="str">
        <x:v>Managed Lustre</x:v>
      </x:c>
      <x:c r="U172" s="115" t="n">
        <x:v>4</x:v>
      </x:c>
      <x:c r="V172" s="115" t="n">
        <x:v>3.99</x:v>
      </x:c>
      <x:c r="W172" s="115" t="n">
        <x:v>3.97</x:v>
      </x:c>
      <x:c r="X172" s="118" t="str">
        <x:v>Context-dependent tie</x:v>
      </x:c>
      <x:c r="Y172" s="115" t="str">
        <x:v>Scores are close: use ecosystem, data gravity, region, skills, commercials and proof-of-value results to decide.</x:v>
      </x:c>
      <x:c r="Z172" s="115" t="str">
        <x:v>Exact</x:v>
      </x:c>
      <x:c r="AA172" s="115"/>
      <x:c r="AB172" s="115" t="str">
        <x:v>2026-07-12</x:v>
      </x:c>
      <x:c r="AC172" s="115" t="str">
        <x:v>Scored and mapped</x:v>
      </x:c>
      <x:c r="AD172" s="115" t="str">
        <x:v>https://docs.cloud.google.com/docs/product-list</x:v>
      </x:c>
    </x:row>
    <x:row r="173">
      <x:c r="A173" s="115" t="str">
        <x:v>2. Foundation, Infrastructure &amp; Security</x:v>
      </x:c>
      <x:c r="B173" s="115" t="str">
        <x:v>08. Storage, Backup, Archive, DR &amp; Data Transfer</x:v>
      </x:c>
      <x:c r="C173" s="115" t="str">
        <x:v>File &amp; High-Performance Storage</x:v>
      </x:c>
      <x:c r="D173" s="115" t="str">
        <x:v>Adopt &amp; Build</x:v>
      </x:c>
      <x:c r="E173" s="115" t="str">
        <x:v>Security, Privacy &amp; Compliance
Cost &amp; FinOps
Operations &amp; Support
Reliability &amp; Resilience
Performance &amp; Scalability
Data Residency &amp; Sovereignty
Sustainability</x:v>
      </x:c>
      <x:c r="F173" s="115" t="str">
        <x:v>05 Data Infrastructure</x:v>
      </x:c>
      <x:c r="G173" s="115" t="str">
        <x:v>Storage</x:v>
      </x:c>
      <x:c r="H173" s="115" t="str">
        <x:v>Windows file</x:v>
      </x:c>
      <x:c r="I173" s="115" t="str">
        <x:v>Managed Windows file server</x:v>
      </x:c>
      <x:c r="J173" s="115" t="str">
        <x:v>Provide managed SMB file shares integrated with Windows environments.</x:v>
      </x:c>
      <x:c r="K173" s="115" t="str">
        <x:v>Choose this capability when you need to provide managed smb file shares integrated with windows environments.</x:v>
      </x:c>
      <x:c r="L173" s="115" t="str">
        <x:v>What business outcome, scale, control, integration and operating model justify choosing managed windows file server?</x:v>
      </x:c>
      <x:c r="M173" s="115" t="str">
        <x:v>Managed simplicity and performance versus portability, data gravity and long-term cost.</x:v>
      </x:c>
      <x:c r="N173" s="115" t="n">
        <x:v>3</x:v>
      </x:c>
      <x:c r="O173" s="115" t="str">
        <x:v>Moderate</x:v>
      </x:c>
      <x:c r="P173" s="115" t="str">
        <x:v>1–3 weeks</x:v>
      </x:c>
      <x:c r="Q173" s="115" t="str">
        <x:v>Medium</x:v>
      </x:c>
      <x:c r="R173" s="115" t="str">
        <x:v>Amazon FSx for Windows File Server</x:v>
      </x:c>
      <x:c r="S173" s="115" t="str">
        <x:v>Azure Files</x:v>
      </x:c>
      <x:c r="T173" s="115" t="str">
        <x:v>Filestore Enterprise / partner solutions</x:v>
      </x:c>
      <x:c r="U173" s="115" t="n">
        <x:v>3.93</x:v>
      </x:c>
      <x:c r="V173" s="115" t="n">
        <x:v>3.93</x:v>
      </x:c>
      <x:c r="W173" s="115" t="n">
        <x:v>3.45</x:v>
      </x:c>
      <x:c r="X173" s="118" t="str">
        <x:v>Context-dependent tie</x:v>
      </x:c>
      <x:c r="Y173" s="115" t="str">
        <x:v>Scores are close: use ecosystem, data gravity, region, skills, commercials and proof-of-value results to decide.</x:v>
      </x:c>
      <x:c r="Z173" s="115" t="str">
        <x:v>Close</x:v>
      </x:c>
      <x:c r="AA173" s="115"/>
      <x:c r="AB173" s="115" t="str">
        <x:v>2026-07-12</x:v>
      </x:c>
      <x:c r="AC173" s="115" t="str">
        <x:v>Scored and mapped</x:v>
      </x:c>
      <x:c r="AD173" s="115" t="str">
        <x:v>https://docs.cloud.google.com/docs/product-list</x:v>
      </x:c>
    </x:row>
    <x:row r="174">
      <x:c r="A174" s="115" t="str">
        <x:v>2. Foundation, Infrastructure &amp; Security</x:v>
      </x:c>
      <x:c r="B174" s="115" t="str">
        <x:v>08. Storage, Backup, Archive, DR &amp; Data Transfer</x:v>
      </x:c>
      <x:c r="C174" s="115" t="str">
        <x:v>Data Transfer &amp; Hybrid Storage</x:v>
      </x:c>
      <x:c r="D174" s="115" t="str">
        <x:v>Adopt &amp; Build</x:v>
      </x:c>
      <x:c r="E174" s="115" t="str">
        <x:v>Security, Privacy &amp; Compliance
Cost &amp; FinOps
Operations &amp; Support
Reliability &amp; Resilience
Performance &amp; Scalability
Data Residency &amp; Sovereignty
Sustainability</x:v>
      </x:c>
      <x:c r="F174" s="115" t="str">
        <x:v>05 Data Infrastructure</x:v>
      </x:c>
      <x:c r="G174" s="115" t="str">
        <x:v>Storage</x:v>
      </x:c>
      <x:c r="H174" s="115" t="str">
        <x:v>Hybrid storage</x:v>
      </x:c>
      <x:c r="I174" s="115" t="str">
        <x:v>Hybrid storage gateway</x:v>
      </x:c>
      <x:c r="J174" s="115" t="str">
        <x:v>Connect on-premises applications to cloud storage through local protocols and caching.</x:v>
      </x:c>
      <x:c r="K174" s="115" t="str">
        <x:v>Choose this capability when you need to connect on-premises applications to cloud storage through local protocols and caching.</x:v>
      </x:c>
      <x:c r="L174" s="115" t="str">
        <x:v>What business outcome, scale, control, integration and operating model justify choosing hybrid storage gateway?</x:v>
      </x:c>
      <x:c r="M174" s="115" t="str">
        <x:v>Managed simplicity and performance versus portability, data gravity and long-term cost.</x:v>
      </x:c>
      <x:c r="N174" s="115" t="n">
        <x:v>3</x:v>
      </x:c>
      <x:c r="O174" s="115" t="str">
        <x:v>Moderate</x:v>
      </x:c>
      <x:c r="P174" s="115" t="str">
        <x:v>1–3 weeks</x:v>
      </x:c>
      <x:c r="Q174" s="115" t="str">
        <x:v>Medium</x:v>
      </x:c>
      <x:c r="R174" s="115" t="str">
        <x:v>AWS Storage Gateway</x:v>
      </x:c>
      <x:c r="S174" s="115" t="str">
        <x:v>Azure File Sync
Azure Stack Edge</x:v>
      </x:c>
      <x:c r="T174" s="115" t="str">
        <x:v>Storage Transfer Service agents
Google Distributed Cloud</x:v>
      </x:c>
      <x:c r="U174" s="115" t="n">
        <x:v>3.73</x:v>
      </x:c>
      <x:c r="V174" s="115" t="n">
        <x:v>3.93</x:v>
      </x:c>
      <x:c r="W174" s="115" t="n">
        <x:v>3.66</x:v>
      </x:c>
      <x:c r="X174" s="118" t="str">
        <x:v>Azure</x:v>
      </x:c>
      <x:c r="Y174" s="115" t="str">
        <x:v>Start with Azure when Microsoft identity, security, data, productivity or hybrid integration reduces delivery effort.</x:v>
      </x:c>
      <x:c r="Z174" s="115" t="str">
        <x:v>Partial</x:v>
      </x:c>
      <x:c r="AA174" s="115"/>
      <x:c r="AB174" s="115" t="str">
        <x:v>2026-07-12</x:v>
      </x:c>
      <x:c r="AC174" s="115" t="str">
        <x:v>Scored and mapped</x:v>
      </x:c>
      <x:c r="AD174" s="115" t="str">
        <x:v>https://docs.cloud.google.com/docs/product-list</x:v>
      </x:c>
    </x:row>
    <x:row r="175">
      <x:c r="A175" s="115" t="str">
        <x:v>2. Foundation, Infrastructure &amp; Security</x:v>
      </x:c>
      <x:c r="B175" s="115" t="str">
        <x:v>08. Storage, Backup, Archive, DR &amp; Data Transfer</x:v>
      </x:c>
      <x:c r="C175" s="115" t="str">
        <x:v>Backup &amp; Disaster Recovery</x:v>
      </x:c>
      <x:c r="D175" s="115" t="str">
        <x:v>Adopt &amp; Build</x:v>
      </x:c>
      <x:c r="E175" s="115" t="str">
        <x:v>Security, Privacy &amp; Compliance
Cost &amp; FinOps
Operations &amp; Support
Reliability &amp; Resilience
Performance &amp; Scalability
Data Residency &amp; Sovereignty
Sustainability</x:v>
      </x:c>
      <x:c r="F175" s="115" t="str">
        <x:v>05 Data Infrastructure</x:v>
      </x:c>
      <x:c r="G175" s="115" t="str">
        <x:v>Storage</x:v>
      </x:c>
      <x:c r="H175" s="115" t="str">
        <x:v>Backup</x:v>
      </x:c>
      <x:c r="I175" s="115" t="str">
        <x:v>Central cloud backup</x:v>
      </x:c>
      <x:c r="J175" s="115" t="str">
        <x:v>Protect cloud and hybrid workloads through centrally managed backup policies.</x:v>
      </x:c>
      <x:c r="K175" s="115" t="str">
        <x:v>Choose this capability when you need to protect cloud and hybrid workloads through centrally managed backup policies.</x:v>
      </x:c>
      <x:c r="L175" s="115" t="str">
        <x:v>What business outcome, scale, control, integration and operating model justify choosing central cloud backup?</x:v>
      </x:c>
      <x:c r="M175" s="115" t="str">
        <x:v>Managed simplicity and performance versus portability, data gravity and long-term cost.</x:v>
      </x:c>
      <x:c r="N175" s="115" t="n">
        <x:v>3</x:v>
      </x:c>
      <x:c r="O175" s="115" t="str">
        <x:v>Moderate</x:v>
      </x:c>
      <x:c r="P175" s="115" t="str">
        <x:v>1–3 weeks</x:v>
      </x:c>
      <x:c r="Q175" s="115" t="str">
        <x:v>Medium</x:v>
      </x:c>
      <x:c r="R175" s="115" t="str">
        <x:v>AWS Backup</x:v>
      </x:c>
      <x:c r="S175" s="115" t="str">
        <x:v>Azure Backup</x:v>
      </x:c>
      <x:c r="T175" s="115" t="str">
        <x:v>Backup and DR Service</x:v>
      </x:c>
      <x:c r="U175" s="115" t="n">
        <x:v>3.95</x:v>
      </x:c>
      <x:c r="V175" s="115" t="n">
        <x:v>3.99</x:v>
      </x:c>
      <x:c r="W175" s="115" t="n">
        <x:v>3.97</x:v>
      </x:c>
      <x:c r="X175" s="118" t="str">
        <x:v>Context-dependent tie</x:v>
      </x:c>
      <x:c r="Y175" s="115" t="str">
        <x:v>Scores are close: use ecosystem, data gravity, region, skills, commercials and proof-of-value results to decide.</x:v>
      </x:c>
      <x:c r="Z175" s="115" t="str">
        <x:v>Exact</x:v>
      </x:c>
      <x:c r="AA175" s="115"/>
      <x:c r="AB175" s="115" t="str">
        <x:v>2026-07-12</x:v>
      </x:c>
      <x:c r="AC175" s="115" t="str">
        <x:v>Scored and mapped</x:v>
      </x:c>
      <x:c r="AD175" s="115" t="str">
        <x:v>https://docs.cloud.google.com/docs/product-list</x:v>
      </x:c>
    </x:row>
    <x:row r="176">
      <x:c r="A176" s="115" t="str">
        <x:v>2. Foundation, Infrastructure &amp; Security</x:v>
      </x:c>
      <x:c r="B176" s="115" t="str">
        <x:v>08. Storage, Backup, Archive, DR &amp; Data Transfer</x:v>
      </x:c>
      <x:c r="C176" s="115" t="str">
        <x:v>Backup &amp; Disaster Recovery</x:v>
      </x:c>
      <x:c r="D176" s="115" t="str">
        <x:v>Adopt &amp; Build</x:v>
      </x:c>
      <x:c r="E176" s="115" t="str">
        <x:v>Security, Privacy &amp; Compliance
Cost &amp; FinOps
Operations &amp; Support
Reliability &amp; Resilience
Performance &amp; Scalability
Data Residency &amp; Sovereignty
Sustainability</x:v>
      </x:c>
      <x:c r="F176" s="115" t="str">
        <x:v>05 Data Infrastructure</x:v>
      </x:c>
      <x:c r="G176" s="115" t="str">
        <x:v>Storage</x:v>
      </x:c>
      <x:c r="H176" s="115" t="str">
        <x:v>Disaster recovery</x:v>
      </x:c>
      <x:c r="I176" s="115" t="str">
        <x:v>Managed disaster recovery</x:v>
      </x:c>
      <x:c r="J176" s="115" t="str">
        <x:v>Replicate and recover workloads to meet recovery objectives.</x:v>
      </x:c>
      <x:c r="K176" s="115" t="str">
        <x:v>Choose this capability when you need to replicate and recover workloads to meet recovery objectives.</x:v>
      </x:c>
      <x:c r="L176" s="115" t="str">
        <x:v>What business outcome, scale, control, integration and operating model justify choosing managed disaster recovery?</x:v>
      </x:c>
      <x:c r="M176" s="115" t="str">
        <x:v>Managed simplicity and performance versus portability, data gravity and long-term cost.</x:v>
      </x:c>
      <x:c r="N176" s="115" t="n">
        <x:v>3</x:v>
      </x:c>
      <x:c r="O176" s="115" t="str">
        <x:v>Moderate</x:v>
      </x:c>
      <x:c r="P176" s="115" t="str">
        <x:v>1–3 weeks</x:v>
      </x:c>
      <x:c r="Q176" s="115" t="str">
        <x:v>Medium</x:v>
      </x:c>
      <x:c r="R176" s="115" t="str">
        <x:v>AWS Elastic Disaster Recovery</x:v>
      </x:c>
      <x:c r="S176" s="115" t="str">
        <x:v>Azure Site Recovery</x:v>
      </x:c>
      <x:c r="T176" s="115" t="str">
        <x:v>Backup and DR Service</x:v>
      </x:c>
      <x:c r="U176" s="115" t="n">
        <x:v>3.88</x:v>
      </x:c>
      <x:c r="V176" s="115" t="n">
        <x:v>3.93</x:v>
      </x:c>
      <x:c r="W176" s="115" t="n">
        <x:v>3.91</x:v>
      </x:c>
      <x:c r="X176" s="118" t="str">
        <x:v>Context-dependent tie</x:v>
      </x:c>
      <x:c r="Y176" s="115" t="str">
        <x:v>Scores are close: use ecosystem, data gravity, region, skills, commercials and proof-of-value results to decide.</x:v>
      </x:c>
      <x:c r="Z176" s="115" t="str">
        <x:v>Close</x:v>
      </x:c>
      <x:c r="AA176" s="115"/>
      <x:c r="AB176" s="115" t="str">
        <x:v>2026-07-12</x:v>
      </x:c>
      <x:c r="AC176" s="115" t="str">
        <x:v>Scored and mapped</x:v>
      </x:c>
      <x:c r="AD176" s="115" t="str">
        <x:v>https://docs.cloud.google.com/docs/product-list</x:v>
      </x:c>
    </x:row>
    <x:row r="177">
      <x:c r="A177" s="115" t="str">
        <x:v>2. Foundation, Infrastructure &amp; Security</x:v>
      </x:c>
      <x:c r="B177" s="115" t="str">
        <x:v>08. Storage, Backup, Archive, DR &amp; Data Transfer</x:v>
      </x:c>
      <x:c r="C177" s="115" t="str">
        <x:v>Data Transfer &amp; Hybrid Storage</x:v>
      </x:c>
      <x:c r="D177" s="115" t="str">
        <x:v>Adopt &amp; Build</x:v>
      </x:c>
      <x:c r="E177" s="115" t="str">
        <x:v>Security, Privacy &amp; Compliance
Cost &amp; FinOps
Operations &amp; Support
Reliability &amp; Resilience
Performance &amp; Scalability
Data Residency &amp; Sovereignty
Sustainability</x:v>
      </x:c>
      <x:c r="F177" s="115" t="str">
        <x:v>05 Data Infrastructure</x:v>
      </x:c>
      <x:c r="G177" s="115" t="str">
        <x:v>Storage</x:v>
      </x:c>
      <x:c r="H177" s="115" t="str">
        <x:v>Data transfer</x:v>
      </x:c>
      <x:c r="I177" s="115" t="str">
        <x:v>Online data transfer</x:v>
      </x:c>
      <x:c r="J177" s="115" t="str">
        <x:v>Transfer large datasets between on-premises systems, clouds and cloud storage.</x:v>
      </x:c>
      <x:c r="K177" s="115" t="str">
        <x:v>Choose this capability when you need to transfer large datasets between on-premises systems, clouds and cloud storage.</x:v>
      </x:c>
      <x:c r="L177" s="115" t="str">
        <x:v>What business outcome, scale, control, integration and operating model justify choosing online data transfer?</x:v>
      </x:c>
      <x:c r="M177" s="115" t="str">
        <x:v>Managed simplicity and performance versus portability, data gravity and long-term cost.</x:v>
      </x:c>
      <x:c r="N177" s="115" t="n">
        <x:v>3</x:v>
      </x:c>
      <x:c r="O177" s="115" t="str">
        <x:v>Moderate</x:v>
      </x:c>
      <x:c r="P177" s="115" t="str">
        <x:v>1–3 weeks</x:v>
      </x:c>
      <x:c r="Q177" s="115" t="str">
        <x:v>Medium</x:v>
      </x:c>
      <x:c r="R177" s="115" t="str">
        <x:v>AWS DataSync
AWS Transfer Family</x:v>
      </x:c>
      <x:c r="S177" s="115" t="str">
        <x:v>Azure Storage Mover
Azure Data Factory</x:v>
      </x:c>
      <x:c r="T177" s="115" t="str">
        <x:v>Storage Transfer Service
Data Transfer Essentials</x:v>
      </x:c>
      <x:c r="U177" s="115" t="n">
        <x:v>3.83</x:v>
      </x:c>
      <x:c r="V177" s="115" t="n">
        <x:v>4.09</x:v>
      </x:c>
      <x:c r="W177" s="115" t="n">
        <x:v>3.83</x:v>
      </x:c>
      <x:c r="X177" s="118" t="str">
        <x:v>Azure</x:v>
      </x:c>
      <x:c r="Y177" s="115" t="str">
        <x:v>Start with Azure when Microsoft identity, security, data, productivity or hybrid integration reduces delivery effort.</x:v>
      </x:c>
      <x:c r="Z177" s="115" t="str">
        <x:v>Close</x:v>
      </x:c>
      <x:c r="AA177" s="115"/>
      <x:c r="AB177" s="115" t="str">
        <x:v>2026-07-12</x:v>
      </x:c>
      <x:c r="AC177" s="115" t="str">
        <x:v>Scored and mapped</x:v>
      </x:c>
      <x:c r="AD177" s="115" t="str">
        <x:v>https://docs.cloud.google.com/docs/product-list</x:v>
      </x:c>
    </x:row>
    <x:row r="178">
      <x:c r="A178" s="115" t="str">
        <x:v>2. Foundation, Infrastructure &amp; Security</x:v>
      </x:c>
      <x:c r="B178" s="115" t="str">
        <x:v>08. Storage, Backup, Archive, DR &amp; Data Transfer</x:v>
      </x:c>
      <x:c r="C178" s="115" t="str">
        <x:v>Data Transfer &amp; Hybrid Storage</x:v>
      </x:c>
      <x:c r="D178" s="115" t="str">
        <x:v>Adopt &amp; Build</x:v>
      </x:c>
      <x:c r="E178" s="115" t="str">
        <x:v>Security, Privacy &amp; Compliance
Cost &amp; FinOps
Operations &amp; Support
Reliability &amp; Resilience
Performance &amp; Scalability
Data Residency &amp; Sovereignty
Sustainability</x:v>
      </x:c>
      <x:c r="F178" s="115" t="str">
        <x:v>05 Data Infrastructure</x:v>
      </x:c>
      <x:c r="G178" s="115" t="str">
        <x:v>Storage</x:v>
      </x:c>
      <x:c r="H178" s="115" t="str">
        <x:v>Transfer appliance</x:v>
      </x:c>
      <x:c r="I178" s="115" t="str">
        <x:v>Offline data transfer appliance</x:v>
      </x:c>
      <x:c r="J178" s="115" t="str">
        <x:v>Move large datasets using provider-shipped physical storage appliances.</x:v>
      </x:c>
      <x:c r="K178" s="115" t="str">
        <x:v>Choose this capability when you need to move large datasets using provider-shipped physical storage appliances.</x:v>
      </x:c>
      <x:c r="L178" s="115" t="str">
        <x:v>What business outcome, scale, control, integration and operating model justify choosing offline data transfer appliance?</x:v>
      </x:c>
      <x:c r="M178" s="115" t="str">
        <x:v>Managed simplicity and performance versus portability, data gravity and long-term cost.</x:v>
      </x:c>
      <x:c r="N178" s="115" t="n">
        <x:v>3</x:v>
      </x:c>
      <x:c r="O178" s="115" t="str">
        <x:v>Moderate</x:v>
      </x:c>
      <x:c r="P178" s="115" t="str">
        <x:v>1–3 weeks</x:v>
      </x:c>
      <x:c r="Q178" s="115" t="str">
        <x:v>Medium</x:v>
      </x:c>
      <x:c r="R178" s="115" t="str">
        <x:v>AWS Snow Family</x:v>
      </x:c>
      <x:c r="S178" s="115" t="str">
        <x:v>Azure Data Box</x:v>
      </x:c>
      <x:c r="T178" s="115" t="str">
        <x:v>Transfer Appliance</x:v>
      </x:c>
      <x:c r="U178" s="115" t="n">
        <x:v>3.99</x:v>
      </x:c>
      <x:c r="V178" s="115" t="n">
        <x:v>4.26</x:v>
      </x:c>
      <x:c r="W178" s="115" t="n">
        <x:v>4</x:v>
      </x:c>
      <x:c r="X178" s="118" t="str">
        <x:v>Azure</x:v>
      </x:c>
      <x:c r="Y178" s="115" t="str">
        <x:v>Start with Azure when Microsoft identity, security, data, productivity or hybrid integration reduces delivery effort.</x:v>
      </x:c>
      <x:c r="Z178" s="115" t="str">
        <x:v>Exact</x:v>
      </x:c>
      <x:c r="AA178" s="115"/>
      <x:c r="AB178" s="115" t="str">
        <x:v>2026-07-12</x:v>
      </x:c>
      <x:c r="AC178" s="115" t="str">
        <x:v>Scored and mapped</x:v>
      </x:c>
      <x:c r="AD178" s="115" t="str">
        <x:v>https://docs.cloud.google.com/docs/product-list</x:v>
      </x:c>
    </x:row>
    <x:row r="179">
      <x:c r="A179" s="115" t="str">
        <x:v>2. Foundation, Infrastructure &amp; Security</x:v>
      </x:c>
      <x:c r="B179" s="115" t="str">
        <x:v>08. Storage, Backup, Archive, DR &amp; Data Transfer</x:v>
      </x:c>
      <x:c r="C179" s="115" t="str">
        <x:v>Data Transfer &amp; Hybrid Storage</x:v>
      </x:c>
      <x:c r="D179" s="115" t="str">
        <x:v>Adopt &amp; Build</x:v>
      </x:c>
      <x:c r="E179" s="115" t="str">
        <x:v>Security, Privacy &amp; Compliance
Cost &amp; FinOps
Operations &amp; Support
Reliability &amp; Resilience
Performance &amp; Scalability
Data Residency &amp; Sovereignty
Sustainability</x:v>
      </x:c>
      <x:c r="F179" s="115" t="str">
        <x:v>05 Data Infrastructure</x:v>
      </x:c>
      <x:c r="G179" s="115" t="str">
        <x:v>Storage</x:v>
      </x:c>
      <x:c r="H179" s="115" t="str">
        <x:v>Storage management</x:v>
      </x:c>
      <x:c r="I179" s="115" t="str">
        <x:v>Storage resource management</x:v>
      </x:c>
      <x:c r="J179" s="115" t="str">
        <x:v>Discover, assess and automate actions across cloud storage resources.</x:v>
      </x:c>
      <x:c r="K179" s="115" t="str">
        <x:v>Choose this capability when you need to discover, assess and automate actions across cloud storage resources.</x:v>
      </x:c>
      <x:c r="L179" s="115" t="str">
        <x:v>What business outcome, scale, control, integration and operating model justify choosing storage resource management?</x:v>
      </x:c>
      <x:c r="M179" s="115" t="str">
        <x:v>Managed simplicity and performance versus portability, data gravity and long-term cost.</x:v>
      </x:c>
      <x:c r="N179" s="115" t="n">
        <x:v>3</x:v>
      </x:c>
      <x:c r="O179" s="115" t="str">
        <x:v>Moderate</x:v>
      </x:c>
      <x:c r="P179" s="115" t="str">
        <x:v>1–3 weeks</x:v>
      </x:c>
      <x:c r="Q179" s="115" t="str">
        <x:v>Medium</x:v>
      </x:c>
      <x:c r="R179" s="115" t="str">
        <x:v>Amazon S3 Storage Lens
AWS DataSync Discovery</x:v>
      </x:c>
      <x:c r="S179" s="115" t="str">
        <x:v>Azure Storage Actions
Azure Storage Discovery</x:v>
      </x:c>
      <x:c r="T179" s="115" t="str">
        <x:v>Storage Insights / Cloud Asset Inventory</x:v>
      </x:c>
      <x:c r="U179" s="115" t="n">
        <x:v>3.65</x:v>
      </x:c>
      <x:c r="V179" s="115" t="n">
        <x:v>3.93</x:v>
      </x:c>
      <x:c r="W179" s="115" t="n">
        <x:v>3.66</x:v>
      </x:c>
      <x:c r="X179" s="118" t="str">
        <x:v>Azure</x:v>
      </x:c>
      <x:c r="Y179" s="115" t="str">
        <x:v>Start with Azure when Microsoft identity, security, data, productivity or hybrid integration reduces delivery effort.</x:v>
      </x:c>
      <x:c r="Z179" s="115" t="str">
        <x:v>Partial</x:v>
      </x:c>
      <x:c r="AA179" s="115"/>
      <x:c r="AB179" s="115" t="str">
        <x:v>2026-07-12</x:v>
      </x:c>
      <x:c r="AC179" s="115" t="str">
        <x:v>Scored and mapped</x:v>
      </x:c>
      <x:c r="AD179" s="115" t="str">
        <x:v>https://docs.cloud.google.com/docs/product-list</x:v>
      </x:c>
    </x:row>
    <x:row r="180">
      <x:c r="A180" s="115" t="str">
        <x:v>2. Foundation, Infrastructure &amp; Security</x:v>
      </x:c>
      <x:c r="B180" s="115" t="str">
        <x:v>08. Storage, Backup, Archive, DR &amp; Data Transfer</x:v>
      </x:c>
      <x:c r="C180" s="115" t="str">
        <x:v>Block &amp; Local Storage</x:v>
      </x:c>
      <x:c r="D180" s="115" t="str">
        <x:v>Adopt &amp; Build</x:v>
      </x:c>
      <x:c r="E180" s="115" t="str">
        <x:v>Security, Privacy &amp; Compliance
Cost &amp; FinOps
Operations &amp; Support
Reliability &amp; Resilience
Performance &amp; Scalability
Data Residency &amp; Sovereignty
Sustainability</x:v>
      </x:c>
      <x:c r="F180" s="115" t="str">
        <x:v>05 Data Infrastructure</x:v>
      </x:c>
      <x:c r="G180" s="115" t="str">
        <x:v>Storage</x:v>
      </x:c>
      <x:c r="H180" s="115" t="str">
        <x:v>Elastic SAN</x:v>
      </x:c>
      <x:c r="I180" s="115" t="str">
        <x:v>Managed cloud SAN</x:v>
      </x:c>
      <x:c r="J180" s="115" t="str">
        <x:v>Provide centrally provisioned block storage through SAN-style constructs.</x:v>
      </x:c>
      <x:c r="K180" s="115" t="str">
        <x:v>Choose this capability when you need to provide centrally provisioned block storage through san-style constructs.</x:v>
      </x:c>
      <x:c r="L180" s="115" t="str">
        <x:v>What business outcome, scale, control, integration and operating model justify choosing managed cloud san?</x:v>
      </x:c>
      <x:c r="M180" s="115" t="str">
        <x:v>Managed simplicity and performance versus portability, data gravity and long-term cost.</x:v>
      </x:c>
      <x:c r="N180" s="115" t="n">
        <x:v>3</x:v>
      </x:c>
      <x:c r="O180" s="115" t="str">
        <x:v>Moderate</x:v>
      </x:c>
      <x:c r="P180" s="115" t="str">
        <x:v>1–3 weeks</x:v>
      </x:c>
      <x:c r="Q180" s="115" t="str">
        <x:v>Medium</x:v>
      </x:c>
      <x:c r="R180" s="115" t="str">
        <x:v>Amazon EBS / FSx</x:v>
      </x:c>
      <x:c r="S180" s="115" t="str">
        <x:v>Azure Elastic SAN</x:v>
      </x:c>
      <x:c r="T180" s="115" t="str">
        <x:v>Hyperdisk Storage Pools</x:v>
      </x:c>
      <x:c r="U180" s="115" t="n">
        <x:v>3.67</x:v>
      </x:c>
      <x:c r="V180" s="115" t="n">
        <x:v>3.74</x:v>
      </x:c>
      <x:c r="W180" s="115" t="n">
        <x:v>3.72</x:v>
      </x:c>
      <x:c r="X180" s="118" t="str">
        <x:v>Context-dependent tie</x:v>
      </x:c>
      <x:c r="Y180" s="115" t="str">
        <x:v>Scores are close: use ecosystem, data gravity, region, skills, commercials and proof-of-value results to decide.</x:v>
      </x:c>
      <x:c r="Z180" s="115" t="str">
        <x:v>Partial</x:v>
      </x:c>
      <x:c r="AA180" s="115"/>
      <x:c r="AB180" s="115" t="str">
        <x:v>2026-07-12</x:v>
      </x:c>
      <x:c r="AC180" s="115" t="str">
        <x:v>Scored and mapped</x:v>
      </x:c>
      <x:c r="AD180" s="115" t="str">
        <x:v>https://docs.cloud.google.com/docs/product-list</x:v>
      </x:c>
    </x:row>
    <x:row r="181">
      <x:c r="A181" s="115" t="str">
        <x:v>3. Data &amp; Intelligence</x:v>
      </x:c>
      <x:c r="B181" s="115" t="str">
        <x:v>11. Data Lake, Warehouse, Lakehouse, Analytics &amp; BI</x:v>
      </x:c>
      <x:c r="C181" s="115" t="str">
        <x:v>Data Lake, Warehouse &amp; Lakehouse</x:v>
      </x:c>
      <x:c r="D181" s="115" t="str">
        <x:v>Adopt &amp; Build</x:v>
      </x:c>
      <x:c r="E181" s="115" t="str">
        <x:v>Security, Privacy &amp; Compliance
Cost &amp; FinOps
Operations &amp; Support
Reliability &amp; Resilience
Performance &amp; Scalability
Data Residency &amp; Sovereignty
Portability &amp; Exit
Sustainability</x:v>
      </x:c>
      <x:c r="F181" s="115" t="str">
        <x:v>06 Data Platform, Analytics &amp; BI</x:v>
      </x:c>
      <x:c r="G181" s="115" t="str">
        <x:v>Data, Analytics &amp; BI</x:v>
      </x:c>
      <x:c r="H181" s="115" t="str">
        <x:v>Data warehouse</x:v>
      </x:c>
      <x:c r="I181" s="115" t="str">
        <x:v>Cloud data warehouse</x:v>
      </x:c>
      <x:c r="J181" s="115" t="str">
        <x:v>Run scalable analytical SQL workloads over structured and semi-structured data.</x:v>
      </x:c>
      <x:c r="K181" s="115" t="str">
        <x:v>Choose this capability when you need to run scalable analytical sql workloads over structured and semi-structured data.</x:v>
      </x:c>
      <x:c r="L181" s="115" t="str">
        <x:v>Is the primary need governed BI, open data-lake processing, real-time analytics, or one unified lakehouse?</x:v>
      </x:c>
      <x:c r="M181" s="115" t="str">
        <x:v>Managed simplicity and performance versus portability, data gravity and long-term cost.</x:v>
      </x:c>
      <x:c r="N181" s="115" t="n">
        <x:v>3</x:v>
      </x:c>
      <x:c r="O181" s="115" t="str">
        <x:v>Moderate</x:v>
      </x:c>
      <x:c r="P181" s="115" t="str">
        <x:v>1–3 weeks</x:v>
      </x:c>
      <x:c r="Q181" s="115" t="str">
        <x:v>High</x:v>
      </x:c>
      <x:c r="R181" s="115" t="str">
        <x:v>Amazon Redshift
Amazon Redshift Serverless</x:v>
      </x:c>
      <x:c r="S181" s="115" t="str">
        <x:v>Azure Synapse Analytics
Microsoft Fabric Warehouse</x:v>
      </x:c>
      <x:c r="T181" s="115" t="str">
        <x:v>BigQuery</x:v>
      </x:c>
      <x:c r="U181" s="115" t="n">
        <x:v>3.76</x:v>
      </x:c>
      <x:c r="V181" s="115" t="n">
        <x:v>3.82</x:v>
      </x:c>
      <x:c r="W181" s="115" t="n">
        <x:v>4.14</x:v>
      </x:c>
      <x:c r="X181" s="118" t="str">
        <x:v>GCP</x:v>
      </x:c>
      <x:c r="Y181" s="115" t="str">
        <x:v>Start with Google Cloud when data, AI, Kubernetes, network or managed developer experience is the main differentiator.</x:v>
      </x:c>
      <x:c r="Z181" s="115" t="str">
        <x:v>Close</x:v>
      </x:c>
      <x:c r="AA181" s="115"/>
      <x:c r="AB181" s="115" t="str">
        <x:v>2026-07-12</x:v>
      </x:c>
      <x:c r="AC181" s="115" t="str">
        <x:v>Scored and mapped</x:v>
      </x:c>
      <x:c r="AD181" s="115" t="str">
        <x:v>https://azure.microsoft.com/en-us/products/category</x:v>
      </x:c>
    </x:row>
    <x:row r="182">
      <x:c r="A182" s="115" t="str">
        <x:v>3. Data &amp; Intelligence</x:v>
      </x:c>
      <x:c r="B182" s="115" t="str">
        <x:v>11. Data Lake, Warehouse, Lakehouse, Analytics &amp; BI</x:v>
      </x:c>
      <x:c r="C182" s="115" t="str">
        <x:v>Data Lake, Warehouse &amp; Lakehouse</x:v>
      </x:c>
      <x:c r="D182" s="115" t="str">
        <x:v>Adopt &amp; Build</x:v>
      </x:c>
      <x:c r="E182" s="115" t="str">
        <x:v>Security, Privacy &amp; Compliance
Cost &amp; FinOps
Operations &amp; Support
Reliability &amp; Resilience
Performance &amp; Scalability
Data Residency &amp; Sovereignty
Portability &amp; Exit
Sustainability</x:v>
      </x:c>
      <x:c r="F182" s="115" t="str">
        <x:v>06 Data Platform, Analytics &amp; BI</x:v>
      </x:c>
      <x:c r="G182" s="115" t="str">
        <x:v>Data, Analytics &amp; BI</x:v>
      </x:c>
      <x:c r="H182" s="115" t="str">
        <x:v>Lakehouse</x:v>
      </x:c>
      <x:c r="I182" s="115" t="str">
        <x:v>Lakehouse platform</x:v>
      </x:c>
      <x:c r="J182" s="115" t="str">
        <x:v>Combine data-lake flexibility with warehouse governance and analytics.</x:v>
      </x:c>
      <x:c r="K182" s="115" t="str">
        <x:v>Choose this capability when you need to combine data-lake flexibility with warehouse governance and analytics.</x:v>
      </x:c>
      <x:c r="L182" s="115" t="str">
        <x:v>Is the primary need governed BI, open data-lake processing, real-time analytics, or one unified lakehouse?</x:v>
      </x:c>
      <x:c r="M182" s="115" t="str">
        <x:v>Managed simplicity and performance versus portability, data gravity and long-term cost.</x:v>
      </x:c>
      <x:c r="N182" s="115" t="n">
        <x:v>3</x:v>
      </x:c>
      <x:c r="O182" s="115" t="str">
        <x:v>Moderate</x:v>
      </x:c>
      <x:c r="P182" s="115" t="str">
        <x:v>1–3 weeks</x:v>
      </x:c>
      <x:c r="Q182" s="115" t="str">
        <x:v>Medium</x:v>
      </x:c>
      <x:c r="R182" s="115" t="str">
        <x:v>Amazon S3
AWS Lake Formation
Amazon Redshift
AWS Glue</x:v>
      </x:c>
      <x:c r="S182" s="115" t="str">
        <x:v>Microsoft Fabric
Azure Databricks
Azure Data Lake Storage</x:v>
      </x:c>
      <x:c r="T182" s="115" t="str">
        <x:v>BigQuery Lakehouse
Lakehouse</x:v>
      </x:c>
      <x:c r="U182" s="115" t="n">
        <x:v>3.8</x:v>
      </x:c>
      <x:c r="V182" s="115" t="n">
        <x:v>3.86</x:v>
      </x:c>
      <x:c r="W182" s="115" t="n">
        <x:v>4.06</x:v>
      </x:c>
      <x:c r="X182" s="118" t="str">
        <x:v>GCP</x:v>
      </x:c>
      <x:c r="Y182" s="115" t="str">
        <x:v>Start with Google Cloud when data, AI, Kubernetes, network or managed developer experience is the main differentiator.</x:v>
      </x:c>
      <x:c r="Z182" s="115" t="str">
        <x:v>Close</x:v>
      </x:c>
      <x:c r="AA182" s="115"/>
      <x:c r="AB182" s="115" t="str">
        <x:v>2026-07-12</x:v>
      </x:c>
      <x:c r="AC182" s="115" t="str">
        <x:v>Scored and mapped</x:v>
      </x:c>
      <x:c r="AD182" s="115" t="str">
        <x:v>https://azure.microsoft.com/en-us/products/category</x:v>
      </x:c>
    </x:row>
    <x:row r="183">
      <x:c r="A183" s="115" t="str">
        <x:v>3. Data &amp; Intelligence</x:v>
      </x:c>
      <x:c r="B183" s="115" t="str">
        <x:v>11. Data Lake, Warehouse, Lakehouse, Analytics &amp; BI</x:v>
      </x:c>
      <x:c r="C183" s="115" t="str">
        <x:v>Data Lake, Warehouse &amp; Lakehouse</x:v>
      </x:c>
      <x:c r="D183" s="115" t="str">
        <x:v>Adopt &amp; Build</x:v>
      </x:c>
      <x:c r="E183" s="115" t="str">
        <x:v>Security, Privacy &amp; Compliance
Cost &amp; FinOps
Operations &amp; Support
Reliability &amp; Resilience
Performance &amp; Scalability
Data Residency &amp; Sovereignty
Portability &amp; Exit
Sustainability</x:v>
      </x:c>
      <x:c r="F183" s="115" t="str">
        <x:v>06 Data Platform, Analytics &amp; BI</x:v>
      </x:c>
      <x:c r="G183" s="115" t="str">
        <x:v>Data, Analytics &amp; BI</x:v>
      </x:c>
      <x:c r="H183" s="115" t="str">
        <x:v>Data lake</x:v>
      </x:c>
      <x:c r="I183" s="115" t="str">
        <x:v>Cloud data lake storage</x:v>
      </x:c>
      <x:c r="J183" s="115" t="str">
        <x:v>Store raw and curated data centrally for analytics, ML and governance.</x:v>
      </x:c>
      <x:c r="K183" s="115" t="str">
        <x:v>Choose this capability when you need to store raw and curated data centrally for analytics, ml and governance.</x:v>
      </x:c>
      <x:c r="L183" s="115" t="str">
        <x:v>Is the primary need governed BI, open data-lake processing, real-time analytics, or one unified lakehouse?</x:v>
      </x:c>
      <x:c r="M183" s="115" t="str">
        <x:v>Managed simplicity and performance versus portability, data gravity and long-term cost.</x:v>
      </x:c>
      <x:c r="N183" s="115" t="n">
        <x:v>3</x:v>
      </x:c>
      <x:c r="O183" s="115" t="str">
        <x:v>Moderate</x:v>
      </x:c>
      <x:c r="P183" s="115" t="str">
        <x:v>1–3 weeks</x:v>
      </x:c>
      <x:c r="Q183" s="115" t="str">
        <x:v>Medium</x:v>
      </x:c>
      <x:c r="R183" s="115" t="str">
        <x:v>Amazon S3
AWS Lake Formation</x:v>
      </x:c>
      <x:c r="S183" s="115" t="str">
        <x:v>Azure Data Lake Storage</x:v>
      </x:c>
      <x:c r="T183" s="115" t="str">
        <x:v>Cloud Storage
BigLake</x:v>
      </x:c>
      <x:c r="U183" s="115" t="n">
        <x:v>3.84</x:v>
      </x:c>
      <x:c r="V183" s="115" t="n">
        <x:v>3.95</x:v>
      </x:c>
      <x:c r="W183" s="115" t="n">
        <x:v>4.06</x:v>
      </x:c>
      <x:c r="X183" s="118" t="str">
        <x:v>Context-dependent tie</x:v>
      </x:c>
      <x:c r="Y183" s="115" t="str">
        <x:v>Scores are close: use ecosystem, data gravity, region, skills, commercials and proof-of-value results to decide.</x:v>
      </x:c>
      <x:c r="Z183" s="115" t="str">
        <x:v>Close</x:v>
      </x:c>
      <x:c r="AA183" s="115"/>
      <x:c r="AB183" s="115" t="str">
        <x:v>2026-07-12</x:v>
      </x:c>
      <x:c r="AC183" s="115" t="str">
        <x:v>Scored and mapped</x:v>
      </x:c>
      <x:c r="AD183" s="115" t="str">
        <x:v>https://azure.microsoft.com/en-us/products/category</x:v>
      </x:c>
    </x:row>
    <x:row r="184">
      <x:c r="A184" s="115" t="str">
        <x:v>3. Data &amp; Intelligence</x:v>
      </x:c>
      <x:c r="B184" s="115" t="str">
        <x:v>11. Data Lake, Warehouse, Lakehouse, Analytics &amp; BI</x:v>
      </x:c>
      <x:c r="C184" s="115" t="str">
        <x:v>Data Lake, Warehouse &amp; Lakehouse</x:v>
      </x:c>
      <x:c r="D184" s="115" t="str">
        <x:v>Adopt &amp; Build</x:v>
      </x:c>
      <x:c r="E184" s="115" t="str">
        <x:v>Security, Privacy &amp; Compliance
Cost &amp; FinOps
Operations &amp; Support
Reliability &amp; Resilience
Performance &amp; Scalability
Data Residency &amp; Sovereignty
Portability &amp; Exit
Sustainability</x:v>
      </x:c>
      <x:c r="F184" s="115" t="str">
        <x:v>06 Data Platform, Analytics &amp; BI</x:v>
      </x:c>
      <x:c r="G184" s="115" t="str">
        <x:v>Data, Analytics &amp; BI</x:v>
      </x:c>
      <x:c r="H184" s="115" t="str">
        <x:v>Serverless SQL</x:v>
      </x:c>
      <x:c r="I184" s="115" t="str">
        <x:v>Serverless query over data lake</x:v>
      </x:c>
      <x:c r="J184" s="115" t="str">
        <x:v>Query files in object storage using SQL without managing database servers.</x:v>
      </x:c>
      <x:c r="K184" s="115" t="str">
        <x:v>Choose this capability when you need to query files in object storage using sql without managing database servers.</x:v>
      </x:c>
      <x:c r="L184" s="115" t="str">
        <x:v>Is the primary need governed BI, open data-lake processing, real-time analytics, or one unified lakehouse?</x:v>
      </x:c>
      <x:c r="M184" s="115" t="str">
        <x:v>Managed simplicity and performance versus portability, data gravity and long-term cost.</x:v>
      </x:c>
      <x:c r="N184" s="115" t="n">
        <x:v>3</x:v>
      </x:c>
      <x:c r="O184" s="115" t="str">
        <x:v>Moderate</x:v>
      </x:c>
      <x:c r="P184" s="115" t="str">
        <x:v>1–3 weeks</x:v>
      </x:c>
      <x:c r="Q184" s="115" t="str">
        <x:v>High</x:v>
      </x:c>
      <x:c r="R184" s="115" t="str">
        <x:v>Amazon Athena</x:v>
      </x:c>
      <x:c r="S184" s="115" t="str">
        <x:v>Azure Synapse serverless SQL
Microsoft Fabric</x:v>
      </x:c>
      <x:c r="T184" s="115" t="str">
        <x:v>BigQuery external tables
BigLake</x:v>
      </x:c>
      <x:c r="U184" s="115" t="n">
        <x:v>3.99</x:v>
      </x:c>
      <x:c r="V184" s="115" t="n">
        <x:v>3.89</x:v>
      </x:c>
      <x:c r="W184" s="115" t="n">
        <x:v>4.04</x:v>
      </x:c>
      <x:c r="X184" s="118" t="str">
        <x:v>Context-dependent tie</x:v>
      </x:c>
      <x:c r="Y184" s="115" t="str">
        <x:v>Scores are close: use ecosystem, data gravity, region, skills, commercials and proof-of-value results to decide.</x:v>
      </x:c>
      <x:c r="Z184" s="115" t="str">
        <x:v>Close</x:v>
      </x:c>
      <x:c r="AA184" s="115"/>
      <x:c r="AB184" s="115" t="str">
        <x:v>2026-07-12</x:v>
      </x:c>
      <x:c r="AC184" s="115" t="str">
        <x:v>Scored and mapped</x:v>
      </x:c>
      <x:c r="AD184" s="115" t="str">
        <x:v>https://azure.microsoft.com/en-us/products/category</x:v>
      </x:c>
    </x:row>
    <x:row r="185">
      <x:c r="A185" s="115" t="str">
        <x:v>3. Data &amp; Intelligence</x:v>
      </x:c>
      <x:c r="B185" s="115" t="str">
        <x:v>10. Data Integration, ETL/ELT, Messaging &amp; Streaming</x:v>
      </x:c>
      <x:c r="C185" s="115" t="str">
        <x:v>Data Engineering &amp; Orchestration</x:v>
      </x:c>
      <x:c r="D185" s="115" t="str">
        <x:v>Adopt &amp; Build</x:v>
      </x:c>
      <x:c r="E185" s="115" t="str">
        <x:v>Security, Privacy &amp; Compliance
Cost &amp; FinOps
Operations &amp; Support
Reliability &amp; Resilience
Performance &amp; Scalability
Data Residency &amp; Sovereignty
Portability &amp; Exit</x:v>
      </x:c>
      <x:c r="F185" s="115" t="str">
        <x:v>06 Data Platform, Analytics &amp; BI</x:v>
      </x:c>
      <x:c r="G185" s="115" t="str">
        <x:v>Data, Analytics &amp; BI</x:v>
      </x:c>
      <x:c r="H185" s="115" t="str">
        <x:v>Big data</x:v>
      </x:c>
      <x:c r="I185" s="115" t="str">
        <x:v>Managed Spark and Hadoop</x:v>
      </x:c>
      <x:c r="J185" s="115" t="str">
        <x:v>Run managed open-source big-data processing frameworks.</x:v>
      </x:c>
      <x:c r="K185" s="115" t="str">
        <x:v>Choose this capability when you need to run managed open-source big-data processing frameworks.</x:v>
      </x:c>
      <x:c r="L185" s="115" t="str">
        <x:v>Do you need batch ETL, ELT, Spark, CDC, orchestration, or a unified managed pipeline experience?</x:v>
      </x:c>
      <x:c r="M185" s="115" t="str">
        <x:v>Managed simplicity and performance versus portability, data gravity and long-term cost.</x:v>
      </x:c>
      <x:c r="N185" s="115" t="n">
        <x:v>3</x:v>
      </x:c>
      <x:c r="O185" s="115" t="str">
        <x:v>Moderate</x:v>
      </x:c>
      <x:c r="P185" s="115" t="str">
        <x:v>1–3 weeks</x:v>
      </x:c>
      <x:c r="Q185" s="115" t="str">
        <x:v>Medium</x:v>
      </x:c>
      <x:c r="R185" s="115" t="str">
        <x:v>Amazon EMR</x:v>
      </x:c>
      <x:c r="S185" s="115" t="str">
        <x:v>Azure HDInsight
Azure Databricks</x:v>
      </x:c>
      <x:c r="T185" s="115" t="str">
        <x:v>Managed Service for Apache Spark
Dataproc</x:v>
      </x:c>
      <x:c r="U185" s="115" t="n">
        <x:v>3.88</x:v>
      </x:c>
      <x:c r="V185" s="115" t="n">
        <x:v>3.89</x:v>
      </x:c>
      <x:c r="W185" s="115" t="n">
        <x:v>3.95</x:v>
      </x:c>
      <x:c r="X185" s="118" t="str">
        <x:v>Context-dependent tie</x:v>
      </x:c>
      <x:c r="Y185" s="115" t="str">
        <x:v>Scores are close: use ecosystem, data gravity, region, skills, commercials and proof-of-value results to decide.</x:v>
      </x:c>
      <x:c r="Z185" s="115" t="str">
        <x:v>Close</x:v>
      </x:c>
      <x:c r="AA185" s="115"/>
      <x:c r="AB185" s="115" t="str">
        <x:v>2026-07-12</x:v>
      </x:c>
      <x:c r="AC185" s="115" t="str">
        <x:v>Scored and mapped</x:v>
      </x:c>
      <x:c r="AD185" s="115" t="str">
        <x:v>https://docs.cloud.google.com/docs/product-list</x:v>
      </x:c>
    </x:row>
    <x:row r="186">
      <x:c r="A186" s="115" t="str">
        <x:v>3. Data &amp; Intelligence</x:v>
      </x:c>
      <x:c r="B186" s="115" t="str">
        <x:v>10. Data Integration, ETL/ELT, Messaging &amp; Streaming</x:v>
      </x:c>
      <x:c r="C186" s="115" t="str">
        <x:v>Streaming &amp; Real-Time Data</x:v>
      </x:c>
      <x:c r="D186" s="115" t="str">
        <x:v>Adopt &amp; Build</x:v>
      </x:c>
      <x:c r="E186" s="115" t="str">
        <x:v>Security, Privacy &amp; Compliance
Cost &amp; FinOps
Operations &amp; Support
Reliability &amp; Resilience
Performance &amp; Scalability
Data Residency &amp; Sovereignty
Portability &amp; Exit</x:v>
      </x:c>
      <x:c r="F186" s="115" t="str">
        <x:v>06 Data Platform, Analytics &amp; BI</x:v>
      </x:c>
      <x:c r="G186" s="115" t="str">
        <x:v>Data, Analytics &amp; BI</x:v>
      </x:c>
      <x:c r="H186" s="115" t="str">
        <x:v>Streaming ingestion</x:v>
      </x:c>
      <x:c r="I186" s="115" t="str">
        <x:v>Streaming event ingestion</x:v>
      </x:c>
      <x:c r="J186" s="115" t="str">
        <x:v>Ingest high-volume event streams for near-real-time processing.</x:v>
      </x:c>
      <x:c r="K186" s="115" t="str">
        <x:v>Choose this capability when you need to ingest high-volume event streams for near-real-time processing.</x:v>
      </x:c>
      <x:c r="L186" s="115" t="str">
        <x:v>What throughput, ordering, replay, latency and ecosystem compatibility are required?</x:v>
      </x:c>
      <x:c r="M186" s="115" t="str">
        <x:v>Managed simplicity and performance versus portability, data gravity and long-term cost.</x:v>
      </x:c>
      <x:c r="N186" s="115" t="n">
        <x:v>3</x:v>
      </x:c>
      <x:c r="O186" s="115" t="str">
        <x:v>Moderate</x:v>
      </x:c>
      <x:c r="P186" s="115" t="str">
        <x:v>1–3 weeks</x:v>
      </x:c>
      <x:c r="Q186" s="115" t="str">
        <x:v>Medium</x:v>
      </x:c>
      <x:c r="R186" s="115" t="str">
        <x:v>Amazon Kinesis Data Streams
Amazon Data Firehose</x:v>
      </x:c>
      <x:c r="S186" s="115" t="str">
        <x:v>Azure Event Hubs</x:v>
      </x:c>
      <x:c r="T186" s="115" t="str">
        <x:v>Pub/Sub
Managed Service for Apache Kafka</x:v>
      </x:c>
      <x:c r="U186" s="115" t="n">
        <x:v>3.8</x:v>
      </x:c>
      <x:c r="V186" s="115" t="n">
        <x:v>3.93</x:v>
      </x:c>
      <x:c r="W186" s="115" t="n">
        <x:v>3.95</x:v>
      </x:c>
      <x:c r="X186" s="118" t="str">
        <x:v>Context-dependent tie</x:v>
      </x:c>
      <x:c r="Y186" s="115" t="str">
        <x:v>Scores are close: use ecosystem, data gravity, region, skills, commercials and proof-of-value results to decide.</x:v>
      </x:c>
      <x:c r="Z186" s="115" t="str">
        <x:v>Close</x:v>
      </x:c>
      <x:c r="AA186" s="115"/>
      <x:c r="AB186" s="115" t="str">
        <x:v>2026-07-12</x:v>
      </x:c>
      <x:c r="AC186" s="115" t="str">
        <x:v>Scored and mapped</x:v>
      </x:c>
      <x:c r="AD186" s="115" t="str">
        <x:v>https://docs.cloud.google.com/docs/product-list</x:v>
      </x:c>
    </x:row>
    <x:row r="187">
      <x:c r="A187" s="115" t="str">
        <x:v>3. Data &amp; Intelligence</x:v>
      </x:c>
      <x:c r="B187" s="115" t="str">
        <x:v>10. Data Integration, ETL/ELT, Messaging &amp; Streaming</x:v>
      </x:c>
      <x:c r="C187" s="115" t="str">
        <x:v>Streaming &amp; Real-Time Data</x:v>
      </x:c>
      <x:c r="D187" s="115" t="str">
        <x:v>Adopt &amp; Build</x:v>
      </x:c>
      <x:c r="E187" s="115" t="str">
        <x:v>Security, Privacy &amp; Compliance
Cost &amp; FinOps
Operations &amp; Support
Reliability &amp; Resilience
Performance &amp; Scalability
Data Residency &amp; Sovereignty
Portability &amp; Exit</x:v>
      </x:c>
      <x:c r="F187" s="115" t="str">
        <x:v>06 Data Platform, Analytics &amp; BI</x:v>
      </x:c>
      <x:c r="G187" s="115" t="str">
        <x:v>Data, Analytics &amp; BI</x:v>
      </x:c>
      <x:c r="H187" s="115" t="str">
        <x:v>Stream processing</x:v>
      </x:c>
      <x:c r="I187" s="115" t="str">
        <x:v>Managed stream processing</x:v>
      </x:c>
      <x:c r="J187" s="115" t="str">
        <x:v>Process and transform continuously arriving data with low latency.</x:v>
      </x:c>
      <x:c r="K187" s="115" t="str">
        <x:v>Choose this capability when you need to process and transform continuously arriving data with low latency.</x:v>
      </x:c>
      <x:c r="L187" s="115" t="str">
        <x:v>What throughput, ordering, replay, latency and ecosystem compatibility are required?</x:v>
      </x:c>
      <x:c r="M187" s="115" t="str">
        <x:v>Managed simplicity and performance versus portability, data gravity and long-term cost.</x:v>
      </x:c>
      <x:c r="N187" s="115" t="n">
        <x:v>3</x:v>
      </x:c>
      <x:c r="O187" s="115" t="str">
        <x:v>Moderate</x:v>
      </x:c>
      <x:c r="P187" s="115" t="str">
        <x:v>1–3 weeks</x:v>
      </x:c>
      <x:c r="Q187" s="115" t="str">
        <x:v>Medium</x:v>
      </x:c>
      <x:c r="R187" s="115" t="str">
        <x:v>Amazon Managed Service for Apache Flink
Amazon Kinesis Data Analytics</x:v>
      </x:c>
      <x:c r="S187" s="115" t="str">
        <x:v>Azure Stream Analytics
Azure Databricks Structured Streaming</x:v>
      </x:c>
      <x:c r="T187" s="115" t="str">
        <x:v>Dataflow</x:v>
      </x:c>
      <x:c r="U187" s="115" t="n">
        <x:v>3.8</x:v>
      </x:c>
      <x:c r="V187" s="115" t="n">
        <x:v>3.84</x:v>
      </x:c>
      <x:c r="W187" s="115" t="n">
        <x:v>4.07</x:v>
      </x:c>
      <x:c r="X187" s="118" t="str">
        <x:v>GCP</x:v>
      </x:c>
      <x:c r="Y187" s="115" t="str">
        <x:v>Start with Google Cloud when data, AI, Kubernetes, network or managed developer experience is the main differentiator.</x:v>
      </x:c>
      <x:c r="Z187" s="115" t="str">
        <x:v>Close</x:v>
      </x:c>
      <x:c r="AA187" s="115"/>
      <x:c r="AB187" s="115" t="str">
        <x:v>2026-07-12</x:v>
      </x:c>
      <x:c r="AC187" s="115" t="str">
        <x:v>Scored and mapped</x:v>
      </x:c>
      <x:c r="AD187" s="115" t="str">
        <x:v>https://docs.cloud.google.com/docs/product-list</x:v>
      </x:c>
    </x:row>
    <x:row r="188">
      <x:c r="A188" s="115" t="str">
        <x:v>3. Data &amp; Intelligence</x:v>
      </x:c>
      <x:c r="B188" s="115" t="str">
        <x:v>10. Data Integration, ETL/ELT, Messaging &amp; Streaming</x:v>
      </x:c>
      <x:c r="C188" s="115" t="str">
        <x:v>Streaming &amp; Real-Time Data</x:v>
      </x:c>
      <x:c r="D188" s="115" t="str">
        <x:v>Adopt &amp; Build</x:v>
      </x:c>
      <x:c r="E188" s="115" t="str">
        <x:v>Security, Privacy &amp; Compliance
Cost &amp; FinOps
Operations &amp; Support
Reliability &amp; Resilience
Performance &amp; Scalability
Data Residency &amp; Sovereignty
Portability &amp; Exit</x:v>
      </x:c>
      <x:c r="F188" s="115" t="str">
        <x:v>06 Data Platform, Analytics &amp; BI</x:v>
      </x:c>
      <x:c r="G188" s="115" t="str">
        <x:v>Data, Analytics &amp; BI</x:v>
      </x:c>
      <x:c r="H188" s="115" t="str">
        <x:v>Kafka</x:v>
      </x:c>
      <x:c r="I188" s="115" t="str">
        <x:v>Managed Apache Kafka</x:v>
      </x:c>
      <x:c r="J188" s="115" t="str">
        <x:v>Operate Apache Kafka clusters as a managed service.</x:v>
      </x:c>
      <x:c r="K188" s="115" t="str">
        <x:v>Choose this capability when you need to operate apache kafka clusters as a managed service.</x:v>
      </x:c>
      <x:c r="L188" s="115" t="str">
        <x:v>What throughput, ordering, replay, latency and ecosystem compatibility are required?</x:v>
      </x:c>
      <x:c r="M188" s="115" t="str">
        <x:v>Managed simplicity and performance versus portability, data gravity and long-term cost.</x:v>
      </x:c>
      <x:c r="N188" s="115" t="n">
        <x:v>3</x:v>
      </x:c>
      <x:c r="O188" s="115" t="str">
        <x:v>Moderate</x:v>
      </x:c>
      <x:c r="P188" s="115" t="str">
        <x:v>1–3 weeks</x:v>
      </x:c>
      <x:c r="Q188" s="115" t="str">
        <x:v>Low</x:v>
      </x:c>
      <x:c r="R188" s="115" t="str">
        <x:v>Amazon Managed Streaming for Apache Kafka</x:v>
      </x:c>
      <x:c r="S188" s="115" t="str">
        <x:v>Azure Event Hubs Kafka endpoint
Confluent Cloud on Azure</x:v>
      </x:c>
      <x:c r="T188" s="115" t="str">
        <x:v>Managed Service for Apache Kafka</x:v>
      </x:c>
      <x:c r="U188" s="115" t="n">
        <x:v>3.95</x:v>
      </x:c>
      <x:c r="V188" s="115" t="n">
        <x:v>3.9</x:v>
      </x:c>
      <x:c r="W188" s="115" t="n">
        <x:v>4.14</x:v>
      </x:c>
      <x:c r="X188" s="118" t="str">
        <x:v>GCP</x:v>
      </x:c>
      <x:c r="Y188" s="115" t="str">
        <x:v>Start with Google Cloud when data, AI, Kubernetes, network or managed developer experience is the main differentiator.</x:v>
      </x:c>
      <x:c r="Z188" s="115" t="str">
        <x:v>Close</x:v>
      </x:c>
      <x:c r="AA188" s="115"/>
      <x:c r="AB188" s="115" t="str">
        <x:v>2026-07-12</x:v>
      </x:c>
      <x:c r="AC188" s="115" t="str">
        <x:v>Scored and mapped</x:v>
      </x:c>
      <x:c r="AD188" s="115" t="str">
        <x:v>https://docs.cloud.google.com/docs/product-list</x:v>
      </x:c>
    </x:row>
    <x:row r="189">
      <x:c r="A189" s="115" t="str">
        <x:v>3. Data &amp; Intelligence</x:v>
      </x:c>
      <x:c r="B189" s="115" t="str">
        <x:v>10. Data Integration, ETL/ELT, Messaging &amp; Streaming</x:v>
      </x:c>
      <x:c r="C189" s="115" t="str">
        <x:v>Data Engineering &amp; Orchestration</x:v>
      </x:c>
      <x:c r="D189" s="115" t="str">
        <x:v>Adopt &amp; Build</x:v>
      </x:c>
      <x:c r="E189" s="115" t="str">
        <x:v>Security, Privacy &amp; Compliance
Cost &amp; FinOps
Operations &amp; Support
Reliability &amp; Resilience
Performance &amp; Scalability
Data Residency &amp; Sovereignty
Portability &amp; Exit</x:v>
      </x:c>
      <x:c r="F189" s="115" t="str">
        <x:v>06 Data Platform, Analytics &amp; BI</x:v>
      </x:c>
      <x:c r="G189" s="115" t="str">
        <x:v>Data, Analytics &amp; BI</x:v>
      </x:c>
      <x:c r="H189" s="115" t="str">
        <x:v>ETL and integration</x:v>
      </x:c>
      <x:c r="I189" s="115" t="str">
        <x:v>Managed ETL and data integration</x:v>
      </x:c>
      <x:c r="J189" s="115" t="str">
        <x:v>Discover, prepare, transform and move data between systems.</x:v>
      </x:c>
      <x:c r="K189" s="115" t="str">
        <x:v>Choose this capability when you need to discover, prepare, transform and move data between systems.</x:v>
      </x:c>
      <x:c r="L189" s="115" t="str">
        <x:v>Do you need batch ETL, ELT, Spark, CDC, orchestration, or a unified managed pipeline experience?</x:v>
      </x:c>
      <x:c r="M189" s="115" t="str">
        <x:v>Managed simplicity and performance versus portability, data gravity and long-term cost.</x:v>
      </x:c>
      <x:c r="N189" s="115" t="n">
        <x:v>3</x:v>
      </x:c>
      <x:c r="O189" s="115" t="str">
        <x:v>Moderate</x:v>
      </x:c>
      <x:c r="P189" s="115" t="str">
        <x:v>1–3 weeks</x:v>
      </x:c>
      <x:c r="Q189" s="115" t="str">
        <x:v>Medium</x:v>
      </x:c>
      <x:c r="R189" s="115" t="str">
        <x:v>AWS Glue</x:v>
      </x:c>
      <x:c r="S189" s="115" t="str">
        <x:v>Azure Data Factory
Microsoft Fabric Data Factory</x:v>
      </x:c>
      <x:c r="T189" s="115" t="str">
        <x:v>Cloud Data Fusion
Dataflow</x:v>
      </x:c>
      <x:c r="U189" s="115" t="n">
        <x:v>3.88</x:v>
      </x:c>
      <x:c r="V189" s="115" t="n">
        <x:v>3.84</x:v>
      </x:c>
      <x:c r="W189" s="115" t="n">
        <x:v>3.95</x:v>
      </x:c>
      <x:c r="X189" s="118" t="str">
        <x:v>Context-dependent tie</x:v>
      </x:c>
      <x:c r="Y189" s="115" t="str">
        <x:v>Scores are close: use ecosystem, data gravity, region, skills, commercials and proof-of-value results to decide.</x:v>
      </x:c>
      <x:c r="Z189" s="115" t="str">
        <x:v>Close</x:v>
      </x:c>
      <x:c r="AA189" s="115"/>
      <x:c r="AB189" s="115" t="str">
        <x:v>2026-07-12</x:v>
      </x:c>
      <x:c r="AC189" s="115" t="str">
        <x:v>Scored and mapped</x:v>
      </x:c>
      <x:c r="AD189" s="115" t="str">
        <x:v>https://docs.cloud.google.com/docs/product-list</x:v>
      </x:c>
    </x:row>
    <x:row r="190">
      <x:c r="A190" s="115" t="str">
        <x:v>3. Data &amp; Intelligence</x:v>
      </x:c>
      <x:c r="B190" s="115" t="str">
        <x:v>10. Data Integration, ETL/ELT, Messaging &amp; Streaming</x:v>
      </x:c>
      <x:c r="C190" s="115" t="str">
        <x:v>Data Engineering &amp; Orchestration</x:v>
      </x:c>
      <x:c r="D190" s="115" t="str">
        <x:v>Adopt &amp; Build</x:v>
      </x:c>
      <x:c r="E190" s="115" t="str">
        <x:v>Security, Privacy &amp; Compliance
Cost &amp; FinOps
Operations &amp; Support
Reliability &amp; Resilience
Performance &amp; Scalability
Data Residency &amp; Sovereignty
Portability &amp; Exit</x:v>
      </x:c>
      <x:c r="F190" s="115" t="str">
        <x:v>06 Data Platform, Analytics &amp; BI</x:v>
      </x:c>
      <x:c r="G190" s="115" t="str">
        <x:v>Data, Analytics &amp; BI</x:v>
      </x:c>
      <x:c r="H190" s="115" t="str">
        <x:v>ELT</x:v>
      </x:c>
      <x:c r="I190" s="115" t="str">
        <x:v>SQL transformation and modelling</x:v>
      </x:c>
      <x:c r="J190" s="115" t="str">
        <x:v>Transform warehouse data through managed SQL development and dependency workflows.</x:v>
      </x:c>
      <x:c r="K190" s="115" t="str">
        <x:v>Choose this capability when you need to transform warehouse data through managed sql development and dependency workflows.</x:v>
      </x:c>
      <x:c r="L190" s="115" t="str">
        <x:v>Do you need batch ETL, ELT, Spark, CDC, orchestration, or a unified managed pipeline experience?</x:v>
      </x:c>
      <x:c r="M190" s="115" t="str">
        <x:v>Managed simplicity and performance versus portability, data gravity and long-term cost.</x:v>
      </x:c>
      <x:c r="N190" s="115" t="n">
        <x:v>3</x:v>
      </x:c>
      <x:c r="O190" s="115" t="str">
        <x:v>Moderate</x:v>
      </x:c>
      <x:c r="P190" s="115" t="str">
        <x:v>1–3 weeks</x:v>
      </x:c>
      <x:c r="Q190" s="115" t="str">
        <x:v>Medium</x:v>
      </x:c>
      <x:c r="R190" s="115" t="str">
        <x:v>AWS Glue DataBrew
Amazon Redshift SQL</x:v>
      </x:c>
      <x:c r="S190" s="115" t="str">
        <x:v>Microsoft Fabric Data Factory
dbt integrations</x:v>
      </x:c>
      <x:c r="T190" s="115" t="str">
        <x:v>Dataform</x:v>
      </x:c>
      <x:c r="U190" s="115" t="n">
        <x:v>3.8</x:v>
      </x:c>
      <x:c r="V190" s="115" t="n">
        <x:v>3.89</x:v>
      </x:c>
      <x:c r="W190" s="115" t="n">
        <x:v>4.07</x:v>
      </x:c>
      <x:c r="X190" s="118" t="str">
        <x:v>GCP</x:v>
      </x:c>
      <x:c r="Y190" s="115" t="str">
        <x:v>Start with Google Cloud when data, AI, Kubernetes, network or managed developer experience is the main differentiator.</x:v>
      </x:c>
      <x:c r="Z190" s="115" t="str">
        <x:v>Close</x:v>
      </x:c>
      <x:c r="AA190" s="115"/>
      <x:c r="AB190" s="115" t="str">
        <x:v>2026-07-12</x:v>
      </x:c>
      <x:c r="AC190" s="115" t="str">
        <x:v>Scored and mapped</x:v>
      </x:c>
      <x:c r="AD190" s="115" t="str">
        <x:v>https://docs.cloud.google.com/docs/product-list</x:v>
      </x:c>
    </x:row>
    <x:row r="191">
      <x:c r="A191" s="115" t="str">
        <x:v>3. Data &amp; Intelligence</x:v>
      </x:c>
      <x:c r="B191" s="115" t="str">
        <x:v>10. Data Integration, ETL/ELT, Messaging &amp; Streaming</x:v>
      </x:c>
      <x:c r="C191" s="115" t="str">
        <x:v>Data Engineering &amp; Orchestration</x:v>
      </x:c>
      <x:c r="D191" s="115" t="str">
        <x:v>Adopt &amp; Build</x:v>
      </x:c>
      <x:c r="E191" s="115" t="str">
        <x:v>Security, Privacy &amp; Compliance
Cost &amp; FinOps
Operations &amp; Support
Reliability &amp; Resilience
Performance &amp; Scalability
Data Residency &amp; Sovereignty
Portability &amp; Exit</x:v>
      </x:c>
      <x:c r="F191" s="115" t="str">
        <x:v>06 Data Platform, Analytics &amp; BI</x:v>
      </x:c>
      <x:c r="G191" s="115" t="str">
        <x:v>Data, Analytics &amp; BI</x:v>
      </x:c>
      <x:c r="H191" s="115" t="str">
        <x:v>Data orchestration</x:v>
      </x:c>
      <x:c r="I191" s="115" t="str">
        <x:v>Data workflow orchestration</x:v>
      </x:c>
      <x:c r="J191" s="115" t="str">
        <x:v>Schedule and orchestrate dependent data pipelines and processing tasks.</x:v>
      </x:c>
      <x:c r="K191" s="115" t="str">
        <x:v>Choose this capability when you need to schedule and orchestrate dependent data pipelines and processing tasks.</x:v>
      </x:c>
      <x:c r="L191" s="115" t="str">
        <x:v>Do you need batch ETL, ELT, Spark, CDC, orchestration, or a unified managed pipeline experience?</x:v>
      </x:c>
      <x:c r="M191" s="115" t="str">
        <x:v>Managed simplicity and performance versus portability, data gravity and long-term cost.</x:v>
      </x:c>
      <x:c r="N191" s="115" t="n">
        <x:v>3</x:v>
      </x:c>
      <x:c r="O191" s="115" t="str">
        <x:v>Moderate</x:v>
      </x:c>
      <x:c r="P191" s="115" t="str">
        <x:v>1–3 weeks</x:v>
      </x:c>
      <x:c r="Q191" s="115" t="str">
        <x:v>High</x:v>
      </x:c>
      <x:c r="R191" s="115" t="str">
        <x:v>Amazon Managed Workflows for Apache Airflow
AWS Step Functions</x:v>
      </x:c>
      <x:c r="S191" s="115" t="str">
        <x:v>Azure Data Factory
Microsoft Fabric</x:v>
      </x:c>
      <x:c r="T191" s="115" t="str">
        <x:v>Managed Service for Apache Airflow
Orchestration Pipelines</x:v>
      </x:c>
      <x:c r="U191" s="115" t="n">
        <x:v>3.76</x:v>
      </x:c>
      <x:c r="V191" s="115" t="n">
        <x:v>3.8</x:v>
      </x:c>
      <x:c r="W191" s="115" t="n">
        <x:v>3.91</x:v>
      </x:c>
      <x:c r="X191" s="118" t="str">
        <x:v>Context-dependent tie</x:v>
      </x:c>
      <x:c r="Y191" s="115" t="str">
        <x:v>Scores are close: use ecosystem, data gravity, region, skills, commercials and proof-of-value results to decide.</x:v>
      </x:c>
      <x:c r="Z191" s="115" t="str">
        <x:v>Close</x:v>
      </x:c>
      <x:c r="AA191" s="115"/>
      <x:c r="AB191" s="115" t="str">
        <x:v>2026-07-12</x:v>
      </x:c>
      <x:c r="AC191" s="115" t="str">
        <x:v>Scored and mapped</x:v>
      </x:c>
      <x:c r="AD191" s="115" t="str">
        <x:v>https://docs.cloud.google.com/docs/product-list</x:v>
      </x:c>
    </x:row>
    <x:row r="192">
      <x:c r="A192" s="115" t="str">
        <x:v>3. Data &amp; Intelligence</x:v>
      </x:c>
      <x:c r="B192" s="115" t="str">
        <x:v>10. Data Integration, ETL/ELT, Messaging &amp; Streaming</x:v>
      </x:c>
      <x:c r="C192" s="115" t="str">
        <x:v>Data Engineering &amp; Orchestration</x:v>
      </x:c>
      <x:c r="D192" s="115" t="str">
        <x:v>Adopt &amp; Build</x:v>
      </x:c>
      <x:c r="E192" s="115" t="str">
        <x:v>Security, Privacy &amp; Compliance
Cost &amp; FinOps
Operations &amp; Support
Reliability &amp; Resilience
Performance &amp; Scalability
Data Residency &amp; Sovereignty
Portability &amp; Exit</x:v>
      </x:c>
      <x:c r="F192" s="115" t="str">
        <x:v>06 Data Platform, Analytics &amp; BI</x:v>
      </x:c>
      <x:c r="G192" s="115" t="str">
        <x:v>Data, Analytics &amp; BI</x:v>
      </x:c>
      <x:c r="H192" s="115" t="str">
        <x:v>Data replication</x:v>
      </x:c>
      <x:c r="I192" s="115" t="str">
        <x:v>Change data capture and replication</x:v>
      </x:c>
      <x:c r="J192" s="115" t="str">
        <x:v>Continuously replicate database changes into analytical or operational targets.</x:v>
      </x:c>
      <x:c r="K192" s="115" t="str">
        <x:v>Choose this capability when you need to continuously replicate database changes into analytical or operational targets.</x:v>
      </x:c>
      <x:c r="L192" s="115" t="str">
        <x:v>Do you need batch ETL, ELT, Spark, CDC, orchestration, or a unified managed pipeline experience?</x:v>
      </x:c>
      <x:c r="M192" s="115" t="str">
        <x:v>Managed simplicity and performance versus portability, data gravity and long-term cost.</x:v>
      </x:c>
      <x:c r="N192" s="115" t="n">
        <x:v>3</x:v>
      </x:c>
      <x:c r="O192" s="115" t="str">
        <x:v>Moderate</x:v>
      </x:c>
      <x:c r="P192" s="115" t="str">
        <x:v>1–3 weeks</x:v>
      </x:c>
      <x:c r="Q192" s="115" t="str">
        <x:v>Medium</x:v>
      </x:c>
      <x:c r="R192" s="115" t="str">
        <x:v>AWS Database Migration Service
Amazon Data Firehose</x:v>
      </x:c>
      <x:c r="S192" s="115" t="str">
        <x:v>Azure Data Factory
Azure Database Migration Service</x:v>
      </x:c>
      <x:c r="T192" s="115" t="str">
        <x:v>Datastream</x:v>
      </x:c>
      <x:c r="U192" s="115" t="n">
        <x:v>3.8</x:v>
      </x:c>
      <x:c r="V192" s="115" t="n">
        <x:v>3.84</x:v>
      </x:c>
      <x:c r="W192" s="115" t="n">
        <x:v>4.07</x:v>
      </x:c>
      <x:c r="X192" s="118" t="str">
        <x:v>GCP</x:v>
      </x:c>
      <x:c r="Y192" s="115" t="str">
        <x:v>Start with Google Cloud when data, AI, Kubernetes, network or managed developer experience is the main differentiator.</x:v>
      </x:c>
      <x:c r="Z192" s="115" t="str">
        <x:v>Close</x:v>
      </x:c>
      <x:c r="AA192" s="115"/>
      <x:c r="AB192" s="115" t="str">
        <x:v>2026-07-12</x:v>
      </x:c>
      <x:c r="AC192" s="115" t="str">
        <x:v>Scored and mapped</x:v>
      </x:c>
      <x:c r="AD192" s="115" t="str">
        <x:v>https://docs.cloud.google.com/docs/product-list</x:v>
      </x:c>
    </x:row>
    <x:row r="193">
      <x:c r="A193" s="115" t="str">
        <x:v>3. Data &amp; Intelligence</x:v>
      </x:c>
      <x:c r="B193" s="115" t="str">
        <x:v>12. Data Governance, Quality, Catalogue, MDM, Sharing &amp; Clean Rooms</x:v>
      </x:c>
      <x:c r="C193" s="115" t="str">
        <x:v>Data Governance, Sharing &amp; Quality</x:v>
      </x:c>
      <x:c r="D193" s="115" t="str">
        <x:v>Adopt &amp; Build</x:v>
      </x:c>
      <x:c r="E193" s="115" t="str">
        <x:v>Security, Privacy &amp; Compliance
Cost &amp; FinOps
Operations &amp; Support
Data Residency &amp; Sovereignty</x:v>
      </x:c>
      <x:c r="F193" s="115" t="str">
        <x:v>06 Data Platform, Analytics &amp; BI</x:v>
      </x:c>
      <x:c r="G193" s="115" t="str">
        <x:v>Data, Analytics &amp; BI</x:v>
      </x:c>
      <x:c r="H193" s="115" t="str">
        <x:v>Data catalogue</x:v>
      </x:c>
      <x:c r="I193" s="115" t="str">
        <x:v>Data catalogue and metadata</x:v>
      </x:c>
      <x:c r="J193" s="115" t="str">
        <x:v>Discover, classify and understand data assets through searchable metadata.</x:v>
      </x:c>
      <x:c r="K193" s="115" t="str">
        <x:v>Choose this capability when you need to discover, classify and understand data assets through searchable metadata.</x:v>
      </x:c>
      <x:c r="L193" s="115" t="str">
        <x:v>What business outcome, scale, control, integration and operating model justify choosing data catalogue and metadata?</x:v>
      </x:c>
      <x:c r="M193" s="115" t="str">
        <x:v>Managed simplicity and performance versus portability, data gravity and long-term cost.</x:v>
      </x:c>
      <x:c r="N193" s="115" t="n">
        <x:v>3</x:v>
      </x:c>
      <x:c r="O193" s="115" t="str">
        <x:v>Moderate</x:v>
      </x:c>
      <x:c r="P193" s="115" t="str">
        <x:v>1–3 weeks</x:v>
      </x:c>
      <x:c r="Q193" s="115" t="str">
        <x:v>Medium</x:v>
      </x:c>
      <x:c r="R193" s="115" t="str">
        <x:v>AWS Glue Data Catalog
Amazon DataZone</x:v>
      </x:c>
      <x:c r="S193" s="115" t="str">
        <x:v>Microsoft Purview Data Map</x:v>
      </x:c>
      <x:c r="T193" s="115" t="str">
        <x:v>Dataplex Universal Catalog
Data Catalog
Knowledge Catalog</x:v>
      </x:c>
      <x:c r="U193" s="115" t="n">
        <x:v>3.8</x:v>
      </x:c>
      <x:c r="V193" s="115" t="n">
        <x:v>3.93</x:v>
      </x:c>
      <x:c r="W193" s="115" t="n">
        <x:v>3.85</x:v>
      </x:c>
      <x:c r="X193" s="118" t="str">
        <x:v>Context-dependent tie</x:v>
      </x:c>
      <x:c r="Y193" s="115" t="str">
        <x:v>Scores are close: use ecosystem, data gravity, region, skills, commercials and proof-of-value results to decide.</x:v>
      </x:c>
      <x:c r="Z193" s="115" t="str">
        <x:v>Close</x:v>
      </x:c>
      <x:c r="AA193" s="115"/>
      <x:c r="AB193" s="115" t="str">
        <x:v>2026-07-12</x:v>
      </x:c>
      <x:c r="AC193" s="115" t="str">
        <x:v>Scored and mapped</x:v>
      </x:c>
      <x:c r="AD193" s="115" t="str">
        <x:v>https://docs.cloud.google.com/docs/product-list</x:v>
      </x:c>
    </x:row>
    <x:row r="194">
      <x:c r="A194" s="115" t="str">
        <x:v>3. Data &amp; Intelligence</x:v>
      </x:c>
      <x:c r="B194" s="115" t="str">
        <x:v>12. Data Governance, Quality, Catalogue, MDM, Sharing &amp; Clean Rooms</x:v>
      </x:c>
      <x:c r="C194" s="115" t="str">
        <x:v>Data Governance, Sharing &amp; Quality</x:v>
      </x:c>
      <x:c r="D194" s="115" t="str">
        <x:v>Adopt &amp; Build</x:v>
      </x:c>
      <x:c r="E194" s="115" t="str">
        <x:v>Security, Privacy &amp; Compliance
Cost &amp; FinOps
Operations &amp; Support
Data Residency &amp; Sovereignty</x:v>
      </x:c>
      <x:c r="F194" s="115" t="str">
        <x:v>06 Data Platform, Analytics &amp; BI</x:v>
      </x:c>
      <x:c r="G194" s="115" t="str">
        <x:v>Data, Analytics &amp; BI</x:v>
      </x:c>
      <x:c r="H194" s="115" t="str">
        <x:v>Data governance</x:v>
      </x:c>
      <x:c r="I194" s="115" t="str">
        <x:v>Enterprise data governance</x:v>
      </x:c>
      <x:c r="J194" s="115" t="str">
        <x:v>Manage ownership, lineage, quality, access and policy across enterprise data.</x:v>
      </x:c>
      <x:c r="K194" s="115" t="str">
        <x:v>Choose this capability when you need to manage ownership, lineage, quality, access and policy across enterprise data.</x:v>
      </x:c>
      <x:c r="L194" s="115" t="str">
        <x:v>What business outcome, scale, control, integration and operating model justify choosing enterprise data governance?</x:v>
      </x:c>
      <x:c r="M194" s="115" t="str">
        <x:v>Managed simplicity and performance versus portability, data gravity and long-term cost.</x:v>
      </x:c>
      <x:c r="N194" s="115" t="n">
        <x:v>2</x:v>
      </x:c>
      <x:c r="O194" s="115" t="str">
        <x:v>Advanced</x:v>
      </x:c>
      <x:c r="P194" s="115" t="str">
        <x:v>3–8 weeks</x:v>
      </x:c>
      <x:c r="Q194" s="115" t="str">
        <x:v>Medium</x:v>
      </x:c>
      <x:c r="R194" s="115" t="str">
        <x:v>Amazon DataZone
AWS Lake Formation</x:v>
      </x:c>
      <x:c r="S194" s="115" t="str">
        <x:v>Microsoft Purview</x:v>
      </x:c>
      <x:c r="T194" s="115" t="str">
        <x:v>Dataplex Universal Catalog</x:v>
      </x:c>
      <x:c r="U194" s="115" t="n">
        <x:v>3.6</x:v>
      </x:c>
      <x:c r="V194" s="115" t="n">
        <x:v>3.73</x:v>
      </x:c>
      <x:c r="W194" s="115" t="n">
        <x:v>3.74</x:v>
      </x:c>
      <x:c r="X194" s="118" t="str">
        <x:v>Context-dependent tie</x:v>
      </x:c>
      <x:c r="Y194" s="115" t="str">
        <x:v>Scores are close: use ecosystem, data gravity, region, skills, commercials and proof-of-value results to decide.</x:v>
      </x:c>
      <x:c r="Z194" s="115" t="str">
        <x:v>Close</x:v>
      </x:c>
      <x:c r="AA194" s="115"/>
      <x:c r="AB194" s="115" t="str">
        <x:v>2026-07-12</x:v>
      </x:c>
      <x:c r="AC194" s="115" t="str">
        <x:v>Scored and mapped</x:v>
      </x:c>
      <x:c r="AD194" s="115" t="str">
        <x:v>https://docs.cloud.google.com/docs/product-list</x:v>
      </x:c>
    </x:row>
    <x:row r="195">
      <x:c r="A195" s="115" t="str">
        <x:v>3. Data &amp; Intelligence</x:v>
      </x:c>
      <x:c r="B195" s="115" t="str">
        <x:v>12. Data Governance, Quality, Catalogue, MDM, Sharing &amp; Clean Rooms</x:v>
      </x:c>
      <x:c r="C195" s="115" t="str">
        <x:v>Data Governance, Sharing &amp; Quality</x:v>
      </x:c>
      <x:c r="D195" s="115" t="str">
        <x:v>Adopt &amp; Build</x:v>
      </x:c>
      <x:c r="E195" s="115" t="str">
        <x:v>Security, Privacy &amp; Compliance
Cost &amp; FinOps
Operations &amp; Support
Data Residency &amp; Sovereignty</x:v>
      </x:c>
      <x:c r="F195" s="115" t="str">
        <x:v>06 Data Platform, Analytics &amp; BI</x:v>
      </x:c>
      <x:c r="G195" s="115" t="str">
        <x:v>Data, Analytics &amp; BI</x:v>
      </x:c>
      <x:c r="H195" s="115" t="str">
        <x:v>Data sharing</x:v>
      </x:c>
      <x:c r="I195" s="115" t="str">
        <x:v>Governed data sharing</x:v>
      </x:c>
      <x:c r="J195" s="115" t="str">
        <x:v>Share datasets with internal or external consumers under controlled access.</x:v>
      </x:c>
      <x:c r="K195" s="115" t="str">
        <x:v>Choose this capability when you need to share datasets with internal or external consumers under controlled access.</x:v>
      </x:c>
      <x:c r="L195" s="115" t="str">
        <x:v>What business outcome, scale, control, integration and operating model justify choosing governed data sharing?</x:v>
      </x:c>
      <x:c r="M195" s="115" t="str">
        <x:v>Managed simplicity and performance versus portability, data gravity and long-term cost.</x:v>
      </x:c>
      <x:c r="N195" s="115" t="n">
        <x:v>3</x:v>
      </x:c>
      <x:c r="O195" s="115" t="str">
        <x:v>Moderate</x:v>
      </x:c>
      <x:c r="P195" s="115" t="str">
        <x:v>1–3 weeks</x:v>
      </x:c>
      <x:c r="Q195" s="115" t="str">
        <x:v>Medium</x:v>
      </x:c>
      <x:c r="R195" s="115" t="str">
        <x:v>AWS Data Exchange
AWS Lake Formation</x:v>
      </x:c>
      <x:c r="S195" s="115" t="str">
        <x:v>Azure Data Share
Microsoft Purview</x:v>
      </x:c>
      <x:c r="T195" s="115" t="str">
        <x:v>Analytics Hub
BigQuery sharing</x:v>
      </x:c>
      <x:c r="U195" s="115" t="n">
        <x:v>3.8</x:v>
      </x:c>
      <x:c r="V195" s="115" t="n">
        <x:v>3.84</x:v>
      </x:c>
      <x:c r="W195" s="115" t="n">
        <x:v>3.85</x:v>
      </x:c>
      <x:c r="X195" s="118" t="str">
        <x:v>Context-dependent tie</x:v>
      </x:c>
      <x:c r="Y195" s="115" t="str">
        <x:v>Scores are close: use ecosystem, data gravity, region, skills, commercials and proof-of-value results to decide.</x:v>
      </x:c>
      <x:c r="Z195" s="115" t="str">
        <x:v>Close</x:v>
      </x:c>
      <x:c r="AA195" s="115"/>
      <x:c r="AB195" s="115" t="str">
        <x:v>2026-07-12</x:v>
      </x:c>
      <x:c r="AC195" s="115" t="str">
        <x:v>Scored and mapped</x:v>
      </x:c>
      <x:c r="AD195" s="115" t="str">
        <x:v>https://docs.cloud.google.com/docs/product-list</x:v>
      </x:c>
    </x:row>
    <x:row r="196">
      <x:c r="A196" s="115" t="str">
        <x:v>3. Data &amp; Intelligence</x:v>
      </x:c>
      <x:c r="B196" s="115" t="str">
        <x:v>12. Data Governance, Quality, Catalogue, MDM, Sharing &amp; Clean Rooms</x:v>
      </x:c>
      <x:c r="C196" s="115" t="str">
        <x:v>Data Governance, Sharing &amp; Quality</x:v>
      </x:c>
      <x:c r="D196" s="115" t="str">
        <x:v>Adopt &amp; Build</x:v>
      </x:c>
      <x:c r="E196" s="115" t="str">
        <x:v>Security, Privacy &amp; Compliance
Cost &amp; FinOps
Operations &amp; Support
Data Residency &amp; Sovereignty</x:v>
      </x:c>
      <x:c r="F196" s="115" t="str">
        <x:v>06 Data Platform, Analytics &amp; BI</x:v>
      </x:c>
      <x:c r="G196" s="115" t="str">
        <x:v>Data, Analytics &amp; BI</x:v>
      </x:c>
      <x:c r="H196" s="115" t="str">
        <x:v>Clean rooms</x:v>
      </x:c>
      <x:c r="I196" s="115" t="str">
        <x:v>Data clean room</x:v>
      </x:c>
      <x:c r="J196" s="115" t="str">
        <x:v>Collaborate on data analysis without exposing underlying sensitive records.</x:v>
      </x:c>
      <x:c r="K196" s="115" t="str">
        <x:v>Choose this capability when you need to collaborate on data analysis without exposing underlying sensitive records.</x:v>
      </x:c>
      <x:c r="L196" s="115" t="str">
        <x:v>What business outcome, scale, control, integration and operating model justify choosing data clean room?</x:v>
      </x:c>
      <x:c r="M196" s="115" t="str">
        <x:v>Managed simplicity and performance versus portability, data gravity and long-term cost.</x:v>
      </x:c>
      <x:c r="N196" s="115" t="n">
        <x:v>3</x:v>
      </x:c>
      <x:c r="O196" s="115" t="str">
        <x:v>Moderate</x:v>
      </x:c>
      <x:c r="P196" s="115" t="str">
        <x:v>1–3 weeks</x:v>
      </x:c>
      <x:c r="Q196" s="115" t="str">
        <x:v>Medium</x:v>
      </x:c>
      <x:c r="R196" s="115" t="str">
        <x:v>AWS Clean Rooms</x:v>
      </x:c>
      <x:c r="S196" s="115" t="str">
        <x:v>Azure Confidential Clean Rooms / partner solutions</x:v>
      </x:c>
      <x:c r="T196" s="115" t="str">
        <x:v>BigQuery data clean rooms</x:v>
      </x:c>
      <x:c r="U196" s="115" t="n">
        <x:v>3.88</x:v>
      </x:c>
      <x:c r="V196" s="115" t="n">
        <x:v>3.47</x:v>
      </x:c>
      <x:c r="W196" s="115" t="n">
        <x:v>3.94</x:v>
      </x:c>
      <x:c r="X196" s="118" t="str">
        <x:v>Context-dependent tie</x:v>
      </x:c>
      <x:c r="Y196" s="115" t="str">
        <x:v>Scores are close: use ecosystem, data gravity, region, skills, commercials and proof-of-value results to decide.</x:v>
      </x:c>
      <x:c r="Z196" s="115" t="str">
        <x:v>Close</x:v>
      </x:c>
      <x:c r="AA196" s="115"/>
      <x:c r="AB196" s="115" t="str">
        <x:v>2026-07-12</x:v>
      </x:c>
      <x:c r="AC196" s="115" t="str">
        <x:v>Scored and mapped</x:v>
      </x:c>
      <x:c r="AD196" s="115" t="str">
        <x:v>https://docs.cloud.google.com/docs/product-list</x:v>
      </x:c>
    </x:row>
    <x:row r="197">
      <x:c r="A197" s="115" t="str">
        <x:v>3. Data &amp; Intelligence</x:v>
      </x:c>
      <x:c r="B197" s="115" t="str">
        <x:v>12. Data Governance, Quality, Catalogue, MDM, Sharing &amp; Clean Rooms</x:v>
      </x:c>
      <x:c r="C197" s="115" t="str">
        <x:v>Data Governance, Sharing &amp; Quality</x:v>
      </x:c>
      <x:c r="D197" s="115" t="str">
        <x:v>Adopt &amp; Build</x:v>
      </x:c>
      <x:c r="E197" s="115" t="str">
        <x:v>Security, Privacy &amp; Compliance
Cost &amp; FinOps
Operations &amp; Support
Data Residency &amp; Sovereignty</x:v>
      </x:c>
      <x:c r="F197" s="115" t="str">
        <x:v>06 Data Platform, Analytics &amp; BI</x:v>
      </x:c>
      <x:c r="G197" s="115" t="str">
        <x:v>Data, Analytics &amp; BI</x:v>
      </x:c>
      <x:c r="H197" s="115" t="str">
        <x:v>Entity resolution</x:v>
      </x:c>
      <x:c r="I197" s="115" t="str">
        <x:v>Entity matching</x:v>
      </x:c>
      <x:c r="J197" s="115" t="str">
        <x:v>Match and link records that refer to the same real-world entity.</x:v>
      </x:c>
      <x:c r="K197" s="115" t="str">
        <x:v>Choose this capability when you need to match and link records that refer to the same real-world entity.</x:v>
      </x:c>
      <x:c r="L197" s="115" t="str">
        <x:v>What business outcome, scale, control, integration and operating model justify choosing entity matching?</x:v>
      </x:c>
      <x:c r="M197" s="115" t="str">
        <x:v>Managed simplicity and performance versus portability, data gravity and long-term cost.</x:v>
      </x:c>
      <x:c r="N197" s="115" t="n">
        <x:v>3</x:v>
      </x:c>
      <x:c r="O197" s="115" t="str">
        <x:v>Moderate</x:v>
      </x:c>
      <x:c r="P197" s="115" t="str">
        <x:v>1–3 weeks</x:v>
      </x:c>
      <x:c r="Q197" s="115" t="str">
        <x:v>Medium</x:v>
      </x:c>
      <x:c r="R197" s="115" t="str">
        <x:v>AWS Entity Resolution</x:v>
      </x:c>
      <x:c r="S197" s="115" t="str">
        <x:v>Microsoft Fabric Data Factory / partner MDM</x:v>
      </x:c>
      <x:c r="T197" s="115" t="str">
        <x:v>BigQuery entity resolution patterns</x:v>
      </x:c>
      <x:c r="U197" s="115" t="n">
        <x:v>3.7</x:v>
      </x:c>
      <x:c r="V197" s="115" t="n">
        <x:v>3.29</x:v>
      </x:c>
      <x:c r="W197" s="115" t="n">
        <x:v>3.31</x:v>
      </x:c>
      <x:c r="X197" s="118" t="str">
        <x:v>AWS</x:v>
      </x:c>
      <x:c r="Y197" s="115" t="str">
        <x:v>Start with AWS when infrastructure breadth, native integration and operational maturity are the main differentiators.</x:v>
      </x:c>
      <x:c r="Z197" s="115" t="str">
        <x:v>Partial</x:v>
      </x:c>
      <x:c r="AA197" s="115"/>
      <x:c r="AB197" s="115" t="str">
        <x:v>2026-07-12</x:v>
      </x:c>
      <x:c r="AC197" s="115" t="str">
        <x:v>Scored and mapped</x:v>
      </x:c>
      <x:c r="AD197" s="115" t="str">
        <x:v>https://docs.cloud.google.com/docs/product-list</x:v>
      </x:c>
    </x:row>
    <x:row r="198">
      <x:c r="A198" s="115" t="str">
        <x:v>3. Data &amp; Intelligence</x:v>
      </x:c>
      <x:c r="B198" s="115" t="str">
        <x:v>11. Data Lake, Warehouse, Lakehouse, Analytics &amp; BI</x:v>
      </x:c>
      <x:c r="C198" s="115" t="str">
        <x:v>Analytics, BI &amp; Search</x:v>
      </x:c>
      <x:c r="D198" s="115" t="str">
        <x:v>Adopt &amp; Build</x:v>
      </x:c>
      <x:c r="E198" s="115" t="str">
        <x:v>Security, Privacy &amp; Compliance
Cost &amp; FinOps
Operations &amp; Support
Reliability &amp; Resilience
Performance &amp; Scalability
Data Residency &amp; Sovereignty
Portability &amp; Exit
Sustainability</x:v>
      </x:c>
      <x:c r="F198" s="115" t="str">
        <x:v>06 Data Platform, Analytics &amp; BI</x:v>
      </x:c>
      <x:c r="G198" s="115" t="str">
        <x:v>Data, Analytics &amp; BI</x:v>
      </x:c>
      <x:c r="H198" s="115" t="str">
        <x:v>Business intelligence</x:v>
      </x:c>
      <x:c r="I198" s="115" t="str">
        <x:v>Business intelligence and dashboards</x:v>
      </x:c>
      <x:c r="J198" s="115" t="str">
        <x:v>Create interactive reports, dashboards and governed analytical experiences.</x:v>
      </x:c>
      <x:c r="K198" s="115" t="str">
        <x:v>Choose this capability when you need to create interactive reports, dashboards and governed analytical experiences.</x:v>
      </x:c>
      <x:c r="L198" s="115" t="str">
        <x:v>What business outcome, scale, control, integration and operating model justify choosing business intelligence and dashboards?</x:v>
      </x:c>
      <x:c r="M198" s="115" t="str">
        <x:v>Managed simplicity and performance versus portability, data gravity and long-term cost.</x:v>
      </x:c>
      <x:c r="N198" s="115" t="n">
        <x:v>3</x:v>
      </x:c>
      <x:c r="O198" s="115" t="str">
        <x:v>Moderate</x:v>
      </x:c>
      <x:c r="P198" s="115" t="str">
        <x:v>1–3 weeks</x:v>
      </x:c>
      <x:c r="Q198" s="115" t="str">
        <x:v>Medium</x:v>
      </x:c>
      <x:c r="R198" s="115" t="str">
        <x:v>Amazon Quick
Amazon QuickSight</x:v>
      </x:c>
      <x:c r="S198" s="115" t="str">
        <x:v>Power BI
Microsoft Fabric</x:v>
      </x:c>
      <x:c r="T198" s="115" t="str">
        <x:v>Looker
Looker Studio</x:v>
      </x:c>
      <x:c r="U198" s="115" t="n">
        <x:v>3.8</x:v>
      </x:c>
      <x:c r="V198" s="115" t="n">
        <x:v>4.11</x:v>
      </x:c>
      <x:c r="W198" s="115" t="n">
        <x:v>3.92</x:v>
      </x:c>
      <x:c r="X198" s="118" t="str">
        <x:v>Azure</x:v>
      </x:c>
      <x:c r="Y198" s="115" t="str">
        <x:v>Start with Azure when Microsoft identity, security, data, productivity or hybrid integration reduces delivery effort.</x:v>
      </x:c>
      <x:c r="Z198" s="115" t="str">
        <x:v>Close</x:v>
      </x:c>
      <x:c r="AA198" s="115"/>
      <x:c r="AB198" s="115" t="str">
        <x:v>2026-07-12</x:v>
      </x:c>
      <x:c r="AC198" s="115" t="str">
        <x:v>Scored and mapped</x:v>
      </x:c>
      <x:c r="AD198" s="115" t="str">
        <x:v>https://azure.microsoft.com/en-us/products/category</x:v>
      </x:c>
    </x:row>
    <x:row r="199">
      <x:c r="A199" s="115" t="str">
        <x:v>3. Data &amp; Intelligence</x:v>
      </x:c>
      <x:c r="B199" s="115" t="str">
        <x:v>11. Data Lake, Warehouse, Lakehouse, Analytics &amp; BI</x:v>
      </x:c>
      <x:c r="C199" s="115" t="str">
        <x:v>Analytics, BI &amp; Search</x:v>
      </x:c>
      <x:c r="D199" s="115" t="str">
        <x:v>Adopt &amp; Build</x:v>
      </x:c>
      <x:c r="E199" s="115" t="str">
        <x:v>Security, Privacy &amp; Compliance
Cost &amp; FinOps
Operations &amp; Support
Reliability &amp; Resilience
Performance &amp; Scalability
Data Residency &amp; Sovereignty
Portability &amp; Exit
Sustainability</x:v>
      </x:c>
      <x:c r="F199" s="115" t="str">
        <x:v>06 Data Platform, Analytics &amp; BI</x:v>
      </x:c>
      <x:c r="G199" s="115" t="str">
        <x:v>Data, Analytics &amp; BI</x:v>
      </x:c>
      <x:c r="H199" s="115" t="str">
        <x:v>Search analytics</x:v>
      </x:c>
      <x:c r="I199" s="115" t="str">
        <x:v>Managed search and log analytics</x:v>
      </x:c>
      <x:c r="J199" s="115" t="str">
        <x:v>Index, search and analyse operational or application data.</x:v>
      </x:c>
      <x:c r="K199" s="115" t="str">
        <x:v>Choose this capability when you need to index, search and analyse operational or application data.</x:v>
      </x:c>
      <x:c r="L199" s="115" t="str">
        <x:v>What business outcome, scale, control, integration and operating model justify choosing managed search and log analytics?</x:v>
      </x:c>
      <x:c r="M199" s="115" t="str">
        <x:v>Managed simplicity and performance versus portability, data gravity and long-term cost.</x:v>
      </x:c>
      <x:c r="N199" s="115" t="n">
        <x:v>3</x:v>
      </x:c>
      <x:c r="O199" s="115" t="str">
        <x:v>Moderate</x:v>
      </x:c>
      <x:c r="P199" s="115" t="str">
        <x:v>1–3 weeks</x:v>
      </x:c>
      <x:c r="Q199" s="115" t="str">
        <x:v>Medium</x:v>
      </x:c>
      <x:c r="R199" s="115" t="str">
        <x:v>Amazon OpenSearch Service
Amazon OpenSearch Serverless</x:v>
      </x:c>
      <x:c r="S199" s="115" t="str">
        <x:v>Azure Data Explorer
Azure AI Search</x:v>
      </x:c>
      <x:c r="T199" s="115" t="str">
        <x:v>BigQuery
Google Security Operations</x:v>
      </x:c>
      <x:c r="U199" s="115" t="n">
        <x:v>3.63</x:v>
      </x:c>
      <x:c r="V199" s="115" t="n">
        <x:v>3.87</x:v>
      </x:c>
      <x:c r="W199" s="115" t="n">
        <x:v>3.76</x:v>
      </x:c>
      <x:c r="X199" s="118" t="str">
        <x:v>Context-dependent tie</x:v>
      </x:c>
      <x:c r="Y199" s="115" t="str">
        <x:v>Scores are close: use ecosystem, data gravity, region, skills, commercials and proof-of-value results to decide.</x:v>
      </x:c>
      <x:c r="Z199" s="115" t="str">
        <x:v>Partial</x:v>
      </x:c>
      <x:c r="AA199" s="115"/>
      <x:c r="AB199" s="115" t="str">
        <x:v>2026-07-12</x:v>
      </x:c>
      <x:c r="AC199" s="115" t="str">
        <x:v>Scored and mapped</x:v>
      </x:c>
      <x:c r="AD199" s="115" t="str">
        <x:v>https://azure.microsoft.com/en-us/products/category</x:v>
      </x:c>
    </x:row>
    <x:row r="200">
      <x:c r="A200" s="115" t="str">
        <x:v>3. Data &amp; Intelligence</x:v>
      </x:c>
      <x:c r="B200" s="115" t="str">
        <x:v>11. Data Lake, Warehouse, Lakehouse, Analytics &amp; BI</x:v>
      </x:c>
      <x:c r="C200" s="115" t="str">
        <x:v>Analytics, BI &amp; Search</x:v>
      </x:c>
      <x:c r="D200" s="115" t="str">
        <x:v>Adopt &amp; Build</x:v>
      </x:c>
      <x:c r="E200" s="115" t="str">
        <x:v>Security, Privacy &amp; Compliance
Cost &amp; FinOps
Operations &amp; Support
Reliability &amp; Resilience
Performance &amp; Scalability
Data Residency &amp; Sovereignty
Portability &amp; Exit
Sustainability</x:v>
      </x:c>
      <x:c r="F200" s="115" t="str">
        <x:v>06 Data Platform, Analytics &amp; BI</x:v>
      </x:c>
      <x:c r="G200" s="115" t="str">
        <x:v>Data, Analytics &amp; BI</x:v>
      </x:c>
      <x:c r="H200" s="115" t="str">
        <x:v>Financial analytics</x:v>
      </x:c>
      <x:c r="I200" s="115" t="str">
        <x:v>Financial-services data analytics</x:v>
      </x:c>
      <x:c r="J200" s="115" t="str">
        <x:v>Store and analyse specialised capital-markets or financial datasets.</x:v>
      </x:c>
      <x:c r="K200" s="115" t="str">
        <x:v>Choose this capability when you need to store and analyse specialised capital-markets or financial datasets.</x:v>
      </x:c>
      <x:c r="L200" s="115" t="str">
        <x:v>What business outcome, scale, control, integration and operating model justify choosing financial-services data analytics?</x:v>
      </x:c>
      <x:c r="M200" s="115" t="str">
        <x:v>Managed simplicity and performance versus portability, data gravity and long-term cost.</x:v>
      </x:c>
      <x:c r="N200" s="115" t="n">
        <x:v>3</x:v>
      </x:c>
      <x:c r="O200" s="115" t="str">
        <x:v>Moderate</x:v>
      </x:c>
      <x:c r="P200" s="115" t="str">
        <x:v>1–3 weeks</x:v>
      </x:c>
      <x:c r="Q200" s="115" t="str">
        <x:v>Medium</x:v>
      </x:c>
      <x:c r="R200" s="115" t="str">
        <x:v>Amazon FinSpace</x:v>
      </x:c>
      <x:c r="S200" s="115" t="str">
        <x:v>Microsoft Cloud for Financial Services
Microsoft Fabric</x:v>
      </x:c>
      <x:c r="T200" s="115" t="str">
        <x:v>BigQuery financial-services solutions</x:v>
      </x:c>
      <x:c r="U200" s="115" t="n">
        <x:v>3.7</x:v>
      </x:c>
      <x:c r="V200" s="115" t="n">
        <x:v>3.87</x:v>
      </x:c>
      <x:c r="W200" s="115" t="n">
        <x:v>3.89</x:v>
      </x:c>
      <x:c r="X200" s="118" t="str">
        <x:v>Context-dependent tie</x:v>
      </x:c>
      <x:c r="Y200" s="115" t="str">
        <x:v>Scores are close: use ecosystem, data gravity, region, skills, commercials and proof-of-value results to decide.</x:v>
      </x:c>
      <x:c r="Z200" s="115" t="str">
        <x:v>Partial</x:v>
      </x:c>
      <x:c r="AA200" s="115"/>
      <x:c r="AB200" s="115" t="str">
        <x:v>2026-07-12</x:v>
      </x:c>
      <x:c r="AC200" s="115" t="str">
        <x:v>Scored and mapped</x:v>
      </x:c>
      <x:c r="AD200" s="115" t="str">
        <x:v>https://azure.microsoft.com/en-us/products/category</x:v>
      </x:c>
    </x:row>
    <x:row r="201">
      <x:c r="A201" s="115" t="str">
        <x:v>4. Applications &amp; Experience</x:v>
      </x:c>
      <x:c r="B201" s="115" t="str">
        <x:v>16. APIs, Integration, Workflows, Eventing &amp; Process Automation</x:v>
      </x:c>
      <x:c r="C201" s="115" t="str">
        <x:v>Messaging &amp; Eventing</x:v>
      </x:c>
      <x:c r="D201" s="115" t="str">
        <x:v>Adopt &amp; Build</x:v>
      </x:c>
      <x:c r="E201" s="115" t="str">
        <x:v>Security, Privacy &amp; Compliance
Cost &amp; FinOps
Operations &amp; Support
Reliability &amp; Resilience
Performance &amp; Scalability
Portability &amp; Exit</x:v>
      </x:c>
      <x:c r="F201" s="115" t="str">
        <x:v>08 Applications, APIs &amp; Integration</x:v>
      </x:c>
      <x:c r="G201" s="115" t="str">
        <x:v>Application Integration</x:v>
      </x:c>
      <x:c r="H201" s="115" t="str">
        <x:v>Messaging</x:v>
      </x:c>
      <x:c r="I201" s="115" t="str">
        <x:v>Managed message queue</x:v>
      </x:c>
      <x:c r="J201" s="115" t="str">
        <x:v>Decouple applications with durable asynchronous message queues.</x:v>
      </x:c>
      <x:c r="K201" s="115" t="str">
        <x:v>Choose this capability when you need to decouple applications with durable asynchronous message queues.</x:v>
      </x:c>
      <x:c r="L201" s="115" t="str">
        <x:v>What business outcome, scale, control, integration and operating model justify choosing managed message queue?</x:v>
      </x:c>
      <x:c r="M201" s="115" t="str">
        <x:v>Time to market versus platform constraints and vendor lock-in.</x:v>
      </x:c>
      <x:c r="N201" s="115" t="n">
        <x:v>4</x:v>
      </x:c>
      <x:c r="O201" s="115" t="str">
        <x:v>Easy</x:v>
      </x:c>
      <x:c r="P201" s="115" t="str">
        <x:v>1–3 days</x:v>
      </x:c>
      <x:c r="Q201" s="115" t="str">
        <x:v>Medium</x:v>
      </x:c>
      <x:c r="R201" s="115" t="str">
        <x:v>Amazon Simple Queue Service</x:v>
      </x:c>
      <x:c r="S201" s="115" t="str">
        <x:v>Azure Service Bus queues</x:v>
      </x:c>
      <x:c r="T201" s="115" t="str">
        <x:v>Pub/Sub</x:v>
      </x:c>
      <x:c r="U201" s="115" t="n">
        <x:v>4.15</x:v>
      </x:c>
      <x:c r="V201" s="115" t="n">
        <x:v>4.06</x:v>
      </x:c>
      <x:c r="W201" s="115" t="n">
        <x:v>3.93</x:v>
      </x:c>
      <x:c r="X201" s="118" t="str">
        <x:v>Context-dependent tie</x:v>
      </x:c>
      <x:c r="Y201" s="115" t="str">
        <x:v>Scores are close: use ecosystem, data gravity, region, skills, commercials and proof-of-value results to decide.</x:v>
      </x:c>
      <x:c r="Z201" s="115" t="str">
        <x:v>Close</x:v>
      </x:c>
      <x:c r="AA201" s="115"/>
      <x:c r="AB201" s="115" t="str">
        <x:v>2026-07-12</x:v>
      </x:c>
      <x:c r="AC201" s="115" t="str">
        <x:v>Scored and mapped</x:v>
      </x:c>
      <x:c r="AD201" s="115" t="str">
        <x:v>https://docs.aws.amazon.com/decision-guides/latest/application-integration-on-aws-how-to-choose/application-integration-on-aws-how-to-choose.html</x:v>
      </x:c>
    </x:row>
    <x:row r="202">
      <x:c r="A202" s="115" t="str">
        <x:v>4. Applications &amp; Experience</x:v>
      </x:c>
      <x:c r="B202" s="115" t="str">
        <x:v>16. APIs, Integration, Workflows, Eventing &amp; Process Automation</x:v>
      </x:c>
      <x:c r="C202" s="115" t="str">
        <x:v>Messaging &amp; Eventing</x:v>
      </x:c>
      <x:c r="D202" s="115" t="str">
        <x:v>Adopt &amp; Build</x:v>
      </x:c>
      <x:c r="E202" s="115" t="str">
        <x:v>Security, Privacy &amp; Compliance
Cost &amp; FinOps
Operations &amp; Support
Reliability &amp; Resilience
Performance &amp; Scalability
Portability &amp; Exit</x:v>
      </x:c>
      <x:c r="F202" s="115" t="str">
        <x:v>08 Applications, APIs &amp; Integration</x:v>
      </x:c>
      <x:c r="G202" s="115" t="str">
        <x:v>Application Integration</x:v>
      </x:c>
      <x:c r="H202" s="115" t="str">
        <x:v>Pub/sub</x:v>
      </x:c>
      <x:c r="I202" s="115" t="str">
        <x:v>Publish-subscribe messaging</x:v>
      </x:c>
      <x:c r="J202" s="115" t="str">
        <x:v>Distribute messages from publishers to multiple asynchronous subscribers.</x:v>
      </x:c>
      <x:c r="K202" s="115" t="str">
        <x:v>Choose this capability when you need to distribute messages from publishers to multiple asynchronous subscribers.</x:v>
      </x:c>
      <x:c r="L202" s="115" t="str">
        <x:v>What business outcome, scale, control, integration and operating model justify choosing publish-subscribe messaging?</x:v>
      </x:c>
      <x:c r="M202" s="115" t="str">
        <x:v>Time to market versus platform constraints and vendor lock-in.</x:v>
      </x:c>
      <x:c r="N202" s="115" t="n">
        <x:v>3</x:v>
      </x:c>
      <x:c r="O202" s="115" t="str">
        <x:v>Moderate</x:v>
      </x:c>
      <x:c r="P202" s="115" t="str">
        <x:v>1–3 weeks</x:v>
      </x:c>
      <x:c r="Q202" s="115" t="str">
        <x:v>Medium</x:v>
      </x:c>
      <x:c r="R202" s="115" t="str">
        <x:v>Amazon Simple Notification Service</x:v>
      </x:c>
      <x:c r="S202" s="115" t="str">
        <x:v>Azure Service Bus topics
Azure Event Grid</x:v>
      </x:c>
      <x:c r="T202" s="115" t="str">
        <x:v>Pub/Sub</x:v>
      </x:c>
      <x:c r="U202" s="115" t="n">
        <x:v>3.93</x:v>
      </x:c>
      <x:c r="V202" s="115" t="n">
        <x:v>3.75</x:v>
      </x:c>
      <x:c r="W202" s="115" t="n">
        <x:v>3.72</x:v>
      </x:c>
      <x:c r="X202" s="118" t="str">
        <x:v>AWS</x:v>
      </x:c>
      <x:c r="Y202" s="115" t="str">
        <x:v>Start with AWS when infrastructure breadth, native integration and operational maturity are the main differentiators.</x:v>
      </x:c>
      <x:c r="Z202" s="115" t="str">
        <x:v>Close</x:v>
      </x:c>
      <x:c r="AA202" s="115"/>
      <x:c r="AB202" s="115" t="str">
        <x:v>2026-07-12</x:v>
      </x:c>
      <x:c r="AC202" s="115" t="str">
        <x:v>Scored and mapped</x:v>
      </x:c>
      <x:c r="AD202" s="115" t="str">
        <x:v>https://docs.aws.amazon.com/decision-guides/latest/application-integration-on-aws-how-to-choose/application-integration-on-aws-how-to-choose.html</x:v>
      </x:c>
    </x:row>
    <x:row r="203">
      <x:c r="A203" s="115" t="str">
        <x:v>4. Applications &amp; Experience</x:v>
      </x:c>
      <x:c r="B203" s="115" t="str">
        <x:v>16. APIs, Integration, Workflows, Eventing &amp; Process Automation</x:v>
      </x:c>
      <x:c r="C203" s="115" t="str">
        <x:v>Messaging &amp; Eventing</x:v>
      </x:c>
      <x:c r="D203" s="115" t="str">
        <x:v>Adopt &amp; Build</x:v>
      </x:c>
      <x:c r="E203" s="115" t="str">
        <x:v>Security, Privacy &amp; Compliance
Cost &amp; FinOps
Operations &amp; Support
Reliability &amp; Resilience
Performance &amp; Scalability
Portability &amp; Exit</x:v>
      </x:c>
      <x:c r="F203" s="115" t="str">
        <x:v>08 Applications, APIs &amp; Integration</x:v>
      </x:c>
      <x:c r="G203" s="115" t="str">
        <x:v>Application Integration</x:v>
      </x:c>
      <x:c r="H203" s="115" t="str">
        <x:v>Event bus</x:v>
      </x:c>
      <x:c r="I203" s="115" t="str">
        <x:v>Application event bus</x:v>
      </x:c>
      <x:c r="J203" s="115" t="str">
        <x:v>Route events from applications and cloud services using rules and schemas.</x:v>
      </x:c>
      <x:c r="K203" s="115" t="str">
        <x:v>Choose this capability when you need to route events from applications and cloud services using rules and schemas.</x:v>
      </x:c>
      <x:c r="L203" s="115" t="str">
        <x:v>What business outcome, scale, control, integration and operating model justify choosing application event bus?</x:v>
      </x:c>
      <x:c r="M203" s="115" t="str">
        <x:v>Time to market versus platform constraints and vendor lock-in.</x:v>
      </x:c>
      <x:c r="N203" s="115" t="n">
        <x:v>3</x:v>
      </x:c>
      <x:c r="O203" s="115" t="str">
        <x:v>Moderate</x:v>
      </x:c>
      <x:c r="P203" s="115" t="str">
        <x:v>1–3 weeks</x:v>
      </x:c>
      <x:c r="Q203" s="115" t="str">
        <x:v>Medium</x:v>
      </x:c>
      <x:c r="R203" s="115" t="str">
        <x:v>Amazon EventBridge</x:v>
      </x:c>
      <x:c r="S203" s="115" t="str">
        <x:v>Azure Event Grid</x:v>
      </x:c>
      <x:c r="T203" s="115" t="str">
        <x:v>Eventarc</x:v>
      </x:c>
      <x:c r="U203" s="115" t="n">
        <x:v>3.93</x:v>
      </x:c>
      <x:c r="V203" s="115" t="n">
        <x:v>3.84</x:v>
      </x:c>
      <x:c r="W203" s="115" t="n">
        <x:v>3.81</x:v>
      </x:c>
      <x:c r="X203" s="118" t="str">
        <x:v>Context-dependent tie</x:v>
      </x:c>
      <x:c r="Y203" s="115" t="str">
        <x:v>Scores are close: use ecosystem, data gravity, region, skills, commercials and proof-of-value results to decide.</x:v>
      </x:c>
      <x:c r="Z203" s="115" t="str">
        <x:v>Close</x:v>
      </x:c>
      <x:c r="AA203" s="115"/>
      <x:c r="AB203" s="115" t="str">
        <x:v>2026-07-12</x:v>
      </x:c>
      <x:c r="AC203" s="115" t="str">
        <x:v>Scored and mapped</x:v>
      </x:c>
      <x:c r="AD203" s="115" t="str">
        <x:v>https://docs.aws.amazon.com/decision-guides/latest/application-integration-on-aws-how-to-choose/application-integration-on-aws-how-to-choose.html</x:v>
      </x:c>
    </x:row>
    <x:row r="204">
      <x:c r="A204" s="115" t="str">
        <x:v>4. Applications &amp; Experience</x:v>
      </x:c>
      <x:c r="B204" s="115" t="str">
        <x:v>16. APIs, Integration, Workflows, Eventing &amp; Process Automation</x:v>
      </x:c>
      <x:c r="C204" s="115" t="str">
        <x:v>Workflow &amp; Orchestration</x:v>
      </x:c>
      <x:c r="D204" s="115" t="str">
        <x:v>Adopt &amp; Build</x:v>
      </x:c>
      <x:c r="E204" s="115" t="str">
        <x:v>Security, Privacy &amp; Compliance
Cost &amp; FinOps
Operations &amp; Support
Reliability &amp; Resilience
Performance &amp; Scalability
Portability &amp; Exit</x:v>
      </x:c>
      <x:c r="F204" s="115" t="str">
        <x:v>08 Applications, APIs &amp; Integration</x:v>
      </x:c>
      <x:c r="G204" s="115" t="str">
        <x:v>Application Integration</x:v>
      </x:c>
      <x:c r="H204" s="115" t="str">
        <x:v>Workflow</x:v>
      </x:c>
      <x:c r="I204" s="115" t="str">
        <x:v>Serverless workflow orchestration</x:v>
      </x:c>
      <x:c r="J204" s="115" t="str">
        <x:v>Coordinate services and application steps using durable stateful workflows.</x:v>
      </x:c>
      <x:c r="K204" s="115" t="str">
        <x:v>Choose this capability when you need to coordinate services and application steps using durable stateful workflows.</x:v>
      </x:c>
      <x:c r="L204" s="115" t="str">
        <x:v>What business outcome, scale, control, integration and operating model justify choosing serverless workflow orchestration?</x:v>
      </x:c>
      <x:c r="M204" s="115" t="str">
        <x:v>Time to market versus platform constraints and vendor lock-in.</x:v>
      </x:c>
      <x:c r="N204" s="115" t="n">
        <x:v>3</x:v>
      </x:c>
      <x:c r="O204" s="115" t="str">
        <x:v>Moderate</x:v>
      </x:c>
      <x:c r="P204" s="115" t="str">
        <x:v>1–3 weeks</x:v>
      </x:c>
      <x:c r="Q204" s="115" t="str">
        <x:v>High</x:v>
      </x:c>
      <x:c r="R204" s="115" t="str">
        <x:v>AWS Step Functions</x:v>
      </x:c>
      <x:c r="S204" s="115" t="str">
        <x:v>Azure Logic Apps
Durable Functions</x:v>
      </x:c>
      <x:c r="T204" s="115" t="str">
        <x:v>Workflows</x:v>
      </x:c>
      <x:c r="U204" s="115" t="n">
        <x:v>3.93</x:v>
      </x:c>
      <x:c r="V204" s="115" t="n">
        <x:v>3.73</x:v>
      </x:c>
      <x:c r="W204" s="115" t="n">
        <x:v>3.89</x:v>
      </x:c>
      <x:c r="X204" s="118" t="str">
        <x:v>Context-dependent tie</x:v>
      </x:c>
      <x:c r="Y204" s="115" t="str">
        <x:v>Scores are close: use ecosystem, data gravity, region, skills, commercials and proof-of-value results to decide.</x:v>
      </x:c>
      <x:c r="Z204" s="115" t="str">
        <x:v>Close</x:v>
      </x:c>
      <x:c r="AA204" s="115"/>
      <x:c r="AB204" s="115" t="str">
        <x:v>2026-07-12</x:v>
      </x:c>
      <x:c r="AC204" s="115" t="str">
        <x:v>Scored and mapped</x:v>
      </x:c>
      <x:c r="AD204" s="115" t="str">
        <x:v>https://docs.aws.amazon.com/decision-guides/latest/application-integration-on-aws-how-to-choose/application-integration-on-aws-how-to-choose.html</x:v>
      </x:c>
    </x:row>
    <x:row r="205">
      <x:c r="A205" s="115" t="str">
        <x:v>4. Applications &amp; Experience</x:v>
      </x:c>
      <x:c r="B205" s="115" t="str">
        <x:v>16. APIs, Integration, Workflows, Eventing &amp; Process Automation</x:v>
      </x:c>
      <x:c r="C205" s="115" t="str">
        <x:v>Enterprise Integration &amp; iPaaS</x:v>
      </x:c>
      <x:c r="D205" s="115" t="str">
        <x:v>Adopt &amp; Build</x:v>
      </x:c>
      <x:c r="E205" s="115" t="str">
        <x:v>Security, Privacy &amp; Compliance
Cost &amp; FinOps
Operations &amp; Support
Reliability &amp; Resilience
Performance &amp; Scalability
Portability &amp; Exit</x:v>
      </x:c>
      <x:c r="F205" s="115" t="str">
        <x:v>08 Applications, APIs &amp; Integration</x:v>
      </x:c>
      <x:c r="G205" s="115" t="str">
        <x:v>Application Integration</x:v>
      </x:c>
      <x:c r="H205" s="115" t="str">
        <x:v>Integration platform</x:v>
      </x:c>
      <x:c r="I205" s="115" t="str">
        <x:v>Integration platform as a service</x:v>
      </x:c>
      <x:c r="J205" s="115" t="str">
        <x:v>Connect SaaS, cloud and on-premises systems through managed connectors and workflows.</x:v>
      </x:c>
      <x:c r="K205" s="115" t="str">
        <x:v>Choose this capability when you need to connect saas, cloud and on-premises systems through managed connectors and workflows.</x:v>
      </x:c>
      <x:c r="L205" s="115" t="str">
        <x:v>What business outcome, scale, control, integration and operating model justify choosing integration platform as a service?</x:v>
      </x:c>
      <x:c r="M205" s="115" t="str">
        <x:v>Time to market versus platform constraints and vendor lock-in.</x:v>
      </x:c>
      <x:c r="N205" s="115" t="n">
        <x:v>3</x:v>
      </x:c>
      <x:c r="O205" s="115" t="str">
        <x:v>Moderate</x:v>
      </x:c>
      <x:c r="P205" s="115" t="str">
        <x:v>1–3 weeks</x:v>
      </x:c>
      <x:c r="Q205" s="115" t="str">
        <x:v>Medium</x:v>
      </x:c>
      <x:c r="R205" s="115" t="str">
        <x:v>Amazon AppFlow
Amazon EventBridge</x:v>
      </x:c>
      <x:c r="S205" s="115" t="str">
        <x:v>Azure Logic Apps
Azure Integration Services</x:v>
      </x:c>
      <x:c r="T205" s="115" t="str">
        <x:v>Application Integration
Integration Connectors</x:v>
      </x:c>
      <x:c r="U205" s="115" t="n">
        <x:v>3.73</x:v>
      </x:c>
      <x:c r="V205" s="115" t="n">
        <x:v>3.75</x:v>
      </x:c>
      <x:c r="W205" s="115" t="n">
        <x:v>3.72</x:v>
      </x:c>
      <x:c r="X205" s="118" t="str">
        <x:v>Context-dependent tie</x:v>
      </x:c>
      <x:c r="Y205" s="115" t="str">
        <x:v>Scores are close: use ecosystem, data gravity, region, skills, commercials and proof-of-value results to decide.</x:v>
      </x:c>
      <x:c r="Z205" s="115" t="str">
        <x:v>Close</x:v>
      </x:c>
      <x:c r="AA205" s="115"/>
      <x:c r="AB205" s="115" t="str">
        <x:v>2026-07-12</x:v>
      </x:c>
      <x:c r="AC205" s="115" t="str">
        <x:v>Scored and mapped</x:v>
      </x:c>
      <x:c r="AD205" s="115" t="str">
        <x:v>https://docs.aws.amazon.com/decision-guides/latest/application-integration-on-aws-how-to-choose/application-integration-on-aws-how-to-choose.html</x:v>
      </x:c>
    </x:row>
    <x:row r="206">
      <x:c r="A206" s="115" t="str">
        <x:v>4. Applications &amp; Experience</x:v>
      </x:c>
      <x:c r="B206" s="115" t="str">
        <x:v>16. APIs, Integration, Workflows, Eventing &amp; Process Automation</x:v>
      </x:c>
      <x:c r="C206" s="115" t="str">
        <x:v>Application Communications</x:v>
      </x:c>
      <x:c r="D206" s="115" t="str">
        <x:v>Adopt &amp; Build</x:v>
      </x:c>
      <x:c r="E206" s="115" t="str">
        <x:v>Security, Privacy &amp; Compliance
Cost &amp; FinOps
Operations &amp; Support
Reliability &amp; Resilience
Performance &amp; Scalability
Portability &amp; Exit</x:v>
      </x:c>
      <x:c r="F206" s="115" t="str">
        <x:v>08 Applications, APIs &amp; Integration</x:v>
      </x:c>
      <x:c r="G206" s="115" t="str">
        <x:v>Application Integration</x:v>
      </x:c>
      <x:c r="H206" s="115" t="str">
        <x:v>Managed MQ</x:v>
      </x:c>
      <x:c r="I206" s="115" t="str">
        <x:v>Managed message broker</x:v>
      </x:c>
      <x:c r="J206" s="115" t="str">
        <x:v>Run managed enterprise message brokers using familiar protocols.</x:v>
      </x:c>
      <x:c r="K206" s="115" t="str">
        <x:v>Choose this capability when you need to run managed enterprise message brokers using familiar protocols.</x:v>
      </x:c>
      <x:c r="L206" s="115" t="str">
        <x:v>What business outcome, scale, control, integration and operating model justify choosing managed message broker?</x:v>
      </x:c>
      <x:c r="M206" s="115" t="str">
        <x:v>Time to market versus platform constraints and vendor lock-in.</x:v>
      </x:c>
      <x:c r="N206" s="115" t="n">
        <x:v>3</x:v>
      </x:c>
      <x:c r="O206" s="115" t="str">
        <x:v>Moderate</x:v>
      </x:c>
      <x:c r="P206" s="115" t="str">
        <x:v>1–3 weeks</x:v>
      </x:c>
      <x:c r="Q206" s="115" t="str">
        <x:v>Medium</x:v>
      </x:c>
      <x:c r="R206" s="115" t="str">
        <x:v>Amazon MQ</x:v>
      </x:c>
      <x:c r="S206" s="115" t="str">
        <x:v>Azure Service Bus</x:v>
      </x:c>
      <x:c r="T206" s="115" t="str">
        <x:v>Pub/Sub / partner managed brokers</x:v>
      </x:c>
      <x:c r="U206" s="115" t="n">
        <x:v>3.64</x:v>
      </x:c>
      <x:c r="V206" s="115" t="n">
        <x:v>3.65</x:v>
      </x:c>
      <x:c r="W206" s="115" t="n">
        <x:v>3.16</x:v>
      </x:c>
      <x:c r="X206" s="118" t="str">
        <x:v>Context-dependent tie</x:v>
      </x:c>
      <x:c r="Y206" s="115" t="str">
        <x:v>Scores are close: use ecosystem, data gravity, region, skills, commercials and proof-of-value results to decide.</x:v>
      </x:c>
      <x:c r="Z206" s="115" t="str">
        <x:v>Partial</x:v>
      </x:c>
      <x:c r="AA206" s="115"/>
      <x:c r="AB206" s="115" t="str">
        <x:v>2026-07-12</x:v>
      </x:c>
      <x:c r="AC206" s="115" t="str">
        <x:v>Scored and mapped</x:v>
      </x:c>
      <x:c r="AD206" s="115" t="str">
        <x:v>https://docs.aws.amazon.com/decision-guides/latest/application-integration-on-aws-how-to-choose/application-integration-on-aws-how-to-choose.html</x:v>
      </x:c>
    </x:row>
    <x:row r="207">
      <x:c r="A207" s="115" t="str">
        <x:v>4. Applications &amp; Experience</x:v>
      </x:c>
      <x:c r="B207" s="115" t="str">
        <x:v>16. APIs, Integration, Workflows, Eventing &amp; Process Automation</x:v>
      </x:c>
      <x:c r="C207" s="115" t="str">
        <x:v>Enterprise Integration &amp; iPaaS</x:v>
      </x:c>
      <x:c r="D207" s="115" t="str">
        <x:v>Adopt &amp; Build</x:v>
      </x:c>
      <x:c r="E207" s="115" t="str">
        <x:v>Security, Privacy &amp; Compliance
Cost &amp; FinOps
Operations &amp; Support
Reliability &amp; Resilience
Performance &amp; Scalability
Portability &amp; Exit</x:v>
      </x:c>
      <x:c r="F207" s="115" t="str">
        <x:v>08 Applications, APIs &amp; Integration</x:v>
      </x:c>
      <x:c r="G207" s="115" t="str">
        <x:v>Application Integration</x:v>
      </x:c>
      <x:c r="H207" s="115" t="str">
        <x:v>B2B integration</x:v>
      </x:c>
      <x:c r="I207" s="115" t="str">
        <x:v>B2B and EDI integration</x:v>
      </x:c>
      <x:c r="J207" s="115" t="str">
        <x:v>Exchange and transform business documents with trading partners.</x:v>
      </x:c>
      <x:c r="K207" s="115" t="str">
        <x:v>Choose this capability when you need to exchange and transform business documents with trading partners.</x:v>
      </x:c>
      <x:c r="L207" s="115" t="str">
        <x:v>What business outcome, scale, control, integration and operating model justify choosing b2b and edi integration?</x:v>
      </x:c>
      <x:c r="M207" s="115" t="str">
        <x:v>Time to market versus platform constraints and vendor lock-in.</x:v>
      </x:c>
      <x:c r="N207" s="115" t="n">
        <x:v>3</x:v>
      </x:c>
      <x:c r="O207" s="115" t="str">
        <x:v>Moderate</x:v>
      </x:c>
      <x:c r="P207" s="115" t="str">
        <x:v>1–3 weeks</x:v>
      </x:c>
      <x:c r="Q207" s="115" t="str">
        <x:v>Medium</x:v>
      </x:c>
      <x:c r="R207" s="115" t="str">
        <x:v>AWS B2B Data Interchange</x:v>
      </x:c>
      <x:c r="S207" s="115" t="str">
        <x:v>Azure Logic Apps Integration Account</x:v>
      </x:c>
      <x:c r="T207" s="115" t="str">
        <x:v>Application Integration / partner EDI</x:v>
      </x:c>
      <x:c r="U207" s="115" t="n">
        <x:v>3.64</x:v>
      </x:c>
      <x:c r="V207" s="115" t="n">
        <x:v>3.65</x:v>
      </x:c>
      <x:c r="W207" s="115" t="n">
        <x:v>3.16</x:v>
      </x:c>
      <x:c r="X207" s="118" t="str">
        <x:v>Context-dependent tie</x:v>
      </x:c>
      <x:c r="Y207" s="115" t="str">
        <x:v>Scores are close: use ecosystem, data gravity, region, skills, commercials and proof-of-value results to decide.</x:v>
      </x:c>
      <x:c r="Z207" s="115" t="str">
        <x:v>Partial</x:v>
      </x:c>
      <x:c r="AA207" s="115"/>
      <x:c r="AB207" s="115" t="str">
        <x:v>2026-07-12</x:v>
      </x:c>
      <x:c r="AC207" s="115" t="str">
        <x:v>Scored and mapped</x:v>
      </x:c>
      <x:c r="AD207" s="115" t="str">
        <x:v>https://docs.aws.amazon.com/decision-guides/latest/application-integration-on-aws-how-to-choose/application-integration-on-aws-how-to-choose.html</x:v>
      </x:c>
    </x:row>
    <x:row r="208">
      <x:c r="A208" s="115" t="str">
        <x:v>4. Applications &amp; Experience</x:v>
      </x:c>
      <x:c r="B208" s="115" t="str">
        <x:v>16. APIs, Integration, Workflows, Eventing &amp; Process Automation</x:v>
      </x:c>
      <x:c r="C208" s="115" t="str">
        <x:v>Workflow &amp; Orchestration</x:v>
      </x:c>
      <x:c r="D208" s="115" t="str">
        <x:v>Adopt &amp; Build</x:v>
      </x:c>
      <x:c r="E208" s="115" t="str">
        <x:v>Security, Privacy &amp; Compliance
Cost &amp; FinOps
Operations &amp; Support
Reliability &amp; Resilience
Performance &amp; Scalability
Portability &amp; Exit</x:v>
      </x:c>
      <x:c r="F208" s="115" t="str">
        <x:v>08 Applications, APIs &amp; Integration</x:v>
      </x:c>
      <x:c r="G208" s="115" t="str">
        <x:v>Application Integration</x:v>
      </x:c>
      <x:c r="H208" s="115" t="str">
        <x:v>Workflow scheduling</x:v>
      </x:c>
      <x:c r="I208" s="115" t="str">
        <x:v>Cloud task scheduler</x:v>
      </x:c>
      <x:c r="J208" s="115" t="str">
        <x:v>Trigger jobs and HTTP targets according to cron-like schedules.</x:v>
      </x:c>
      <x:c r="K208" s="115" t="str">
        <x:v>Choose this capability when you need to trigger jobs and http targets according to cron-like schedules.</x:v>
      </x:c>
      <x:c r="L208" s="115" t="str">
        <x:v>What business outcome, scale, control, integration and operating model justify choosing cloud task scheduler?</x:v>
      </x:c>
      <x:c r="M208" s="115" t="str">
        <x:v>Time to market versus platform constraints and vendor lock-in.</x:v>
      </x:c>
      <x:c r="N208" s="115" t="n">
        <x:v>3</x:v>
      </x:c>
      <x:c r="O208" s="115" t="str">
        <x:v>Moderate</x:v>
      </x:c>
      <x:c r="P208" s="115" t="str">
        <x:v>1–3 weeks</x:v>
      </x:c>
      <x:c r="Q208" s="115" t="str">
        <x:v>High</x:v>
      </x:c>
      <x:c r="R208" s="115" t="str">
        <x:v>Amazon EventBridge Scheduler</x:v>
      </x:c>
      <x:c r="S208" s="115" t="str">
        <x:v>Azure Logic Apps
Azure Functions timer triggers</x:v>
      </x:c>
      <x:c r="T208" s="115" t="str">
        <x:v>Cloud Scheduler</x:v>
      </x:c>
      <x:c r="U208" s="115" t="n">
        <x:v>3.79</x:v>
      </x:c>
      <x:c r="V208" s="115" t="n">
        <x:v>3.73</x:v>
      </x:c>
      <x:c r="W208" s="115" t="n">
        <x:v>3.78</x:v>
      </x:c>
      <x:c r="X208" s="118" t="str">
        <x:v>Context-dependent tie</x:v>
      </x:c>
      <x:c r="Y208" s="115" t="str">
        <x:v>Scores are close: use ecosystem, data gravity, region, skills, commercials and proof-of-value results to decide.</x:v>
      </x:c>
      <x:c r="Z208" s="115" t="str">
        <x:v>Close</x:v>
      </x:c>
      <x:c r="AA208" s="115"/>
      <x:c r="AB208" s="115" t="str">
        <x:v>2026-07-12</x:v>
      </x:c>
      <x:c r="AC208" s="115" t="str">
        <x:v>Scored and mapped</x:v>
      </x:c>
      <x:c r="AD208" s="115" t="str">
        <x:v>https://docs.aws.amazon.com/decision-guides/latest/application-integration-on-aws-how-to-choose/application-integration-on-aws-how-to-choose.html</x:v>
      </x:c>
    </x:row>
    <x:row r="209">
      <x:c r="A209" s="115" t="str">
        <x:v>4. Applications &amp; Experience</x:v>
      </x:c>
      <x:c r="B209" s="115" t="str">
        <x:v>16. APIs, Integration, Workflows, Eventing &amp; Process Automation</x:v>
      </x:c>
      <x:c r="C209" s="115" t="str">
        <x:v>Messaging &amp; Eventing</x:v>
      </x:c>
      <x:c r="D209" s="115" t="str">
        <x:v>Adopt &amp; Build</x:v>
      </x:c>
      <x:c r="E209" s="115" t="str">
        <x:v>Security, Privacy &amp; Compliance
Cost &amp; FinOps
Operations &amp; Support
Reliability &amp; Resilience
Performance &amp; Scalability
Portability &amp; Exit</x:v>
      </x:c>
      <x:c r="F209" s="115" t="str">
        <x:v>08 Applications, APIs &amp; Integration</x:v>
      </x:c>
      <x:c r="G209" s="115" t="str">
        <x:v>Application Integration</x:v>
      </x:c>
      <x:c r="H209" s="115" t="str">
        <x:v>Task queue</x:v>
      </x:c>
      <x:c r="I209" s="115" t="str">
        <x:v>Application task queue</x:v>
      </x:c>
      <x:c r="J209" s="115" t="str">
        <x:v>Dispatch and control asynchronous application tasks with retries and rate limits.</x:v>
      </x:c>
      <x:c r="K209" s="115" t="str">
        <x:v>Choose this capability when you need to dispatch and control asynchronous application tasks with retries and rate limits.</x:v>
      </x:c>
      <x:c r="L209" s="115" t="str">
        <x:v>What business outcome, scale, control, integration and operating model justify choosing application task queue?</x:v>
      </x:c>
      <x:c r="M209" s="115" t="str">
        <x:v>Time to market versus platform constraints and vendor lock-in.</x:v>
      </x:c>
      <x:c r="N209" s="115" t="n">
        <x:v>4</x:v>
      </x:c>
      <x:c r="O209" s="115" t="str">
        <x:v>Easy</x:v>
      </x:c>
      <x:c r="P209" s="115" t="str">
        <x:v>1–3 days</x:v>
      </x:c>
      <x:c r="Q209" s="115" t="str">
        <x:v>Medium</x:v>
      </x:c>
      <x:c r="R209" s="115" t="str">
        <x:v>Amazon SQS</x:v>
      </x:c>
      <x:c r="S209" s="115" t="str">
        <x:v>Azure Queue Storage
Azure Service Bus</x:v>
      </x:c>
      <x:c r="T209" s="115" t="str">
        <x:v>Cloud Tasks</x:v>
      </x:c>
      <x:c r="U209" s="115" t="n">
        <x:v>4.15</x:v>
      </x:c>
      <x:c r="V209" s="115" t="n">
        <x:v>3.97</x:v>
      </x:c>
      <x:c r="W209" s="115" t="n">
        <x:v>4.02</x:v>
      </x:c>
      <x:c r="X209" s="118" t="str">
        <x:v>Context-dependent tie</x:v>
      </x:c>
      <x:c r="Y209" s="115" t="str">
        <x:v>Scores are close: use ecosystem, data gravity, region, skills, commercials and proof-of-value results to decide.</x:v>
      </x:c>
      <x:c r="Z209" s="115" t="str">
        <x:v>Close</x:v>
      </x:c>
      <x:c r="AA209" s="115"/>
      <x:c r="AB209" s="115" t="str">
        <x:v>2026-07-12</x:v>
      </x:c>
      <x:c r="AC209" s="115" t="str">
        <x:v>Scored and mapped</x:v>
      </x:c>
      <x:c r="AD209" s="115" t="str">
        <x:v>https://docs.aws.amazon.com/decision-guides/latest/application-integration-on-aws-how-to-choose/application-integration-on-aws-how-to-choose.html</x:v>
      </x:c>
    </x:row>
    <x:row r="210">
      <x:c r="A210" s="115" t="str">
        <x:v>4. Applications &amp; Experience</x:v>
      </x:c>
      <x:c r="B210" s="115" t="str">
        <x:v>16. APIs, Integration, Workflows, Eventing &amp; Process Automation</x:v>
      </x:c>
      <x:c r="C210" s="115" t="str">
        <x:v>Application Communications</x:v>
      </x:c>
      <x:c r="D210" s="115" t="str">
        <x:v>Adopt &amp; Build</x:v>
      </x:c>
      <x:c r="E210" s="115" t="str">
        <x:v>Security, Privacy &amp; Compliance
Cost &amp; FinOps
Operations &amp; Support
Reliability &amp; Resilience
Performance &amp; Scalability
Portability &amp; Exit</x:v>
      </x:c>
      <x:c r="F210" s="115" t="str">
        <x:v>08 Applications, APIs &amp; Integration</x:v>
      </x:c>
      <x:c r="G210" s="115" t="str">
        <x:v>Application Integration</x:v>
      </x:c>
      <x:c r="H210" s="115" t="str">
        <x:v>Email</x:v>
      </x:c>
      <x:c r="I210" s="115" t="str">
        <x:v>Transactional email</x:v>
      </x:c>
      <x:c r="J210" s="115" t="str">
        <x:v>Send application-generated transactional and bulk email.</x:v>
      </x:c>
      <x:c r="K210" s="115" t="str">
        <x:v>Choose this capability when you need to send application-generated transactional and bulk email.</x:v>
      </x:c>
      <x:c r="L210" s="115" t="str">
        <x:v>What business outcome, scale, control, integration and operating model justify choosing transactional email?</x:v>
      </x:c>
      <x:c r="M210" s="115" t="str">
        <x:v>Time to market versus platform constraints and vendor lock-in.</x:v>
      </x:c>
      <x:c r="N210" s="115" t="n">
        <x:v>4</x:v>
      </x:c>
      <x:c r="O210" s="115" t="str">
        <x:v>Easy</x:v>
      </x:c>
      <x:c r="P210" s="115" t="str">
        <x:v>1–3 days</x:v>
      </x:c>
      <x:c r="Q210" s="115" t="str">
        <x:v>Medium</x:v>
      </x:c>
      <x:c r="R210" s="115" t="str">
        <x:v>Amazon Simple Email Service</x:v>
      </x:c>
      <x:c r="S210" s="115" t="str">
        <x:v>Azure Communication Services Email</x:v>
      </x:c>
      <x:c r="T210" s="115" t="str">
        <x:v>partner email services</x:v>
      </x:c>
      <x:c r="U210" s="115" t="n">
        <x:v>3.84</x:v>
      </x:c>
      <x:c r="V210" s="115" t="n">
        <x:v>3.85</x:v>
      </x:c>
      <x:c r="W210" s="115" t="n">
        <x:v>3.4</x:v>
      </x:c>
      <x:c r="X210" s="118" t="str">
        <x:v>Context-dependent tie</x:v>
      </x:c>
      <x:c r="Y210" s="115" t="str">
        <x:v>Scores are close: use ecosystem, data gravity, region, skills, commercials and proof-of-value results to decide.</x:v>
      </x:c>
      <x:c r="Z210" s="115" t="str">
        <x:v>Partial</x:v>
      </x:c>
      <x:c r="AA210" s="115"/>
      <x:c r="AB210" s="115" t="str">
        <x:v>2026-07-12</x:v>
      </x:c>
      <x:c r="AC210" s="115" t="str">
        <x:v>Scored and mapped</x:v>
      </x:c>
      <x:c r="AD210" s="115" t="str">
        <x:v>https://docs.aws.amazon.com/decision-guides/latest/application-integration-on-aws-how-to-choose/application-integration-on-aws-how-to-choose.html</x:v>
      </x:c>
    </x:row>
    <x:row r="211">
      <x:c r="A211" s="115" t="str">
        <x:v>4. Applications &amp; Experience</x:v>
      </x:c>
      <x:c r="B211" s="115" t="str">
        <x:v>16. APIs, Integration, Workflows, Eventing &amp; Process Automation</x:v>
      </x:c>
      <x:c r="C211" s="115" t="str">
        <x:v>Application Communications</x:v>
      </x:c>
      <x:c r="D211" s="115" t="str">
        <x:v>Adopt &amp; Build</x:v>
      </x:c>
      <x:c r="E211" s="115" t="str">
        <x:v>Security, Privacy &amp; Compliance
Cost &amp; FinOps
Operations &amp; Support
Reliability &amp; Resilience
Performance &amp; Scalability
Portability &amp; Exit</x:v>
      </x:c>
      <x:c r="F211" s="115" t="str">
        <x:v>08 Applications, APIs &amp; Integration</x:v>
      </x:c>
      <x:c r="G211" s="115" t="str">
        <x:v>Application Integration</x:v>
      </x:c>
      <x:c r="H211" s="115" t="str">
        <x:v>Push notifications</x:v>
      </x:c>
      <x:c r="I211" s="115" t="str">
        <x:v>Mobile push notifications</x:v>
      </x:c>
      <x:c r="J211" s="115" t="str">
        <x:v>Send push messages and notifications to mobile devices and applications.</x:v>
      </x:c>
      <x:c r="K211" s="115" t="str">
        <x:v>Choose this capability when you need to send push messages and notifications to mobile devices and applications.</x:v>
      </x:c>
      <x:c r="L211" s="115" t="str">
        <x:v>What business outcome, scale, control, integration and operating model justify choosing mobile push notifications?</x:v>
      </x:c>
      <x:c r="M211" s="115" t="str">
        <x:v>Time to market versus platform constraints and vendor lock-in.</x:v>
      </x:c>
      <x:c r="N211" s="115" t="n">
        <x:v>5</x:v>
      </x:c>
      <x:c r="O211" s="115" t="str">
        <x:v>Very easy</x:v>
      </x:c>
      <x:c r="P211" s="115" t="str">
        <x:v>Hours</x:v>
      </x:c>
      <x:c r="Q211" s="115" t="str">
        <x:v>Medium</x:v>
      </x:c>
      <x:c r="R211" s="115" t="str">
        <x:v>Amazon SNS
Amazon Pinpoint</x:v>
      </x:c>
      <x:c r="S211" s="115" t="str">
        <x:v>Azure Notification Hubs</x:v>
      </x:c>
      <x:c r="T211" s="115" t="str">
        <x:v>Firebase Cloud Messaging</x:v>
      </x:c>
      <x:c r="U211" s="115" t="n">
        <x:v>4.13</x:v>
      </x:c>
      <x:c r="V211" s="115" t="n">
        <x:v>4.29</x:v>
      </x:c>
      <x:c r="W211" s="115" t="n">
        <x:v>4.21</x:v>
      </x:c>
      <x:c r="X211" s="118" t="str">
        <x:v>Context-dependent tie</x:v>
      </x:c>
      <x:c r="Y211" s="115" t="str">
        <x:v>Scores are close: use ecosystem, data gravity, region, skills, commercials and proof-of-value results to decide.</x:v>
      </x:c>
      <x:c r="Z211" s="115" t="str">
        <x:v>Close</x:v>
      </x:c>
      <x:c r="AA211" s="115"/>
      <x:c r="AB211" s="115" t="str">
        <x:v>2026-07-12</x:v>
      </x:c>
      <x:c r="AC211" s="115" t="str">
        <x:v>Scored and mapped</x:v>
      </x:c>
      <x:c r="AD211" s="115" t="str">
        <x:v>https://docs.aws.amazon.com/decision-guides/latest/application-integration-on-aws-how-to-choose/application-integration-on-aws-how-to-choose.html</x:v>
      </x:c>
    </x:row>
    <x:row r="212">
      <x:c r="A212" s="115" t="str">
        <x:v>4. Applications &amp; Experience</x:v>
      </x:c>
      <x:c r="B212" s="115" t="str">
        <x:v>16. APIs, Integration, Workflows, Eventing &amp; Process Automation</x:v>
      </x:c>
      <x:c r="C212" s="115" t="str">
        <x:v>Application Communications</x:v>
      </x:c>
      <x:c r="D212" s="115" t="str">
        <x:v>Adopt &amp; Build</x:v>
      </x:c>
      <x:c r="E212" s="115" t="str">
        <x:v>Security, Privacy &amp; Compliance
Cost &amp; FinOps
Operations &amp; Support
Reliability &amp; Resilience
Performance &amp; Scalability
Portability &amp; Exit</x:v>
      </x:c>
      <x:c r="F212" s="115" t="str">
        <x:v>08 Applications, APIs &amp; Integration</x:v>
      </x:c>
      <x:c r="G212" s="115" t="str">
        <x:v>Application Integration</x:v>
      </x:c>
      <x:c r="H212" s="115" t="str">
        <x:v>Real-time messaging</x:v>
      </x:c>
      <x:c r="I212" s="115" t="str">
        <x:v>Managed real-time web messaging</x:v>
      </x:c>
      <x:c r="J212" s="115" t="str">
        <x:v>Deliver low-latency bidirectional messages to connected web and mobile clients.</x:v>
      </x:c>
      <x:c r="K212" s="115" t="str">
        <x:v>Choose this capability when you need to deliver low-latency bidirectional messages to connected web and mobile clients.</x:v>
      </x:c>
      <x:c r="L212" s="115" t="str">
        <x:v>What business outcome, scale, control, integration and operating model justify choosing managed real-time web messaging?</x:v>
      </x:c>
      <x:c r="M212" s="115" t="str">
        <x:v>Time to market versus platform constraints and vendor lock-in.</x:v>
      </x:c>
      <x:c r="N212" s="115" t="n">
        <x:v>3</x:v>
      </x:c>
      <x:c r="O212" s="115" t="str">
        <x:v>Moderate</x:v>
      </x:c>
      <x:c r="P212" s="115" t="str">
        <x:v>1–3 weeks</x:v>
      </x:c>
      <x:c r="Q212" s="115" t="str">
        <x:v>Medium</x:v>
      </x:c>
      <x:c r="R212" s="115" t="str">
        <x:v>AWS AppSync subscriptions
Amazon API Gateway WebSocket APIs</x:v>
      </x:c>
      <x:c r="S212" s="115" t="str">
        <x:v>Azure SignalR Service
Azure Web PubSub</x:v>
      </x:c>
      <x:c r="T212" s="115" t="str">
        <x:v>Firebase Realtime Database
Cloud Run WebSockets</x:v>
      </x:c>
      <x:c r="U212" s="115" t="n">
        <x:v>3.71</x:v>
      </x:c>
      <x:c r="V212" s="115" t="n">
        <x:v>3.56</x:v>
      </x:c>
      <x:c r="W212" s="115" t="n">
        <x:v>3.53</x:v>
      </x:c>
      <x:c r="X212" s="118" t="str">
        <x:v>AWS</x:v>
      </x:c>
      <x:c r="Y212" s="115" t="str">
        <x:v>Start with AWS when infrastructure breadth, native integration and operational maturity are the main differentiators.</x:v>
      </x:c>
      <x:c r="Z212" s="115" t="str">
        <x:v>Partial</x:v>
      </x:c>
      <x:c r="AA212" s="115"/>
      <x:c r="AB212" s="115" t="str">
        <x:v>2026-07-12</x:v>
      </x:c>
      <x:c r="AC212" s="115" t="str">
        <x:v>Scored and mapped</x:v>
      </x:c>
      <x:c r="AD212" s="115" t="str">
        <x:v>https://docs.aws.amazon.com/decision-guides/latest/application-integration-on-aws-how-to-choose/application-integration-on-aws-how-to-choose.html</x:v>
      </x:c>
    </x:row>
    <x:row r="213">
      <x:c r="A213" s="115" t="str">
        <x:v>5. Engineering, Operations &amp; Transformation</x:v>
      </x:c>
      <x:c r="B213" s="115" t="str">
        <x:v>18. Developer Experience, DevOps, Platform Engineering &amp; Software Supply Chain</x:v>
      </x:c>
      <x:c r="C213" s="115" t="str">
        <x:v>Software Delivery &amp; Supply Chain</x:v>
      </x:c>
      <x:c r="D213" s="115" t="str">
        <x:v>Build &amp; Release</x:v>
      </x:c>
      <x:c r="E213" s="115" t="str">
        <x:v>Security, Privacy &amp; Compliance
Cost &amp; FinOps
Operations &amp; Support
Portability &amp; Exit</x:v>
      </x:c>
      <x:c r="F213" s="115" t="str">
        <x:v>09 Engineering, Operations &amp; Migration</x:v>
      </x:c>
      <x:c r="G213" s="115" t="str">
        <x:v>Developer Tools &amp; DevOps</x:v>
      </x:c>
      <x:c r="H213" s="115" t="str">
        <x:v>Source control</x:v>
      </x:c>
      <x:c r="I213" s="115" t="str">
        <x:v>Managed Git repositories</x:v>
      </x:c>
      <x:c r="J213" s="115" t="str">
        <x:v>Host private Git repositories with access control and development integrations.</x:v>
      </x:c>
      <x:c r="K213" s="115" t="str">
        <x:v>Choose this capability when you need to host private git repositories with access control and development integrations.</x:v>
      </x:c>
      <x:c r="L213" s="115" t="str">
        <x:v>How will source, builds, artifacts, approvals, security checks and deployments be governed end to end?</x:v>
      </x:c>
      <x:c r="M213" s="115" t="str">
        <x:v>Standardisation and automation versus flexibility and migration effort.</x:v>
      </x:c>
      <x:c r="N213" s="115" t="n">
        <x:v>3</x:v>
      </x:c>
      <x:c r="O213" s="115" t="str">
        <x:v>Moderate</x:v>
      </x:c>
      <x:c r="P213" s="115" t="str">
        <x:v>1–3 weeks</x:v>
      </x:c>
      <x:c r="Q213" s="115" t="str">
        <x:v>Medium</x:v>
      </x:c>
      <x:c r="R213" s="115" t="str">
        <x:v>AWS CodeCommit</x:v>
      </x:c>
      <x:c r="S213" s="115" t="str">
        <x:v>Azure Repos
GitHub Enterprise</x:v>
      </x:c>
      <x:c r="T213" s="115" t="str">
        <x:v>Secure Source Manager</x:v>
      </x:c>
      <x:c r="U213" s="115" t="n">
        <x:v>3.89</x:v>
      </x:c>
      <x:c r="V213" s="115" t="n">
        <x:v>3.91</x:v>
      </x:c>
      <x:c r="W213" s="115" t="n">
        <x:v>3.84</x:v>
      </x:c>
      <x:c r="X213" s="118" t="str">
        <x:v>Context-dependent tie</x:v>
      </x:c>
      <x:c r="Y213" s="115" t="str">
        <x:v>Scores are close: use ecosystem, data gravity, region, skills, commercials and proof-of-value results to decide.</x:v>
      </x:c>
      <x:c r="Z213" s="115" t="str">
        <x:v>Close</x:v>
      </x:c>
      <x:c r="AA213" s="115"/>
      <x:c r="AB213" s="115" t="str">
        <x:v>2026-07-12</x:v>
      </x:c>
      <x:c r="AC213" s="115" t="str">
        <x:v>Scored and mapped</x:v>
      </x:c>
      <x:c r="AD213" s="115" t="str">
        <x:v>https://docs.cloud.google.com/docs/product-list</x:v>
      </x:c>
    </x:row>
    <x:row r="214">
      <x:c r="A214" s="115" t="str">
        <x:v>5. Engineering, Operations &amp; Transformation</x:v>
      </x:c>
      <x:c r="B214" s="115" t="str">
        <x:v>18. Developer Experience, DevOps, Platform Engineering &amp; Software Supply Chain</x:v>
      </x:c>
      <x:c r="C214" s="115" t="str">
        <x:v>Software Delivery &amp; Supply Chain</x:v>
      </x:c>
      <x:c r="D214" s="115" t="str">
        <x:v>Build &amp; Release</x:v>
      </x:c>
      <x:c r="E214" s="115" t="str">
        <x:v>Security, Privacy &amp; Compliance
Cost &amp; FinOps
Operations &amp; Support
Portability &amp; Exit</x:v>
      </x:c>
      <x:c r="F214" s="115" t="str">
        <x:v>09 Engineering, Operations &amp; Migration</x:v>
      </x:c>
      <x:c r="G214" s="115" t="str">
        <x:v>Developer Tools &amp; DevOps</x:v>
      </x:c>
      <x:c r="H214" s="115" t="str">
        <x:v>Continuous integration</x:v>
      </x:c>
      <x:c r="I214" s="115" t="str">
        <x:v>Managed continuous integration</x:v>
      </x:c>
      <x:c r="J214" s="115" t="str">
        <x:v>Build and test source code in automated pipelines.</x:v>
      </x:c>
      <x:c r="K214" s="115" t="str">
        <x:v>Choose this capability when you need to build and test source code in automated pipelines.</x:v>
      </x:c>
      <x:c r="L214" s="115" t="str">
        <x:v>How will source, builds, artifacts, approvals, security checks and deployments be governed end to end?</x:v>
      </x:c>
      <x:c r="M214" s="115" t="str">
        <x:v>Standardisation and automation versus flexibility and migration effort.</x:v>
      </x:c>
      <x:c r="N214" s="115" t="n">
        <x:v>3</x:v>
      </x:c>
      <x:c r="O214" s="115" t="str">
        <x:v>Moderate</x:v>
      </x:c>
      <x:c r="P214" s="115" t="str">
        <x:v>1–3 weeks</x:v>
      </x:c>
      <x:c r="Q214" s="115" t="str">
        <x:v>Medium</x:v>
      </x:c>
      <x:c r="R214" s="115" t="str">
        <x:v>AWS CodeBuild
AWS CodeCatalyst</x:v>
      </x:c>
      <x:c r="S214" s="115" t="str">
        <x:v>Azure Pipelines
GitHub Actions</x:v>
      </x:c>
      <x:c r="T214" s="115" t="str">
        <x:v>Cloud Build</x:v>
      </x:c>
      <x:c r="U214" s="115" t="n">
        <x:v>3.8</x:v>
      </x:c>
      <x:c r="V214" s="115" t="n">
        <x:v>3.91</x:v>
      </x:c>
      <x:c r="W214" s="115" t="n">
        <x:v>3.84</x:v>
      </x:c>
      <x:c r="X214" s="118" t="str">
        <x:v>Context-dependent tie</x:v>
      </x:c>
      <x:c r="Y214" s="115" t="str">
        <x:v>Scores are close: use ecosystem, data gravity, region, skills, commercials and proof-of-value results to decide.</x:v>
      </x:c>
      <x:c r="Z214" s="115" t="str">
        <x:v>Close</x:v>
      </x:c>
      <x:c r="AA214" s="115"/>
      <x:c r="AB214" s="115" t="str">
        <x:v>2026-07-12</x:v>
      </x:c>
      <x:c r="AC214" s="115" t="str">
        <x:v>Scored and mapped</x:v>
      </x:c>
      <x:c r="AD214" s="115" t="str">
        <x:v>https://docs.cloud.google.com/docs/product-list</x:v>
      </x:c>
    </x:row>
    <x:row r="215">
      <x:c r="A215" s="115" t="str">
        <x:v>5. Engineering, Operations &amp; Transformation</x:v>
      </x:c>
      <x:c r="B215" s="115" t="str">
        <x:v>18. Developer Experience, DevOps, Platform Engineering &amp; Software Supply Chain</x:v>
      </x:c>
      <x:c r="C215" s="115" t="str">
        <x:v>Software Delivery &amp; Supply Chain</x:v>
      </x:c>
      <x:c r="D215" s="115" t="str">
        <x:v>Build &amp; Release</x:v>
      </x:c>
      <x:c r="E215" s="115" t="str">
        <x:v>Security, Privacy &amp; Compliance
Cost &amp; FinOps
Operations &amp; Support
Portability &amp; Exit</x:v>
      </x:c>
      <x:c r="F215" s="115" t="str">
        <x:v>09 Engineering, Operations &amp; Migration</x:v>
      </x:c>
      <x:c r="G215" s="115" t="str">
        <x:v>Developer Tools &amp; DevOps</x:v>
      </x:c>
      <x:c r="H215" s="115" t="str">
        <x:v>Continuous delivery</x:v>
      </x:c>
      <x:c r="I215" s="115" t="str">
        <x:v>Managed continuous delivery</x:v>
      </x:c>
      <x:c r="J215" s="115" t="str">
        <x:v>Deploy application and infrastructure changes through controlled release pipelines.</x:v>
      </x:c>
      <x:c r="K215" s="115" t="str">
        <x:v>Choose this capability when you need to deploy application and infrastructure changes through controlled release pipelines.</x:v>
      </x:c>
      <x:c r="L215" s="115" t="str">
        <x:v>How will source, builds, artifacts, approvals, security checks and deployments be governed end to end?</x:v>
      </x:c>
      <x:c r="M215" s="115" t="str">
        <x:v>Standardisation and automation versus flexibility and migration effort.</x:v>
      </x:c>
      <x:c r="N215" s="115" t="n">
        <x:v>3</x:v>
      </x:c>
      <x:c r="O215" s="115" t="str">
        <x:v>Moderate</x:v>
      </x:c>
      <x:c r="P215" s="115" t="str">
        <x:v>1–3 weeks</x:v>
      </x:c>
      <x:c r="Q215" s="115" t="str">
        <x:v>Medium</x:v>
      </x:c>
      <x:c r="R215" s="115" t="str">
        <x:v>AWS CodePipeline
AWS CodeDeploy</x:v>
      </x:c>
      <x:c r="S215" s="115" t="str">
        <x:v>Azure Pipelines
GitHub Actions</x:v>
      </x:c>
      <x:c r="T215" s="115" t="str">
        <x:v>Cloud Deploy</x:v>
      </x:c>
      <x:c r="U215" s="115" t="n">
        <x:v>3.8</x:v>
      </x:c>
      <x:c r="V215" s="115" t="n">
        <x:v>3.91</x:v>
      </x:c>
      <x:c r="W215" s="115" t="n">
        <x:v>3.84</x:v>
      </x:c>
      <x:c r="X215" s="118" t="str">
        <x:v>Context-dependent tie</x:v>
      </x:c>
      <x:c r="Y215" s="115" t="str">
        <x:v>Scores are close: use ecosystem, data gravity, region, skills, commercials and proof-of-value results to decide.</x:v>
      </x:c>
      <x:c r="Z215" s="115" t="str">
        <x:v>Close</x:v>
      </x:c>
      <x:c r="AA215" s="115"/>
      <x:c r="AB215" s="115" t="str">
        <x:v>2026-07-12</x:v>
      </x:c>
      <x:c r="AC215" s="115" t="str">
        <x:v>Scored and mapped</x:v>
      </x:c>
      <x:c r="AD215" s="115" t="str">
        <x:v>https://docs.cloud.google.com/docs/product-list</x:v>
      </x:c>
    </x:row>
    <x:row r="216">
      <x:c r="A216" s="115" t="str">
        <x:v>5. Engineering, Operations &amp; Transformation</x:v>
      </x:c>
      <x:c r="B216" s="115" t="str">
        <x:v>18. Developer Experience, DevOps, Platform Engineering &amp; Software Supply Chain</x:v>
      </x:c>
      <x:c r="C216" s="115" t="str">
        <x:v>Software Delivery &amp; Supply Chain</x:v>
      </x:c>
      <x:c r="D216" s="115" t="str">
        <x:v>Build &amp; Release</x:v>
      </x:c>
      <x:c r="E216" s="115" t="str">
        <x:v>Security, Privacy &amp; Compliance
Cost &amp; FinOps
Operations &amp; Support
Portability &amp; Exit</x:v>
      </x:c>
      <x:c r="F216" s="115" t="str">
        <x:v>09 Engineering, Operations &amp; Migration</x:v>
      </x:c>
      <x:c r="G216" s="115" t="str">
        <x:v>Developer Tools &amp; DevOps</x:v>
      </x:c>
      <x:c r="H216" s="115" t="str">
        <x:v>Artifacts</x:v>
      </x:c>
      <x:c r="I216" s="115" t="str">
        <x:v>Artifact and package repository</x:v>
      </x:c>
      <x:c r="J216" s="115" t="str">
        <x:v>Store application packages, dependencies and build artifacts.</x:v>
      </x:c>
      <x:c r="K216" s="115" t="str">
        <x:v>Choose this capability when you need to store application packages, dependencies and build artifacts.</x:v>
      </x:c>
      <x:c r="L216" s="115" t="str">
        <x:v>How will source, builds, artifacts, approvals, security checks and deployments be governed end to end?</x:v>
      </x:c>
      <x:c r="M216" s="115" t="str">
        <x:v>Standardisation and automation versus flexibility and migration effort.</x:v>
      </x:c>
      <x:c r="N216" s="115" t="n">
        <x:v>3</x:v>
      </x:c>
      <x:c r="O216" s="115" t="str">
        <x:v>Moderate</x:v>
      </x:c>
      <x:c r="P216" s="115" t="str">
        <x:v>1–3 weeks</x:v>
      </x:c>
      <x:c r="Q216" s="115" t="str">
        <x:v>Medium</x:v>
      </x:c>
      <x:c r="R216" s="115" t="str">
        <x:v>AWS CodeArtifact
Amazon ECR</x:v>
      </x:c>
      <x:c r="S216" s="115" t="str">
        <x:v>Azure Artifacts
Azure Container Registry</x:v>
      </x:c>
      <x:c r="T216" s="115" t="str">
        <x:v>Artifact Registry</x:v>
      </x:c>
      <x:c r="U216" s="115" t="n">
        <x:v>3.8</x:v>
      </x:c>
      <x:c r="V216" s="115" t="n">
        <x:v>3.91</x:v>
      </x:c>
      <x:c r="W216" s="115" t="n">
        <x:v>3.84</x:v>
      </x:c>
      <x:c r="X216" s="118" t="str">
        <x:v>Context-dependent tie</x:v>
      </x:c>
      <x:c r="Y216" s="115" t="str">
        <x:v>Scores are close: use ecosystem, data gravity, region, skills, commercials and proof-of-value results to decide.</x:v>
      </x:c>
      <x:c r="Z216" s="115" t="str">
        <x:v>Close</x:v>
      </x:c>
      <x:c r="AA216" s="115"/>
      <x:c r="AB216" s="115" t="str">
        <x:v>2026-07-12</x:v>
      </x:c>
      <x:c r="AC216" s="115" t="str">
        <x:v>Scored and mapped</x:v>
      </x:c>
      <x:c r="AD216" s="115" t="str">
        <x:v>https://docs.cloud.google.com/docs/product-list</x:v>
      </x:c>
    </x:row>
    <x:row r="217">
      <x:c r="A217" s="115" t="str">
        <x:v>5. Engineering, Operations &amp; Transformation</x:v>
      </x:c>
      <x:c r="B217" s="115" t="str">
        <x:v>18. Developer Experience, DevOps, Platform Engineering &amp; Software Supply Chain</x:v>
      </x:c>
      <x:c r="C217" s="115" t="str">
        <x:v>Software Delivery &amp; Supply Chain</x:v>
      </x:c>
      <x:c r="D217" s="115" t="str">
        <x:v>Build &amp; Release</x:v>
      </x:c>
      <x:c r="E217" s="115" t="str">
        <x:v>Security, Privacy &amp; Compliance
Cost &amp; FinOps
Operations &amp; Support
Portability &amp; Exit</x:v>
      </x:c>
      <x:c r="F217" s="115" t="str">
        <x:v>09 Engineering, Operations &amp; Migration</x:v>
      </x:c>
      <x:c r="G217" s="115" t="str">
        <x:v>Developer Tools &amp; DevOps</x:v>
      </x:c>
      <x:c r="H217" s="115" t="str">
        <x:v>Artifact security</x:v>
      </x:c>
      <x:c r="I217" s="115" t="str">
        <x:v>Software artifact analysis</x:v>
      </x:c>
      <x:c r="J217" s="115" t="str">
        <x:v>Scan packages and container images for vulnerabilities and supply-chain risk.</x:v>
      </x:c>
      <x:c r="K217" s="115" t="str">
        <x:v>Choose this capability when you need to scan packages and container images for vulnerabilities and supply-chain risk.</x:v>
      </x:c>
      <x:c r="L217" s="115" t="str">
        <x:v>How will source, builds, artifacts, approvals, security checks and deployments be governed end to end?</x:v>
      </x:c>
      <x:c r="M217" s="115" t="str">
        <x:v>Standardisation and automation versus flexibility and migration effort.</x:v>
      </x:c>
      <x:c r="N217" s="115" t="n">
        <x:v>3</x:v>
      </x:c>
      <x:c r="O217" s="115" t="str">
        <x:v>Moderate</x:v>
      </x:c>
      <x:c r="P217" s="115" t="str">
        <x:v>1–3 weeks</x:v>
      </x:c>
      <x:c r="Q217" s="115" t="str">
        <x:v>Medium</x:v>
      </x:c>
      <x:c r="R217" s="115" t="str">
        <x:v>Amazon Inspector
Amazon ECR enhanced scanning</x:v>
      </x:c>
      <x:c r="S217" s="115" t="str">
        <x:v>Microsoft Defender for Cloud
GitHub Advanced Security</x:v>
      </x:c>
      <x:c r="T217" s="115" t="str">
        <x:v>Artifact Analysis
Software supply chain security</x:v>
      </x:c>
      <x:c r="U217" s="115" t="n">
        <x:v>3.8</x:v>
      </x:c>
      <x:c r="V217" s="115" t="n">
        <x:v>3.97</x:v>
      </x:c>
      <x:c r="W217" s="115" t="n">
        <x:v>3.74</x:v>
      </x:c>
      <x:c r="X217" s="118" t="str">
        <x:v>Azure</x:v>
      </x:c>
      <x:c r="Y217" s="115" t="str">
        <x:v>Start with Azure when Microsoft identity, security, data, productivity or hybrid integration reduces delivery effort.</x:v>
      </x:c>
      <x:c r="Z217" s="115" t="str">
        <x:v>Close</x:v>
      </x:c>
      <x:c r="AA217" s="115"/>
      <x:c r="AB217" s="115" t="str">
        <x:v>2026-07-12</x:v>
      </x:c>
      <x:c r="AC217" s="115" t="str">
        <x:v>Scored and mapped</x:v>
      </x:c>
      <x:c r="AD217" s="115" t="str">
        <x:v>https://docs.cloud.google.com/docs/product-list</x:v>
      </x:c>
    </x:row>
    <x:row r="218">
      <x:c r="A218" s="115" t="str">
        <x:v>5. Engineering, Operations &amp; Transformation</x:v>
      </x:c>
      <x:c r="B218" s="115" t="str">
        <x:v>18. Developer Experience, DevOps, Platform Engineering &amp; Software Supply Chain</x:v>
      </x:c>
      <x:c r="C218" s="115" t="str">
        <x:v>Developer Experience &amp; Platform Engineering</x:v>
      </x:c>
      <x:c r="D218" s="115" t="str">
        <x:v>Build &amp; Release</x:v>
      </x:c>
      <x:c r="E218" s="115" t="str">
        <x:v>Security, Privacy &amp; Compliance
Cost &amp; FinOps
Operations &amp; Support
Portability &amp; Exit</x:v>
      </x:c>
      <x:c r="F218" s="115" t="str">
        <x:v>09 Engineering, Operations &amp; Migration</x:v>
      </x:c>
      <x:c r="G218" s="115" t="str">
        <x:v>Developer Tools &amp; DevOps</x:v>
      </x:c>
      <x:c r="H218" s="115" t="str">
        <x:v>Developer portal</x:v>
      </x:c>
      <x:c r="I218" s="115" t="str">
        <x:v>Internal developer platform</x:v>
      </x:c>
      <x:c r="J218" s="115" t="str">
        <x:v>Standardise approved application templates, environments and developer self-service.</x:v>
      </x:c>
      <x:c r="K218" s="115" t="str">
        <x:v>Choose this capability when you need to standardise approved application templates, environments and developer self-service.</x:v>
      </x:c>
      <x:c r="L218" s="115" t="str">
        <x:v>What business outcome, scale, control, integration and operating model justify choosing internal developer platform?</x:v>
      </x:c>
      <x:c r="M218" s="115" t="str">
        <x:v>Standardisation and automation versus flexibility and migration effort.</x:v>
      </x:c>
      <x:c r="N218" s="115" t="n">
        <x:v>3</x:v>
      </x:c>
      <x:c r="O218" s="115" t="str">
        <x:v>Moderate</x:v>
      </x:c>
      <x:c r="P218" s="115" t="str">
        <x:v>1–3 weeks</x:v>
      </x:c>
      <x:c r="Q218" s="115" t="str">
        <x:v>Medium</x:v>
      </x:c>
      <x:c r="R218" s="115" t="str">
        <x:v>AWS Proton
AWS Service Catalog</x:v>
      </x:c>
      <x:c r="S218" s="115" t="str">
        <x:v>Azure Deployment Environments
Azure Dev Center</x:v>
      </x:c>
      <x:c r="T218" s="115" t="str">
        <x:v>Application Design Center
App Hub</x:v>
      </x:c>
      <x:c r="U218" s="115" t="n">
        <x:v>3.8</x:v>
      </x:c>
      <x:c r="V218" s="115" t="n">
        <x:v>3.75</x:v>
      </x:c>
      <x:c r="W218" s="115" t="n">
        <x:v>3.87</x:v>
      </x:c>
      <x:c r="X218" s="118" t="str">
        <x:v>Context-dependent tie</x:v>
      </x:c>
      <x:c r="Y218" s="115" t="str">
        <x:v>Scores are close: use ecosystem, data gravity, region, skills, commercials and proof-of-value results to decide.</x:v>
      </x:c>
      <x:c r="Z218" s="115" t="str">
        <x:v>Close</x:v>
      </x:c>
      <x:c r="AA218" s="115"/>
      <x:c r="AB218" s="115" t="str">
        <x:v>2026-07-12</x:v>
      </x:c>
      <x:c r="AC218" s="115" t="str">
        <x:v>Scored and mapped</x:v>
      </x:c>
      <x:c r="AD218" s="115" t="str">
        <x:v>https://docs.cloud.google.com/docs/product-list</x:v>
      </x:c>
    </x:row>
    <x:row r="219">
      <x:c r="A219" s="115" t="str">
        <x:v>5. Engineering, Operations &amp; Transformation</x:v>
      </x:c>
      <x:c r="B219" s="115" t="str">
        <x:v>18. Developer Experience, DevOps, Platform Engineering &amp; Software Supply Chain</x:v>
      </x:c>
      <x:c r="C219" s="115" t="str">
        <x:v>Developer Experience &amp; Platform Engineering</x:v>
      </x:c>
      <x:c r="D219" s="115" t="str">
        <x:v>Build &amp; Release</x:v>
      </x:c>
      <x:c r="E219" s="115" t="str">
        <x:v>Security, Privacy &amp; Compliance
Cost &amp; FinOps
Operations &amp; Support
Portability &amp; Exit</x:v>
      </x:c>
      <x:c r="F219" s="115" t="str">
        <x:v>09 Engineering, Operations &amp; Migration</x:v>
      </x:c>
      <x:c r="G219" s="115" t="str">
        <x:v>Developer Tools &amp; DevOps</x:v>
      </x:c>
      <x:c r="H219" s="115" t="str">
        <x:v>Cloud IDE</x:v>
      </x:c>
      <x:c r="I219" s="115" t="str">
        <x:v>Browser-based cloud development environment</x:v>
      </x:c>
      <x:c r="J219" s="115" t="str">
        <x:v>Provide managed browser-accessible development environments connected to cloud resources.</x:v>
      </x:c>
      <x:c r="K219" s="115" t="str">
        <x:v>Choose this capability when you need to provide managed browser-accessible development environments connected to cloud resources.</x:v>
      </x:c>
      <x:c r="L219" s="115" t="str">
        <x:v>What business outcome, scale, control, integration and operating model justify choosing browser-based cloud development environment?</x:v>
      </x:c>
      <x:c r="M219" s="115" t="str">
        <x:v>Standardisation and automation versus flexibility and migration effort.</x:v>
      </x:c>
      <x:c r="N219" s="115" t="n">
        <x:v>3</x:v>
      </x:c>
      <x:c r="O219" s="115" t="str">
        <x:v>Moderate</x:v>
      </x:c>
      <x:c r="P219" s="115" t="str">
        <x:v>1–3 weeks</x:v>
      </x:c>
      <x:c r="Q219" s="115" t="str">
        <x:v>Medium</x:v>
      </x:c>
      <x:c r="R219" s="115" t="str">
        <x:v>AWS Cloud9
AWS CloudShell</x:v>
      </x:c>
      <x:c r="S219" s="115" t="str">
        <x:v>Microsoft Dev Box
Azure Cloud Shell</x:v>
      </x:c>
      <x:c r="T219" s="115" t="str">
        <x:v>Cloud Workstations
Cloud Shell</x:v>
      </x:c>
      <x:c r="U219" s="115" t="n">
        <x:v>3.8</x:v>
      </x:c>
      <x:c r="V219" s="115" t="n">
        <x:v>3.75</x:v>
      </x:c>
      <x:c r="W219" s="115" t="n">
        <x:v>3.87</x:v>
      </x:c>
      <x:c r="X219" s="118" t="str">
        <x:v>Context-dependent tie</x:v>
      </x:c>
      <x:c r="Y219" s="115" t="str">
        <x:v>Scores are close: use ecosystem, data gravity, region, skills, commercials and proof-of-value results to decide.</x:v>
      </x:c>
      <x:c r="Z219" s="115" t="str">
        <x:v>Close</x:v>
      </x:c>
      <x:c r="AA219" s="115"/>
      <x:c r="AB219" s="115" t="str">
        <x:v>2026-07-12</x:v>
      </x:c>
      <x:c r="AC219" s="115" t="str">
        <x:v>Scored and mapped</x:v>
      </x:c>
      <x:c r="AD219" s="115" t="str">
        <x:v>https://docs.cloud.google.com/docs/product-list</x:v>
      </x:c>
    </x:row>
    <x:row r="220">
      <x:c r="A220" s="115" t="str">
        <x:v>5. Engineering, Operations &amp; Transformation</x:v>
      </x:c>
      <x:c r="B220" s="115" t="str">
        <x:v>18. Developer Experience, DevOps, Platform Engineering &amp; Software Supply Chain</x:v>
      </x:c>
      <x:c r="C220" s="115" t="str">
        <x:v>Developer Experience &amp; Platform Engineering</x:v>
      </x:c>
      <x:c r="D220" s="115" t="str">
        <x:v>Build &amp; Release</x:v>
      </x:c>
      <x:c r="E220" s="115" t="str">
        <x:v>Security, Privacy &amp; Compliance
Cost &amp; FinOps
Operations &amp; Support
Portability &amp; Exit</x:v>
      </x:c>
      <x:c r="F220" s="115" t="str">
        <x:v>09 Engineering, Operations &amp; Migration</x:v>
      </x:c>
      <x:c r="G220" s="115" t="str">
        <x:v>Developer Tools &amp; DevOps</x:v>
      </x:c>
      <x:c r="H220" s="115" t="str">
        <x:v>SDK and CLI</x:v>
      </x:c>
      <x:c r="I220" s="115" t="str">
        <x:v>Cloud command-line and SDK tools</x:v>
      </x:c>
      <x:c r="J220" s="115" t="str">
        <x:v>Manage cloud resources and build applications through command-line tools and language SDKs.</x:v>
      </x:c>
      <x:c r="K220" s="115" t="str">
        <x:v>Choose this capability when you need to manage cloud resources and build applications through command-line tools and language sdks.</x:v>
      </x:c>
      <x:c r="L220" s="115" t="str">
        <x:v>What business outcome, scale, control, integration and operating model justify choosing cloud command-line and sdk tools?</x:v>
      </x:c>
      <x:c r="M220" s="115" t="str">
        <x:v>Standardisation and automation versus flexibility and migration effort.</x:v>
      </x:c>
      <x:c r="N220" s="115" t="n">
        <x:v>3</x:v>
      </x:c>
      <x:c r="O220" s="115" t="str">
        <x:v>Moderate</x:v>
      </x:c>
      <x:c r="P220" s="115" t="str">
        <x:v>1–3 weeks</x:v>
      </x:c>
      <x:c r="Q220" s="115" t="str">
        <x:v>Medium</x:v>
      </x:c>
      <x:c r="R220" s="115" t="str">
        <x:v>AWS CLI
AWS SDKs</x:v>
      </x:c>
      <x:c r="S220" s="115" t="str">
        <x:v>Azure CLI
Azure PowerShell
Azure SDKs</x:v>
      </x:c>
      <x:c r="T220" s="115" t="str">
        <x:v>gcloud CLI
Google Cloud SDK</x:v>
      </x:c>
      <x:c r="U220" s="115" t="n">
        <x:v>3.88</x:v>
      </x:c>
      <x:c r="V220" s="115" t="n">
        <x:v>3.8</x:v>
      </x:c>
      <x:c r="W220" s="115" t="n">
        <x:v>3.92</x:v>
      </x:c>
      <x:c r="X220" s="118" t="str">
        <x:v>Context-dependent tie</x:v>
      </x:c>
      <x:c r="Y220" s="115" t="str">
        <x:v>Scores are close: use ecosystem, data gravity, region, skills, commercials and proof-of-value results to decide.</x:v>
      </x:c>
      <x:c r="Z220" s="115" t="str">
        <x:v>Exact</x:v>
      </x:c>
      <x:c r="AA220" s="115"/>
      <x:c r="AB220" s="115" t="str">
        <x:v>2026-07-12</x:v>
      </x:c>
      <x:c r="AC220" s="115" t="str">
        <x:v>Scored and mapped</x:v>
      </x:c>
      <x:c r="AD220" s="115" t="str">
        <x:v>https://docs.cloud.google.com/docs/product-list</x:v>
      </x:c>
    </x:row>
    <x:row r="221">
      <x:c r="A221" s="115" t="str">
        <x:v>5. Engineering, Operations &amp; Transformation</x:v>
      </x:c>
      <x:c r="B221" s="115" t="str">
        <x:v>18. Developer Experience, DevOps, Platform Engineering &amp; Software Supply Chain</x:v>
      </x:c>
      <x:c r="C221" s="115" t="str">
        <x:v>Developer Experience &amp; Platform Engineering</x:v>
      </x:c>
      <x:c r="D221" s="115" t="str">
        <x:v>Build &amp; Release</x:v>
      </x:c>
      <x:c r="E221" s="115" t="str">
        <x:v>Security, Privacy &amp; Compliance
Cost &amp; FinOps
Operations &amp; Support
Portability &amp; Exit</x:v>
      </x:c>
      <x:c r="F221" s="115" t="str">
        <x:v>09 Engineering, Operations &amp; Migration</x:v>
      </x:c>
      <x:c r="G221" s="115" t="str">
        <x:v>Developer Tools &amp; DevOps</x:v>
      </x:c>
      <x:c r="H221" s="115" t="str">
        <x:v>Application configuration</x:v>
      </x:c>
      <x:c r="I221" s="115" t="str">
        <x:v>Central application configuration</x:v>
      </x:c>
      <x:c r="J221" s="115" t="str">
        <x:v>Store and distribute application configuration and feature settings.</x:v>
      </x:c>
      <x:c r="K221" s="115" t="str">
        <x:v>Choose this capability when you need to store and distribute application configuration and feature settings.</x:v>
      </x:c>
      <x:c r="L221" s="115" t="str">
        <x:v>What business outcome, scale, control, integration and operating model justify choosing central application configuration?</x:v>
      </x:c>
      <x:c r="M221" s="115" t="str">
        <x:v>Standardisation and automation versus flexibility and migration effort.</x:v>
      </x:c>
      <x:c r="N221" s="115" t="n">
        <x:v>3</x:v>
      </x:c>
      <x:c r="O221" s="115" t="str">
        <x:v>Moderate</x:v>
      </x:c>
      <x:c r="P221" s="115" t="str">
        <x:v>1–3 weeks</x:v>
      </x:c>
      <x:c r="Q221" s="115" t="str">
        <x:v>Medium</x:v>
      </x:c>
      <x:c r="R221" s="115" t="str">
        <x:v>AWS AppConfig
Systems Manager Parameter Store</x:v>
      </x:c>
      <x:c r="S221" s="115" t="str">
        <x:v>Azure App Configuration</x:v>
      </x:c>
      <x:c r="T221" s="115" t="str">
        <x:v>Runtime Configurator legacy / Secret Manager / Firestore patterns</x:v>
      </x:c>
      <x:c r="U221" s="115" t="n">
        <x:v>3.65</x:v>
      </x:c>
      <x:c r="V221" s="115" t="n">
        <x:v>3.65</x:v>
      </x:c>
      <x:c r="W221" s="115" t="n">
        <x:v>3.31</x:v>
      </x:c>
      <x:c r="X221" s="118" t="str">
        <x:v>Context-dependent tie</x:v>
      </x:c>
      <x:c r="Y221" s="115" t="str">
        <x:v>Scores are close: use ecosystem, data gravity, region, skills, commercials and proof-of-value results to decide.</x:v>
      </x:c>
      <x:c r="Z221" s="115" t="str">
        <x:v>Partial</x:v>
      </x:c>
      <x:c r="AA221" s="115"/>
      <x:c r="AB221" s="115" t="str">
        <x:v>2026-07-12</x:v>
      </x:c>
      <x:c r="AC221" s="115" t="str">
        <x:v>Scored and mapped</x:v>
      </x:c>
      <x:c r="AD221" s="115" t="str">
        <x:v>https://docs.cloud.google.com/docs/product-list</x:v>
      </x:c>
    </x:row>
    <x:row r="222">
      <x:c r="A222" s="115" t="str">
        <x:v>5. Engineering, Operations &amp; Transformation</x:v>
      </x:c>
      <x:c r="B222" s="115" t="str">
        <x:v>18. Developer Experience, DevOps, Platform Engineering &amp; Software Supply Chain</x:v>
      </x:c>
      <x:c r="C222" s="115" t="str">
        <x:v>Testing &amp; Resilience Engineering</x:v>
      </x:c>
      <x:c r="D222" s="115" t="str">
        <x:v>Build &amp; Release</x:v>
      </x:c>
      <x:c r="E222" s="115" t="str">
        <x:v>Security, Privacy &amp; Compliance
Cost &amp; FinOps
Operations &amp; Support
Portability &amp; Exit</x:v>
      </x:c>
      <x:c r="F222" s="115" t="str">
        <x:v>09 Engineering, Operations &amp; Migration</x:v>
      </x:c>
      <x:c r="G222" s="115" t="str">
        <x:v>Developer Tools &amp; DevOps</x:v>
      </x:c>
      <x:c r="H222" s="115" t="str">
        <x:v>Testing</x:v>
      </x:c>
      <x:c r="I222" s="115" t="str">
        <x:v>Cloud application testing</x:v>
      </x:c>
      <x:c r="J222" s="115" t="str">
        <x:v>Run browser, mobile or load tests through managed infrastructure.</x:v>
      </x:c>
      <x:c r="K222" s="115" t="str">
        <x:v>Choose this capability when you need to run browser, mobile or load tests through managed infrastructure.</x:v>
      </x:c>
      <x:c r="L222" s="115" t="str">
        <x:v>What business outcome, scale, control, integration and operating model justify choosing cloud application testing?</x:v>
      </x:c>
      <x:c r="M222" s="115" t="str">
        <x:v>Standardisation and automation versus flexibility and migration effort.</x:v>
      </x:c>
      <x:c r="N222" s="115" t="n">
        <x:v>3</x:v>
      </x:c>
      <x:c r="O222" s="115" t="str">
        <x:v>Moderate</x:v>
      </x:c>
      <x:c r="P222" s="115" t="str">
        <x:v>1–3 weeks</x:v>
      </x:c>
      <x:c r="Q222" s="115" t="str">
        <x:v>Medium</x:v>
      </x:c>
      <x:c r="R222" s="115" t="str">
        <x:v>AWS Device Farm</x:v>
      </x:c>
      <x:c r="S222" s="115" t="str">
        <x:v>Azure App Testing
Microsoft Playwright Testing</x:v>
      </x:c>
      <x:c r="T222" s="115" t="str">
        <x:v>Firebase Test Lab</x:v>
      </x:c>
      <x:c r="U222" s="115" t="n">
        <x:v>3.89</x:v>
      </x:c>
      <x:c r="V222" s="115" t="n">
        <x:v>3.75</x:v>
      </x:c>
      <x:c r="W222" s="115" t="n">
        <x:v>3.81</x:v>
      </x:c>
      <x:c r="X222" s="118" t="str">
        <x:v>Context-dependent tie</x:v>
      </x:c>
      <x:c r="Y222" s="115" t="str">
        <x:v>Scores are close: use ecosystem, data gravity, region, skills, commercials and proof-of-value results to decide.</x:v>
      </x:c>
      <x:c r="Z222" s="115" t="str">
        <x:v>Close</x:v>
      </x:c>
      <x:c r="AA222" s="115"/>
      <x:c r="AB222" s="115" t="str">
        <x:v>2026-07-12</x:v>
      </x:c>
      <x:c r="AC222" s="115" t="str">
        <x:v>Scored and mapped</x:v>
      </x:c>
      <x:c r="AD222" s="115" t="str">
        <x:v>https://docs.cloud.google.com/docs/product-list</x:v>
      </x:c>
    </x:row>
    <x:row r="223">
      <x:c r="A223" s="115" t="str">
        <x:v>5. Engineering, Operations &amp; Transformation</x:v>
      </x:c>
      <x:c r="B223" s="115" t="str">
        <x:v>18. Developer Experience, DevOps, Platform Engineering &amp; Software Supply Chain</x:v>
      </x:c>
      <x:c r="C223" s="115" t="str">
        <x:v>Testing &amp; Resilience Engineering</x:v>
      </x:c>
      <x:c r="D223" s="115" t="str">
        <x:v>Build &amp; Release</x:v>
      </x:c>
      <x:c r="E223" s="115" t="str">
        <x:v>Security, Privacy &amp; Compliance
Cost &amp; FinOps
Operations &amp; Support
Portability &amp; Exit</x:v>
      </x:c>
      <x:c r="F223" s="115" t="str">
        <x:v>09 Engineering, Operations &amp; Migration</x:v>
      </x:c>
      <x:c r="G223" s="115" t="str">
        <x:v>Developer Tools &amp; DevOps</x:v>
      </x:c>
      <x:c r="H223" s="115" t="str">
        <x:v>Chaos engineering</x:v>
      </x:c>
      <x:c r="I223" s="115" t="str">
        <x:v>Fault-injection testing</x:v>
      </x:c>
      <x:c r="J223" s="115" t="str">
        <x:v>Inject controlled failures to validate resilience and recovery behaviour.</x:v>
      </x:c>
      <x:c r="K223" s="115" t="str">
        <x:v>Choose this capability when you need to inject controlled failures to validate resilience and recovery behaviour.</x:v>
      </x:c>
      <x:c r="L223" s="115" t="str">
        <x:v>What business outcome, scale, control, integration and operating model justify choosing fault-injection testing?</x:v>
      </x:c>
      <x:c r="M223" s="115" t="str">
        <x:v>Standardisation and automation versus flexibility and migration effort.</x:v>
      </x:c>
      <x:c r="N223" s="115" t="n">
        <x:v>3</x:v>
      </x:c>
      <x:c r="O223" s="115" t="str">
        <x:v>Moderate</x:v>
      </x:c>
      <x:c r="P223" s="115" t="str">
        <x:v>1–3 weeks</x:v>
      </x:c>
      <x:c r="Q223" s="115" t="str">
        <x:v>Medium</x:v>
      </x:c>
      <x:c r="R223" s="115" t="str">
        <x:v>AWS Fault Injection Service</x:v>
      </x:c>
      <x:c r="S223" s="115" t="str">
        <x:v>Azure Chaos Studio</x:v>
      </x:c>
      <x:c r="T223" s="115" t="str">
        <x:v>Fault Injection / Chaos Mesh on GKE</x:v>
      </x:c>
      <x:c r="U223" s="115" t="n">
        <x:v>3.74</x:v>
      </x:c>
      <x:c r="V223" s="115" t="n">
        <x:v>3.65</x:v>
      </x:c>
      <x:c r="W223" s="115" t="n">
        <x:v>3.53</x:v>
      </x:c>
      <x:c r="X223" s="118" t="str">
        <x:v>Context-dependent tie</x:v>
      </x:c>
      <x:c r="Y223" s="115" t="str">
        <x:v>Scores are close: use ecosystem, data gravity, region, skills, commercials and proof-of-value results to decide.</x:v>
      </x:c>
      <x:c r="Z223" s="115" t="str">
        <x:v>Partial</x:v>
      </x:c>
      <x:c r="AA223" s="115"/>
      <x:c r="AB223" s="115" t="str">
        <x:v>2026-07-12</x:v>
      </x:c>
      <x:c r="AC223" s="115" t="str">
        <x:v>Scored and mapped</x:v>
      </x:c>
      <x:c r="AD223" s="115" t="str">
        <x:v>https://docs.cloud.google.com/docs/product-list</x:v>
      </x:c>
    </x:row>
    <x:row r="224">
      <x:c r="A224" s="115" t="str">
        <x:v>5. Engineering, Operations &amp; Transformation</x:v>
      </x:c>
      <x:c r="B224" s="115" t="str">
        <x:v>18. Developer Experience, DevOps, Platform Engineering &amp; Software Supply Chain</x:v>
      </x:c>
      <x:c r="C224" s="115" t="str">
        <x:v>Software Delivery &amp; Supply Chain</x:v>
      </x:c>
      <x:c r="D224" s="115" t="str">
        <x:v>Build &amp; Release</x:v>
      </x:c>
      <x:c r="E224" s="115" t="str">
        <x:v>Security, Privacy &amp; Compliance
Cost &amp; FinOps
Operations &amp; Support
Portability &amp; Exit</x:v>
      </x:c>
      <x:c r="F224" s="115" t="str">
        <x:v>09 Engineering, Operations &amp; Migration</x:v>
      </x:c>
      <x:c r="G224" s="115" t="str">
        <x:v>Developer Tools &amp; DevOps</x:v>
      </x:c>
      <x:c r="H224" s="115" t="str">
        <x:v>Code signing</x:v>
      </x:c>
      <x:c r="I224" s="115" t="str">
        <x:v>Artifact and code signing</x:v>
      </x:c>
      <x:c r="J224" s="115" t="str">
        <x:v>Sign software artifacts to verify publisher identity and integrity.</x:v>
      </x:c>
      <x:c r="K224" s="115" t="str">
        <x:v>Choose this capability when you need to sign software artifacts to verify publisher identity and integrity.</x:v>
      </x:c>
      <x:c r="L224" s="115" t="str">
        <x:v>How will source, builds, artifacts, approvals, security checks and deployments be governed end to end?</x:v>
      </x:c>
      <x:c r="M224" s="115" t="str">
        <x:v>Standardisation and automation versus flexibility and migration effort.</x:v>
      </x:c>
      <x:c r="N224" s="115" t="n">
        <x:v>3</x:v>
      </x:c>
      <x:c r="O224" s="115" t="str">
        <x:v>Moderate</x:v>
      </x:c>
      <x:c r="P224" s="115" t="str">
        <x:v>1–3 weeks</x:v>
      </x:c>
      <x:c r="Q224" s="115" t="str">
        <x:v>Medium</x:v>
      </x:c>
      <x:c r="R224" s="115" t="str">
        <x:v>AWS Signer</x:v>
      </x:c>
      <x:c r="S224" s="115" t="str">
        <x:v>Azure Artifact Signing</x:v>
      </x:c>
      <x:c r="T224" s="115" t="str">
        <x:v>Binary Authorization
Cloud KMS signing</x:v>
      </x:c>
      <x:c r="U224" s="115" t="n">
        <x:v>3.89</x:v>
      </x:c>
      <x:c r="V224" s="115" t="n">
        <x:v>3.99</x:v>
      </x:c>
      <x:c r="W224" s="115" t="n">
        <x:v>3.74</x:v>
      </x:c>
      <x:c r="X224" s="118" t="str">
        <x:v>Context-dependent tie</x:v>
      </x:c>
      <x:c r="Y224" s="115" t="str">
        <x:v>Scores are close: use ecosystem, data gravity, region, skills, commercials and proof-of-value results to decide.</x:v>
      </x:c>
      <x:c r="Z224" s="115" t="str">
        <x:v>Close</x:v>
      </x:c>
      <x:c r="AA224" s="115"/>
      <x:c r="AB224" s="115" t="str">
        <x:v>2026-07-12</x:v>
      </x:c>
      <x:c r="AC224" s="115" t="str">
        <x:v>Scored and mapped</x:v>
      </x:c>
      <x:c r="AD224" s="115" t="str">
        <x:v>https://docs.cloud.google.com/docs/product-list</x:v>
      </x:c>
    </x:row>
    <x:row r="225">
      <x:c r="A225" s="115" t="str">
        <x:v>5. Engineering, Operations &amp; Transformation</x:v>
      </x:c>
      <x:c r="B225" s="115" t="str">
        <x:v>18. Developer Experience, DevOps, Platform Engineering &amp; Software Supply Chain</x:v>
      </x:c>
      <x:c r="C225" s="115" t="str">
        <x:v>Testing &amp; Resilience Engineering</x:v>
      </x:c>
      <x:c r="D225" s="115" t="str">
        <x:v>Build &amp; Release</x:v>
      </x:c>
      <x:c r="E225" s="115" t="str">
        <x:v>Security, Privacy &amp; Compliance
Cost &amp; FinOps
Operations &amp; Support
Portability &amp; Exit</x:v>
      </x:c>
      <x:c r="F225" s="115" t="str">
        <x:v>09 Engineering, Operations &amp; Migration</x:v>
      </x:c>
      <x:c r="G225" s="115" t="str">
        <x:v>Developer Tools &amp; DevOps</x:v>
      </x:c>
      <x:c r="H225" s="115" t="str">
        <x:v>Application lifecycle</x:v>
      </x:c>
      <x:c r="I225" s="115" t="str">
        <x:v>Application portfolio hub</x:v>
      </x:c>
      <x:c r="J225" s="115" t="str">
        <x:v>Model applications and dependencies across cloud resources for operational ownership.</x:v>
      </x:c>
      <x:c r="K225" s="115" t="str">
        <x:v>Choose this capability when you need to model applications and dependencies across cloud resources for operational ownership.</x:v>
      </x:c>
      <x:c r="L225" s="115" t="str">
        <x:v>What business outcome, scale, control, integration and operating model justify choosing application portfolio hub?</x:v>
      </x:c>
      <x:c r="M225" s="115" t="str">
        <x:v>Standardisation and automation versus flexibility and migration effort.</x:v>
      </x:c>
      <x:c r="N225" s="115" t="n">
        <x:v>3</x:v>
      </x:c>
      <x:c r="O225" s="115" t="str">
        <x:v>Moderate</x:v>
      </x:c>
      <x:c r="P225" s="115" t="str">
        <x:v>1–3 weeks</x:v>
      </x:c>
      <x:c r="Q225" s="115" t="str">
        <x:v>Medium</x:v>
      </x:c>
      <x:c r="R225" s="115" t="str">
        <x:v>AWS Systems Manager Application Manager
AWS Migration Hub</x:v>
      </x:c>
      <x:c r="S225" s="115" t="str">
        <x:v>Azure Application Insights / Azure Resource Groups</x:v>
      </x:c>
      <x:c r="T225" s="115" t="str">
        <x:v>App Hub</x:v>
      </x:c>
      <x:c r="U225" s="115" t="n">
        <x:v>3.65</x:v>
      </x:c>
      <x:c r="V225" s="115" t="n">
        <x:v>3.56</x:v>
      </x:c>
      <x:c r="W225" s="115" t="n">
        <x:v>3.62</x:v>
      </x:c>
      <x:c r="X225" s="118" t="str">
        <x:v>Context-dependent tie</x:v>
      </x:c>
      <x:c r="Y225" s="115" t="str">
        <x:v>Scores are close: use ecosystem, data gravity, region, skills, commercials and proof-of-value results to decide.</x:v>
      </x:c>
      <x:c r="Z225" s="115" t="str">
        <x:v>Partial</x:v>
      </x:c>
      <x:c r="AA225" s="115"/>
      <x:c r="AB225" s="115" t="str">
        <x:v>2026-07-12</x:v>
      </x:c>
      <x:c r="AC225" s="115" t="str">
        <x:v>Scored and mapped</x:v>
      </x:c>
      <x:c r="AD225" s="115" t="str">
        <x:v>https://docs.cloud.google.com/docs/product-list</x:v>
      </x:c>
    </x:row>
    <x:row r="226">
      <x:c r="A226" s="115" t="str">
        <x:v>5. Engineering, Operations &amp; Transformation</x:v>
      </x:c>
      <x:c r="B226" s="115" t="str">
        <x:v>19. Observability, Reliability, Performance, Operations, ITSM &amp; Support</x:v>
      </x:c>
      <x:c r="C226" s="115" t="str">
        <x:v>Observability &amp; Application Performance</x:v>
      </x:c>
      <x:c r="D226" s="115" t="str">
        <x:v>Manage &amp; Optimise</x:v>
      </x:c>
      <x:c r="E226" s="115" t="str">
        <x:v>Security, Privacy &amp; Compliance
Cost &amp; FinOps
Operations &amp; Support
Reliability &amp; Resilience
Performance &amp; Scalability
Sustainability</x:v>
      </x:c>
      <x:c r="F226" s="115" t="str">
        <x:v>09 Engineering, Operations &amp; Migration</x:v>
      </x:c>
      <x:c r="G226" s="115" t="str">
        <x:v>Observability &amp; Reliability</x:v>
      </x:c>
      <x:c r="H226" s="115" t="str">
        <x:v>Unified monitoring</x:v>
      </x:c>
      <x:c r="I226" s="115" t="str">
        <x:v>Cloud monitoring</x:v>
      </x:c>
      <x:c r="J226" s="115" t="str">
        <x:v>Collect metrics, create dashboards and alert on infrastructure and application health.</x:v>
      </x:c>
      <x:c r="K226" s="115" t="str">
        <x:v>Choose this capability when you need to collect metrics, create dashboards and alert on infrastructure and application health.</x:v>
      </x:c>
      <x:c r="L226" s="115" t="str">
        <x:v>Which metrics, logs, traces, SLOs and diagnostic workflows are needed across the workload?</x:v>
      </x:c>
      <x:c r="M226" s="115" t="str">
        <x:v>Standardisation and automation versus flexibility and migration effort.</x:v>
      </x:c>
      <x:c r="N226" s="115" t="n">
        <x:v>3</x:v>
      </x:c>
      <x:c r="O226" s="115" t="str">
        <x:v>Moderate</x:v>
      </x:c>
      <x:c r="P226" s="115" t="str">
        <x:v>1–3 weeks</x:v>
      </x:c>
      <x:c r="Q226" s="115" t="str">
        <x:v>Medium</x:v>
      </x:c>
      <x:c r="R226" s="115" t="str">
        <x:v>Amazon CloudWatch</x:v>
      </x:c>
      <x:c r="S226" s="115" t="str">
        <x:v>Azure Monitor</x:v>
      </x:c>
      <x:c r="T226" s="115" t="str">
        <x:v>Cloud Monitoring
Google Cloud Observability</x:v>
      </x:c>
      <x:c r="U226" s="115" t="n">
        <x:v>3.97</x:v>
      </x:c>
      <x:c r="V226" s="115" t="n">
        <x:v>3.95</x:v>
      </x:c>
      <x:c r="W226" s="115" t="n">
        <x:v>3.77</x:v>
      </x:c>
      <x:c r="X226" s="118" t="str">
        <x:v>Context-dependent tie</x:v>
      </x:c>
      <x:c r="Y226" s="115" t="str">
        <x:v>Scores are close: use ecosystem, data gravity, region, skills, commercials and proof-of-value results to decide.</x:v>
      </x:c>
      <x:c r="Z226" s="115" t="str">
        <x:v>Exact</x:v>
      </x:c>
      <x:c r="AA226" s="115"/>
      <x:c r="AB226" s="115" t="str">
        <x:v>2026-07-12</x:v>
      </x:c>
      <x:c r="AC226" s="115" t="str">
        <x:v>Scored and mapped</x:v>
      </x:c>
      <x:c r="AD226" s="115" t="str">
        <x:v>https://docs.aws.amazon.com/wellarchitected/latest/userguide/waf.html</x:v>
      </x:c>
    </x:row>
    <x:row r="227">
      <x:c r="A227" s="115" t="str">
        <x:v>5. Engineering, Operations &amp; Transformation</x:v>
      </x:c>
      <x:c r="B227" s="115" t="str">
        <x:v>19. Observability, Reliability, Performance, Operations, ITSM &amp; Support</x:v>
      </x:c>
      <x:c r="C227" s="115" t="str">
        <x:v>Observability &amp; Application Performance</x:v>
      </x:c>
      <x:c r="D227" s="115" t="str">
        <x:v>Manage &amp; Optimise</x:v>
      </x:c>
      <x:c r="E227" s="115" t="str">
        <x:v>Security, Privacy &amp; Compliance
Cost &amp; FinOps
Operations &amp; Support
Reliability &amp; Resilience
Performance &amp; Scalability
Sustainability</x:v>
      </x:c>
      <x:c r="F227" s="115" t="str">
        <x:v>09 Engineering, Operations &amp; Migration</x:v>
      </x:c>
      <x:c r="G227" s="115" t="str">
        <x:v>Observability &amp; Reliability</x:v>
      </x:c>
      <x:c r="H227" s="115" t="str">
        <x:v>Logging</x:v>
      </x:c>
      <x:c r="I227" s="115" t="str">
        <x:v>Central log management</x:v>
      </x:c>
      <x:c r="J227" s="115" t="str">
        <x:v>Collect, search, retain and route cloud and application logs.</x:v>
      </x:c>
      <x:c r="K227" s="115" t="str">
        <x:v>Choose this capability when you need to collect, search, retain and route cloud and application logs.</x:v>
      </x:c>
      <x:c r="L227" s="115" t="str">
        <x:v>Which metrics, logs, traces, SLOs and diagnostic workflows are needed across the workload?</x:v>
      </x:c>
      <x:c r="M227" s="115" t="str">
        <x:v>Standardisation and automation versus flexibility and migration effort.</x:v>
      </x:c>
      <x:c r="N227" s="115" t="n">
        <x:v>3</x:v>
      </x:c>
      <x:c r="O227" s="115" t="str">
        <x:v>Moderate</x:v>
      </x:c>
      <x:c r="P227" s="115" t="str">
        <x:v>1–3 weeks</x:v>
      </x:c>
      <x:c r="Q227" s="115" t="str">
        <x:v>Medium</x:v>
      </x:c>
      <x:c r="R227" s="115" t="str">
        <x:v>Amazon CloudWatch Logs</x:v>
      </x:c>
      <x:c r="S227" s="115" t="str">
        <x:v>Azure Monitor Logs
Log Analytics</x:v>
      </x:c>
      <x:c r="T227" s="115" t="str">
        <x:v>Cloud Logging</x:v>
      </x:c>
      <x:c r="U227" s="115" t="n">
        <x:v>3.97</x:v>
      </x:c>
      <x:c r="V227" s="115" t="n">
        <x:v>3.85</x:v>
      </x:c>
      <x:c r="W227" s="115" t="n">
        <x:v>3.87</x:v>
      </x:c>
      <x:c r="X227" s="118" t="str">
        <x:v>Context-dependent tie</x:v>
      </x:c>
      <x:c r="Y227" s="115" t="str">
        <x:v>Scores are close: use ecosystem, data gravity, region, skills, commercials and proof-of-value results to decide.</x:v>
      </x:c>
      <x:c r="Z227" s="115" t="str">
        <x:v>Exact</x:v>
      </x:c>
      <x:c r="AA227" s="115"/>
      <x:c r="AB227" s="115" t="str">
        <x:v>2026-07-12</x:v>
      </x:c>
      <x:c r="AC227" s="115" t="str">
        <x:v>Scored and mapped</x:v>
      </x:c>
      <x:c r="AD227" s="115" t="str">
        <x:v>https://docs.aws.amazon.com/wellarchitected/latest/userguide/waf.html</x:v>
      </x:c>
    </x:row>
    <x:row r="228">
      <x:c r="A228" s="115" t="str">
        <x:v>5. Engineering, Operations &amp; Transformation</x:v>
      </x:c>
      <x:c r="B228" s="115" t="str">
        <x:v>19. Observability, Reliability, Performance, Operations, ITSM &amp; Support</x:v>
      </x:c>
      <x:c r="C228" s="115" t="str">
        <x:v>Reliability, SRE &amp; Service Health</x:v>
      </x:c>
      <x:c r="D228" s="115" t="str">
        <x:v>Manage &amp; Optimise</x:v>
      </x:c>
      <x:c r="E228" s="115" t="str">
        <x:v>Security, Privacy &amp; Compliance
Cost &amp; FinOps
Operations &amp; Support
Reliability &amp; Resilience
Performance &amp; Scalability
Sustainability</x:v>
      </x:c>
      <x:c r="F228" s="115" t="str">
        <x:v>09 Engineering, Operations &amp; Migration</x:v>
      </x:c>
      <x:c r="G228" s="115" t="str">
        <x:v>Observability &amp; Reliability</x:v>
      </x:c>
      <x:c r="H228" s="115" t="str">
        <x:v>Tracing</x:v>
      </x:c>
      <x:c r="I228" s="115" t="str">
        <x:v>Distributed tracing</x:v>
      </x:c>
      <x:c r="J228" s="115" t="str">
        <x:v>Trace requests across distributed services to diagnose latency and failures.</x:v>
      </x:c>
      <x:c r="K228" s="115" t="str">
        <x:v>Choose this capability when you need to trace requests across distributed services to diagnose latency and failures.</x:v>
      </x:c>
      <x:c r="L228" s="115" t="str">
        <x:v>What business outcome, scale, control, integration and operating model justify choosing distributed tracing?</x:v>
      </x:c>
      <x:c r="M228" s="115" t="str">
        <x:v>Standardisation and automation versus flexibility and migration effort.</x:v>
      </x:c>
      <x:c r="N228" s="115" t="n">
        <x:v>3</x:v>
      </x:c>
      <x:c r="O228" s="115" t="str">
        <x:v>Moderate</x:v>
      </x:c>
      <x:c r="P228" s="115" t="str">
        <x:v>1–3 weeks</x:v>
      </x:c>
      <x:c r="Q228" s="115" t="str">
        <x:v>Medium</x:v>
      </x:c>
      <x:c r="R228" s="115" t="str">
        <x:v>AWS X-Ray
Amazon CloudWatch Application Signals</x:v>
      </x:c>
      <x:c r="S228" s="115" t="str">
        <x:v>Azure Application Insights</x:v>
      </x:c>
      <x:c r="T228" s="115" t="str">
        <x:v>Cloud Trace</x:v>
      </x:c>
      <x:c r="U228" s="115" t="n">
        <x:v>3.88</x:v>
      </x:c>
      <x:c r="V228" s="115" t="n">
        <x:v>3.95</x:v>
      </x:c>
      <x:c r="W228" s="115" t="n">
        <x:v>3.87</x:v>
      </x:c>
      <x:c r="X228" s="118" t="str">
        <x:v>Context-dependent tie</x:v>
      </x:c>
      <x:c r="Y228" s="115" t="str">
        <x:v>Scores are close: use ecosystem, data gravity, region, skills, commercials and proof-of-value results to decide.</x:v>
      </x:c>
      <x:c r="Z228" s="115" t="str">
        <x:v>Exact</x:v>
      </x:c>
      <x:c r="AA228" s="115"/>
      <x:c r="AB228" s="115" t="str">
        <x:v>2026-07-12</x:v>
      </x:c>
      <x:c r="AC228" s="115" t="str">
        <x:v>Scored and mapped</x:v>
      </x:c>
      <x:c r="AD228" s="115" t="str">
        <x:v>https://docs.aws.amazon.com/wellarchitected/latest/userguide/waf.html</x:v>
      </x:c>
    </x:row>
    <x:row r="229">
      <x:c r="A229" s="115" t="str">
        <x:v>5. Engineering, Operations &amp; Transformation</x:v>
      </x:c>
      <x:c r="B229" s="115" t="str">
        <x:v>19. Observability, Reliability, Performance, Operations, ITSM &amp; Support</x:v>
      </x:c>
      <x:c r="C229" s="115" t="str">
        <x:v>Observability &amp; Application Performance</x:v>
      </x:c>
      <x:c r="D229" s="115" t="str">
        <x:v>Manage &amp; Optimise</x:v>
      </x:c>
      <x:c r="E229" s="115" t="str">
        <x:v>Security, Privacy &amp; Compliance
Cost &amp; FinOps
Operations &amp; Support
Reliability &amp; Resilience
Performance &amp; Scalability
Sustainability</x:v>
      </x:c>
      <x:c r="F229" s="115" t="str">
        <x:v>09 Engineering, Operations &amp; Migration</x:v>
      </x:c>
      <x:c r="G229" s="115" t="str">
        <x:v>Observability &amp; Reliability</x:v>
      </x:c>
      <x:c r="H229" s="115" t="str">
        <x:v>APM</x:v>
      </x:c>
      <x:c r="I229" s="115" t="str">
        <x:v>Application performance monitoring</x:v>
      </x:c>
      <x:c r="J229" s="115" t="str">
        <x:v>Measure application dependencies, requests, errors and user-facing performance.</x:v>
      </x:c>
      <x:c r="K229" s="115" t="str">
        <x:v>Choose this capability when you need to measure application dependencies, requests, errors and user-facing performance.</x:v>
      </x:c>
      <x:c r="L229" s="115" t="str">
        <x:v>Which metrics, logs, traces, SLOs and diagnostic workflows are needed across the workload?</x:v>
      </x:c>
      <x:c r="M229" s="115" t="str">
        <x:v>Standardisation and automation versus flexibility and migration effort.</x:v>
      </x:c>
      <x:c r="N229" s="115" t="n">
        <x:v>3</x:v>
      </x:c>
      <x:c r="O229" s="115" t="str">
        <x:v>Moderate</x:v>
      </x:c>
      <x:c r="P229" s="115" t="str">
        <x:v>1–3 weeks</x:v>
      </x:c>
      <x:c r="Q229" s="115" t="str">
        <x:v>Medium</x:v>
      </x:c>
      <x:c r="R229" s="115" t="str">
        <x:v>Amazon CloudWatch Application Signals
AWS X-Ray</x:v>
      </x:c>
      <x:c r="S229" s="115" t="str">
        <x:v>Azure Application Insights</x:v>
      </x:c>
      <x:c r="T229" s="115" t="str">
        <x:v>Google Cloud Observability</x:v>
      </x:c>
      <x:c r="U229" s="115" t="n">
        <x:v>3.8</x:v>
      </x:c>
      <x:c r="V229" s="115" t="n">
        <x:v>3.89</x:v>
      </x:c>
      <x:c r="W229" s="115" t="n">
        <x:v>3.81</x:v>
      </x:c>
      <x:c r="X229" s="118" t="str">
        <x:v>Context-dependent tie</x:v>
      </x:c>
      <x:c r="Y229" s="115" t="str">
        <x:v>Scores are close: use ecosystem, data gravity, region, skills, commercials and proof-of-value results to decide.</x:v>
      </x:c>
      <x:c r="Z229" s="115" t="str">
        <x:v>Close</x:v>
      </x:c>
      <x:c r="AA229" s="115"/>
      <x:c r="AB229" s="115" t="str">
        <x:v>2026-07-12</x:v>
      </x:c>
      <x:c r="AC229" s="115" t="str">
        <x:v>Scored and mapped</x:v>
      </x:c>
      <x:c r="AD229" s="115" t="str">
        <x:v>https://docs.aws.amazon.com/wellarchitected/latest/userguide/waf.html</x:v>
      </x:c>
    </x:row>
    <x:row r="230">
      <x:c r="A230" s="115" t="str">
        <x:v>5. Engineering, Operations &amp; Transformation</x:v>
      </x:c>
      <x:c r="B230" s="115" t="str">
        <x:v>19. Observability, Reliability, Performance, Operations, ITSM &amp; Support</x:v>
      </x:c>
      <x:c r="C230" s="115" t="str">
        <x:v>Observability &amp; Application Performance</x:v>
      </x:c>
      <x:c r="D230" s="115" t="str">
        <x:v>Manage &amp; Optimise</x:v>
      </x:c>
      <x:c r="E230" s="115" t="str">
        <x:v>Security, Privacy &amp; Compliance
Cost &amp; FinOps
Operations &amp; Support
Reliability &amp; Resilience
Performance &amp; Scalability
Sustainability</x:v>
      </x:c>
      <x:c r="F230" s="115" t="str">
        <x:v>09 Engineering, Operations &amp; Migration</x:v>
      </x:c>
      <x:c r="G230" s="115" t="str">
        <x:v>Observability &amp; Reliability</x:v>
      </x:c>
      <x:c r="H230" s="115" t="str">
        <x:v>Prometheus</x:v>
      </x:c>
      <x:c r="I230" s="115" t="str">
        <x:v>Managed Prometheus</x:v>
      </x:c>
      <x:c r="J230" s="115" t="str">
        <x:v>Collect and query Prometheus-compatible metrics without operating the backend.</x:v>
      </x:c>
      <x:c r="K230" s="115" t="str">
        <x:v>Choose this capability when you need to collect and query prometheus-compatible metrics without operating the backend.</x:v>
      </x:c>
      <x:c r="L230" s="115" t="str">
        <x:v>Which metrics, logs, traces, SLOs and diagnostic workflows are needed across the workload?</x:v>
      </x:c>
      <x:c r="M230" s="115" t="str">
        <x:v>Standardisation and automation versus flexibility and migration effort.</x:v>
      </x:c>
      <x:c r="N230" s="115" t="n">
        <x:v>3</x:v>
      </x:c>
      <x:c r="O230" s="115" t="str">
        <x:v>Moderate</x:v>
      </x:c>
      <x:c r="P230" s="115" t="str">
        <x:v>1–3 weeks</x:v>
      </x:c>
      <x:c r="Q230" s="115" t="str">
        <x:v>Low</x:v>
      </x:c>
      <x:c r="R230" s="115" t="str">
        <x:v>Amazon Managed Service for Prometheus</x:v>
      </x:c>
      <x:c r="S230" s="115" t="str">
        <x:v>Azure Monitor managed service for Prometheus</x:v>
      </x:c>
      <x:c r="T230" s="115" t="str">
        <x:v>Managed Service for Prometheus</x:v>
      </x:c>
      <x:c r="U230" s="115" t="n">
        <x:v>4.04</x:v>
      </x:c>
      <x:c r="V230" s="115" t="n">
        <x:v>4.02</x:v>
      </x:c>
      <x:c r="W230" s="115" t="n">
        <x:v>3.94</x:v>
      </x:c>
      <x:c r="X230" s="118" t="str">
        <x:v>Context-dependent tie</x:v>
      </x:c>
      <x:c r="Y230" s="115" t="str">
        <x:v>Scores are close: use ecosystem, data gravity, region, skills, commercials and proof-of-value results to decide.</x:v>
      </x:c>
      <x:c r="Z230" s="115" t="str">
        <x:v>Exact</x:v>
      </x:c>
      <x:c r="AA230" s="115"/>
      <x:c r="AB230" s="115" t="str">
        <x:v>2026-07-12</x:v>
      </x:c>
      <x:c r="AC230" s="115" t="str">
        <x:v>Scored and mapped</x:v>
      </x:c>
      <x:c r="AD230" s="115" t="str">
        <x:v>https://docs.aws.amazon.com/wellarchitected/latest/userguide/waf.html</x:v>
      </x:c>
    </x:row>
    <x:row r="231">
      <x:c r="A231" s="115" t="str">
        <x:v>5. Engineering, Operations &amp; Transformation</x:v>
      </x:c>
      <x:c r="B231" s="115" t="str">
        <x:v>19. Observability, Reliability, Performance, Operations, ITSM &amp; Support</x:v>
      </x:c>
      <x:c r="C231" s="115" t="str">
        <x:v>Observability &amp; Application Performance</x:v>
      </x:c>
      <x:c r="D231" s="115" t="str">
        <x:v>Manage &amp; Optimise</x:v>
      </x:c>
      <x:c r="E231" s="115" t="str">
        <x:v>Security, Privacy &amp; Compliance
Cost &amp; FinOps
Operations &amp; Support
Reliability &amp; Resilience
Performance &amp; Scalability
Sustainability</x:v>
      </x:c>
      <x:c r="F231" s="115" t="str">
        <x:v>09 Engineering, Operations &amp; Migration</x:v>
      </x:c>
      <x:c r="G231" s="115" t="str">
        <x:v>Observability &amp; Reliability</x:v>
      </x:c>
      <x:c r="H231" s="115" t="str">
        <x:v>Grafana</x:v>
      </x:c>
      <x:c r="I231" s="115" t="str">
        <x:v>Managed Grafana</x:v>
      </x:c>
      <x:c r="J231" s="115" t="str">
        <x:v>Operate hosted Grafana workspaces for visualising metrics, logs and traces.</x:v>
      </x:c>
      <x:c r="K231" s="115" t="str">
        <x:v>Choose this capability when you need to operate hosted grafana workspaces for visualising metrics, logs and traces.</x:v>
      </x:c>
      <x:c r="L231" s="115" t="str">
        <x:v>Which metrics, logs, traces, SLOs and diagnostic workflows are needed across the workload?</x:v>
      </x:c>
      <x:c r="M231" s="115" t="str">
        <x:v>Standardisation and automation versus flexibility and migration effort.</x:v>
      </x:c>
      <x:c r="N231" s="115" t="n">
        <x:v>3</x:v>
      </x:c>
      <x:c r="O231" s="115" t="str">
        <x:v>Moderate</x:v>
      </x:c>
      <x:c r="P231" s="115" t="str">
        <x:v>1–3 weeks</x:v>
      </x:c>
      <x:c r="Q231" s="115" t="str">
        <x:v>Low</x:v>
      </x:c>
      <x:c r="R231" s="115" t="str">
        <x:v>Amazon Managed Grafana</x:v>
      </x:c>
      <x:c r="S231" s="115" t="str">
        <x:v>Azure Managed Grafana</x:v>
      </x:c>
      <x:c r="T231" s="115" t="str">
        <x:v>Managed Service for Grafana / partner Grafana Cloud</x:v>
      </x:c>
      <x:c r="U231" s="115" t="n">
        <x:v>3.81</x:v>
      </x:c>
      <x:c r="V231" s="115" t="n">
        <x:v>3.76</x:v>
      </x:c>
      <x:c r="W231" s="115" t="n">
        <x:v>3.22</x:v>
      </x:c>
      <x:c r="X231" s="118" t="str">
        <x:v>Context-dependent tie</x:v>
      </x:c>
      <x:c r="Y231" s="115" t="str">
        <x:v>Scores are close: use ecosystem, data gravity, region, skills, commercials and proof-of-value results to decide.</x:v>
      </x:c>
      <x:c r="Z231" s="115" t="str">
        <x:v>Partial</x:v>
      </x:c>
      <x:c r="AA231" s="115"/>
      <x:c r="AB231" s="115" t="str">
        <x:v>2026-07-12</x:v>
      </x:c>
      <x:c r="AC231" s="115" t="str">
        <x:v>Scored and mapped</x:v>
      </x:c>
      <x:c r="AD231" s="115" t="str">
        <x:v>https://docs.aws.amazon.com/wellarchitected/latest/userguide/waf.html</x:v>
      </x:c>
    </x:row>
    <x:row r="232">
      <x:c r="A232" s="115" t="str">
        <x:v>5. Engineering, Operations &amp; Transformation</x:v>
      </x:c>
      <x:c r="B232" s="115" t="str">
        <x:v>19. Observability, Reliability, Performance, Operations, ITSM &amp; Support</x:v>
      </x:c>
      <x:c r="C232" s="115" t="str">
        <x:v>Observability &amp; Application Performance</x:v>
      </x:c>
      <x:c r="D232" s="115" t="str">
        <x:v>Manage &amp; Optimise</x:v>
      </x:c>
      <x:c r="E232" s="115" t="str">
        <x:v>Security, Privacy &amp; Compliance
Cost &amp; FinOps
Operations &amp; Support
Reliability &amp; Resilience
Performance &amp; Scalability
Sustainability</x:v>
      </x:c>
      <x:c r="F232" s="115" t="str">
        <x:v>09 Engineering, Operations &amp; Migration</x:v>
      </x:c>
      <x:c r="G232" s="115" t="str">
        <x:v>Observability &amp; Reliability</x:v>
      </x:c>
      <x:c r="H232" s="115" t="str">
        <x:v>Error tracking</x:v>
      </x:c>
      <x:c r="I232" s="115" t="str">
        <x:v>Application error reporting</x:v>
      </x:c>
      <x:c r="J232" s="115" t="str">
        <x:v>Aggregate and analyse application exceptions and crashes.</x:v>
      </x:c>
      <x:c r="K232" s="115" t="str">
        <x:v>Choose this capability when you need to aggregate and analyse application exceptions and crashes.</x:v>
      </x:c>
      <x:c r="L232" s="115" t="str">
        <x:v>Which metrics, logs, traces, SLOs and diagnostic workflows are needed across the workload?</x:v>
      </x:c>
      <x:c r="M232" s="115" t="str">
        <x:v>Standardisation and automation versus flexibility and migration effort.</x:v>
      </x:c>
      <x:c r="N232" s="115" t="n">
        <x:v>3</x:v>
      </x:c>
      <x:c r="O232" s="115" t="str">
        <x:v>Moderate</x:v>
      </x:c>
      <x:c r="P232" s="115" t="str">
        <x:v>1–3 weeks</x:v>
      </x:c>
      <x:c r="Q232" s="115" t="str">
        <x:v>Medium</x:v>
      </x:c>
      <x:c r="R232" s="115" t="str">
        <x:v>Amazon CloudWatch Logs Insights
AWS X-Ray</x:v>
      </x:c>
      <x:c r="S232" s="115" t="str">
        <x:v>Azure Application Insights</x:v>
      </x:c>
      <x:c r="T232" s="115" t="str">
        <x:v>Error Reporting</x:v>
      </x:c>
      <x:c r="U232" s="115" t="n">
        <x:v>3.8</x:v>
      </x:c>
      <x:c r="V232" s="115" t="n">
        <x:v>3.89</x:v>
      </x:c>
      <x:c r="W232" s="115" t="n">
        <x:v>3.81</x:v>
      </x:c>
      <x:c r="X232" s="118" t="str">
        <x:v>Context-dependent tie</x:v>
      </x:c>
      <x:c r="Y232" s="115" t="str">
        <x:v>Scores are close: use ecosystem, data gravity, region, skills, commercials and proof-of-value results to decide.</x:v>
      </x:c>
      <x:c r="Z232" s="115" t="str">
        <x:v>Close</x:v>
      </x:c>
      <x:c r="AA232" s="115"/>
      <x:c r="AB232" s="115" t="str">
        <x:v>2026-07-12</x:v>
      </x:c>
      <x:c r="AC232" s="115" t="str">
        <x:v>Scored and mapped</x:v>
      </x:c>
      <x:c r="AD232" s="115" t="str">
        <x:v>https://docs.aws.amazon.com/wellarchitected/latest/userguide/waf.html</x:v>
      </x:c>
    </x:row>
    <x:row r="233">
      <x:c r="A233" s="115" t="str">
        <x:v>5. Engineering, Operations &amp; Transformation</x:v>
      </x:c>
      <x:c r="B233" s="115" t="str">
        <x:v>19. Observability, Reliability, Performance, Operations, ITSM &amp; Support</x:v>
      </x:c>
      <x:c r="C233" s="115" t="str">
        <x:v>Observability &amp; Application Performance</x:v>
      </x:c>
      <x:c r="D233" s="115" t="str">
        <x:v>Manage &amp; Optimise</x:v>
      </x:c>
      <x:c r="E233" s="115" t="str">
        <x:v>Security, Privacy &amp; Compliance
Cost &amp; FinOps
Operations &amp; Support
Reliability &amp; Resilience
Performance &amp; Scalability
Sustainability</x:v>
      </x:c>
      <x:c r="F233" s="115" t="str">
        <x:v>09 Engineering, Operations &amp; Migration</x:v>
      </x:c>
      <x:c r="G233" s="115" t="str">
        <x:v>Observability &amp; Reliability</x:v>
      </x:c>
      <x:c r="H233" s="115" t="str">
        <x:v>Profiling</x:v>
      </x:c>
      <x:c r="I233" s="115" t="str">
        <x:v>Production code profiling</x:v>
      </x:c>
      <x:c r="J233" s="115" t="str">
        <x:v>Identify CPU and memory hot spots in running applications.</x:v>
      </x:c>
      <x:c r="K233" s="115" t="str">
        <x:v>Choose this capability when you need to identify cpu and memory hot spots in running applications.</x:v>
      </x:c>
      <x:c r="L233" s="115" t="str">
        <x:v>Which metrics, logs, traces, SLOs and diagnostic workflows are needed across the workload?</x:v>
      </x:c>
      <x:c r="M233" s="115" t="str">
        <x:v>Standardisation and automation versus flexibility and migration effort.</x:v>
      </x:c>
      <x:c r="N233" s="115" t="n">
        <x:v>3</x:v>
      </x:c>
      <x:c r="O233" s="115" t="str">
        <x:v>Moderate</x:v>
      </x:c>
      <x:c r="P233" s="115" t="str">
        <x:v>1–3 weeks</x:v>
      </x:c>
      <x:c r="Q233" s="115" t="str">
        <x:v>Medium</x:v>
      </x:c>
      <x:c r="R233" s="115" t="str">
        <x:v>Amazon CodeGuru Profiler</x:v>
      </x:c>
      <x:c r="S233" s="115" t="str">
        <x:v>Azure Application Insights Profiler</x:v>
      </x:c>
      <x:c r="T233" s="115" t="str">
        <x:v>Cloud Profiler</x:v>
      </x:c>
      <x:c r="U233" s="115" t="n">
        <x:v>3.97</x:v>
      </x:c>
      <x:c r="V233" s="115" t="n">
        <x:v>3.95</x:v>
      </x:c>
      <x:c r="W233" s="115" t="n">
        <x:v>3.87</x:v>
      </x:c>
      <x:c r="X233" s="118" t="str">
        <x:v>Context-dependent tie</x:v>
      </x:c>
      <x:c r="Y233" s="115" t="str">
        <x:v>Scores are close: use ecosystem, data gravity, region, skills, commercials and proof-of-value results to decide.</x:v>
      </x:c>
      <x:c r="Z233" s="115" t="str">
        <x:v>Exact</x:v>
      </x:c>
      <x:c r="AA233" s="115"/>
      <x:c r="AB233" s="115" t="str">
        <x:v>2026-07-12</x:v>
      </x:c>
      <x:c r="AC233" s="115" t="str">
        <x:v>Scored and mapped</x:v>
      </x:c>
      <x:c r="AD233" s="115" t="str">
        <x:v>https://docs.aws.amazon.com/wellarchitected/latest/userguide/waf.html</x:v>
      </x:c>
    </x:row>
    <x:row r="234">
      <x:c r="A234" s="115" t="str">
        <x:v>5. Engineering, Operations &amp; Transformation</x:v>
      </x:c>
      <x:c r="B234" s="115" t="str">
        <x:v>19. Observability, Reliability, Performance, Operations, ITSM &amp; Support</x:v>
      </x:c>
      <x:c r="C234" s="115" t="str">
        <x:v>Reliability, SRE &amp; Service Health</x:v>
      </x:c>
      <x:c r="D234" s="115" t="str">
        <x:v>Manage &amp; Optimise</x:v>
      </x:c>
      <x:c r="E234" s="115" t="str">
        <x:v>Security, Privacy &amp; Compliance
Cost &amp; FinOps
Operations &amp; Support
Reliability &amp; Resilience
Performance &amp; Scalability
Sustainability</x:v>
      </x:c>
      <x:c r="F234" s="115" t="str">
        <x:v>09 Engineering, Operations &amp; Migration</x:v>
      </x:c>
      <x:c r="G234" s="115" t="str">
        <x:v>Observability &amp; Reliability</x:v>
      </x:c>
      <x:c r="H234" s="115" t="str">
        <x:v>SRE automation</x:v>
      </x:c>
      <x:c r="I234" s="115" t="str">
        <x:v>AI-assisted reliability engineering</x:v>
      </x:c>
      <x:c r="J234" s="115" t="str">
        <x:v>Investigate incidents, propose remediation and automate reliability workflows.</x:v>
      </x:c>
      <x:c r="K234" s="115" t="str">
        <x:v>Choose this capability when you need to investigate incidents, propose remediation and automate reliability workflows.</x:v>
      </x:c>
      <x:c r="L234" s="115" t="str">
        <x:v>What business outcome, scale, control, integration and operating model justify choosing ai-assisted reliability engineering?</x:v>
      </x:c>
      <x:c r="M234" s="115" t="str">
        <x:v>Standardisation and automation versus flexibility and migration effort.</x:v>
      </x:c>
      <x:c r="N234" s="115" t="n">
        <x:v>3</x:v>
      </x:c>
      <x:c r="O234" s="115" t="str">
        <x:v>Moderate</x:v>
      </x:c>
      <x:c r="P234" s="115" t="str">
        <x:v>1–3 weeks</x:v>
      </x:c>
      <x:c r="Q234" s="115" t="str">
        <x:v>Medium</x:v>
      </x:c>
      <x:c r="R234" s="115" t="str">
        <x:v>Amazon DevOps Guru
Amazon Q Developer</x:v>
      </x:c>
      <x:c r="S234" s="115" t="str">
        <x:v>Azure SRE Agent</x:v>
      </x:c>
      <x:c r="T234" s="115" t="str">
        <x:v>Gemini Cloud Assist
Google Cloud Observability</x:v>
      </x:c>
      <x:c r="U234" s="115" t="n">
        <x:v>3.8</x:v>
      </x:c>
      <x:c r="V234" s="115" t="n">
        <x:v>3.89</x:v>
      </x:c>
      <x:c r="W234" s="115" t="n">
        <x:v>3.74</x:v>
      </x:c>
      <x:c r="X234" s="118" t="str">
        <x:v>Context-dependent tie</x:v>
      </x:c>
      <x:c r="Y234" s="115" t="str">
        <x:v>Scores are close: use ecosystem, data gravity, region, skills, commercials and proof-of-value results to decide.</x:v>
      </x:c>
      <x:c r="Z234" s="115" t="str">
        <x:v>Close</x:v>
      </x:c>
      <x:c r="AA234" s="115"/>
      <x:c r="AB234" s="115" t="str">
        <x:v>2026-07-12</x:v>
      </x:c>
      <x:c r="AC234" s="115" t="str">
        <x:v>Scored and mapped</x:v>
      </x:c>
      <x:c r="AD234" s="115" t="str">
        <x:v>https://docs.aws.amazon.com/wellarchitected/latest/userguide/waf.html</x:v>
      </x:c>
    </x:row>
    <x:row r="235">
      <x:c r="A235" s="115" t="str">
        <x:v>5. Engineering, Operations &amp; Transformation</x:v>
      </x:c>
      <x:c r="B235" s="115" t="str">
        <x:v>19. Observability, Reliability, Performance, Operations, ITSM &amp; Support</x:v>
      </x:c>
      <x:c r="C235" s="115" t="str">
        <x:v>Reliability, SRE &amp; Service Health</x:v>
      </x:c>
      <x:c r="D235" s="115" t="str">
        <x:v>Manage &amp; Optimise</x:v>
      </x:c>
      <x:c r="E235" s="115" t="str">
        <x:v>Security, Privacy &amp; Compliance
Cost &amp; FinOps
Operations &amp; Support
Reliability &amp; Resilience
Performance &amp; Scalability
Sustainability</x:v>
      </x:c>
      <x:c r="F235" s="115" t="str">
        <x:v>09 Engineering, Operations &amp; Migration</x:v>
      </x:c>
      <x:c r="G235" s="115" t="str">
        <x:v>Observability &amp; Reliability</x:v>
      </x:c>
      <x:c r="H235" s="115" t="str">
        <x:v>Status and maintenance</x:v>
      </x:c>
      <x:c r="I235" s="115" t="str">
        <x:v>Maintenance coordination</x:v>
      </x:c>
      <x:c r="J235" s="115" t="str">
        <x:v>Coordinate provider maintenance and workload updates to reduce disruption.</x:v>
      </x:c>
      <x:c r="K235" s="115" t="str">
        <x:v>Choose this capability when you need to coordinate provider maintenance and workload updates to reduce disruption.</x:v>
      </x:c>
      <x:c r="L235" s="115" t="str">
        <x:v>What business outcome, scale, control, integration and operating model justify choosing maintenance coordination?</x:v>
      </x:c>
      <x:c r="M235" s="115" t="str">
        <x:v>Standardisation and automation versus flexibility and migration effort.</x:v>
      </x:c>
      <x:c r="N235" s="115" t="n">
        <x:v>3</x:v>
      </x:c>
      <x:c r="O235" s="115" t="str">
        <x:v>Moderate</x:v>
      </x:c>
      <x:c r="P235" s="115" t="str">
        <x:v>1–3 weeks</x:v>
      </x:c>
      <x:c r="Q235" s="115" t="str">
        <x:v>Medium</x:v>
      </x:c>
      <x:c r="R235" s="115" t="str">
        <x:v>AWS Health
AWS Systems Manager Maintenance Windows</x:v>
      </x:c>
      <x:c r="S235" s="115" t="str">
        <x:v>Azure Service Health
Azure Update Manager</x:v>
      </x:c>
      <x:c r="T235" s="115" t="str">
        <x:v>Unified Maintenance
Personalized Service Health</x:v>
      </x:c>
      <x:c r="U235" s="115" t="n">
        <x:v>3.8</x:v>
      </x:c>
      <x:c r="V235" s="115" t="n">
        <x:v>3.8</x:v>
      </x:c>
      <x:c r="W235" s="115" t="n">
        <x:v>3.74</x:v>
      </x:c>
      <x:c r="X235" s="118" t="str">
        <x:v>Context-dependent tie</x:v>
      </x:c>
      <x:c r="Y235" s="115" t="str">
        <x:v>Scores are close: use ecosystem, data gravity, region, skills, commercials and proof-of-value results to decide.</x:v>
      </x:c>
      <x:c r="Z235" s="115" t="str">
        <x:v>Close</x:v>
      </x:c>
      <x:c r="AA235" s="115"/>
      <x:c r="AB235" s="115" t="str">
        <x:v>2026-07-12</x:v>
      </x:c>
      <x:c r="AC235" s="115" t="str">
        <x:v>Scored and mapped</x:v>
      </x:c>
      <x:c r="AD235" s="115" t="str">
        <x:v>https://docs.aws.amazon.com/wellarchitected/latest/userguide/waf.html</x:v>
      </x:c>
    </x:row>
    <x:row r="236">
      <x:c r="A236" s="115" t="str">
        <x:v>5. Engineering, Operations &amp; Transformation</x:v>
      </x:c>
      <x:c r="B236" s="115" t="str">
        <x:v>20. Migration, Modernisation, Hybrid, Multicloud &amp; Mainframe</x:v>
      </x:c>
      <x:c r="C236" s="115" t="str">
        <x:v>Migration, Modernisation &amp; Transformation</x:v>
      </x:c>
      <x:c r="D236" s="115" t="str">
        <x:v>Migrate &amp; Modernise</x:v>
      </x:c>
      <x:c r="E236" s="115" t="str">
        <x:v>Security, Privacy &amp; Compliance
Cost &amp; FinOps
Operations &amp; Support
Data Residency &amp; Sovereignty
Portability &amp; Exit</x:v>
      </x:c>
      <x:c r="F236" s="115" t="str">
        <x:v>09 Engineering, Operations &amp; Migration</x:v>
      </x:c>
      <x:c r="G236" s="115" t="str">
        <x:v>Migration &amp; Modernisation</x:v>
      </x:c>
      <x:c r="H236" s="115" t="str">
        <x:v>Discovery</x:v>
      </x:c>
      <x:c r="I236" s="115" t="str">
        <x:v>Migration discovery and assessment</x:v>
      </x:c>
      <x:c r="J236" s="115" t="str">
        <x:v>Discover servers, dependencies and utilisation to build migration plans and business cases.</x:v>
      </x:c>
      <x:c r="K236" s="115" t="str">
        <x:v>Choose this capability when you need to discover servers, dependencies and utilisation to build migration plans and business cases.</x:v>
      </x:c>
      <x:c r="L236" s="115" t="str">
        <x:v>What business outcome, scale, control, integration and operating model justify choosing migration discovery and assessment?</x:v>
      </x:c>
      <x:c r="M236" s="115" t="str">
        <x:v>Standardisation and automation versus flexibility and migration effort.</x:v>
      </x:c>
      <x:c r="N236" s="115" t="n">
        <x:v>3</x:v>
      </x:c>
      <x:c r="O236" s="115" t="str">
        <x:v>Moderate</x:v>
      </x:c>
      <x:c r="P236" s="115" t="str">
        <x:v>1–3 weeks</x:v>
      </x:c>
      <x:c r="Q236" s="115" t="str">
        <x:v>Medium</x:v>
      </x:c>
      <x:c r="R236" s="115" t="str">
        <x:v>AWS Application Discovery Service
AWS Migration Hub</x:v>
      </x:c>
      <x:c r="S236" s="115" t="str">
        <x:v>Azure Migrate</x:v>
      </x:c>
      <x:c r="T236" s="115" t="str">
        <x:v>Migration Center</x:v>
      </x:c>
      <x:c r="U236" s="115" t="n">
        <x:v>3.84</x:v>
      </x:c>
      <x:c r="V236" s="115" t="n">
        <x:v>3.84</x:v>
      </x:c>
      <x:c r="W236" s="115" t="n">
        <x:v>3.81</x:v>
      </x:c>
      <x:c r="X236" s="118" t="str">
        <x:v>Context-dependent tie</x:v>
      </x:c>
      <x:c r="Y236" s="115" t="str">
        <x:v>Scores are close: use ecosystem, data gravity, region, skills, commercials and proof-of-value results to decide.</x:v>
      </x:c>
      <x:c r="Z236" s="115" t="str">
        <x:v>Close</x:v>
      </x:c>
      <x:c r="AA236" s="115"/>
      <x:c r="AB236" s="115" t="str">
        <x:v>2026-07-12</x:v>
      </x:c>
      <x:c r="AC236" s="115" t="str">
        <x:v>Scored and mapped</x:v>
      </x:c>
      <x:c r="AD236" s="115" t="str">
        <x:v>https://learn.microsoft.com/en-us/azure/cloud-adoption-framework/</x:v>
      </x:c>
    </x:row>
    <x:row r="237">
      <x:c r="A237" s="115" t="str">
        <x:v>5. Engineering, Operations &amp; Transformation</x:v>
      </x:c>
      <x:c r="B237" s="115" t="str">
        <x:v>20. Migration, Modernisation, Hybrid, Multicloud &amp; Mainframe</x:v>
      </x:c>
      <x:c r="C237" s="115" t="str">
        <x:v>Migration, Modernisation &amp; Transformation</x:v>
      </x:c>
      <x:c r="D237" s="115" t="str">
        <x:v>Migrate &amp; Modernise</x:v>
      </x:c>
      <x:c r="E237" s="115" t="str">
        <x:v>Security, Privacy &amp; Compliance
Cost &amp; FinOps
Operations &amp; Support
Data Residency &amp; Sovereignty
Portability &amp; Exit</x:v>
      </x:c>
      <x:c r="F237" s="115" t="str">
        <x:v>09 Engineering, Operations &amp; Migration</x:v>
      </x:c>
      <x:c r="G237" s="115" t="str">
        <x:v>Migration &amp; Modernisation</x:v>
      </x:c>
      <x:c r="H237" s="115" t="str">
        <x:v>Migration portfolio</x:v>
      </x:c>
      <x:c r="I237" s="115" t="str">
        <x:v>Migration programme hub</x:v>
      </x:c>
      <x:c r="J237" s="115" t="str">
        <x:v>Track migration waves, applications, servers and progress from a central workspace.</x:v>
      </x:c>
      <x:c r="K237" s="115" t="str">
        <x:v>Choose this capability when you need to track migration waves, applications, servers and progress from a central workspace.</x:v>
      </x:c>
      <x:c r="L237" s="115" t="str">
        <x:v>What business outcome, scale, control, integration and operating model justify choosing migration programme hub?</x:v>
      </x:c>
      <x:c r="M237" s="115" t="str">
        <x:v>Standardisation and automation versus flexibility and migration effort.</x:v>
      </x:c>
      <x:c r="N237" s="115" t="n">
        <x:v>3</x:v>
      </x:c>
      <x:c r="O237" s="115" t="str">
        <x:v>Moderate</x:v>
      </x:c>
      <x:c r="P237" s="115" t="str">
        <x:v>1–3 weeks</x:v>
      </x:c>
      <x:c r="Q237" s="115" t="str">
        <x:v>Medium</x:v>
      </x:c>
      <x:c r="R237" s="115" t="str">
        <x:v>AWS Migration Hub</x:v>
      </x:c>
      <x:c r="S237" s="115" t="str">
        <x:v>Azure Migrate</x:v>
      </x:c>
      <x:c r="T237" s="115" t="str">
        <x:v>Migration Center</x:v>
      </x:c>
      <x:c r="U237" s="115" t="n">
        <x:v>3.94</x:v>
      </x:c>
      <x:c r="V237" s="115" t="n">
        <x:v>3.84</x:v>
      </x:c>
      <x:c r="W237" s="115" t="n">
        <x:v>3.81</x:v>
      </x:c>
      <x:c r="X237" s="118" t="str">
        <x:v>Context-dependent tie</x:v>
      </x:c>
      <x:c r="Y237" s="115" t="str">
        <x:v>Scores are close: use ecosystem, data gravity, region, skills, commercials and proof-of-value results to decide.</x:v>
      </x:c>
      <x:c r="Z237" s="115" t="str">
        <x:v>Close</x:v>
      </x:c>
      <x:c r="AA237" s="115"/>
      <x:c r="AB237" s="115" t="str">
        <x:v>2026-07-12</x:v>
      </x:c>
      <x:c r="AC237" s="115" t="str">
        <x:v>Scored and mapped</x:v>
      </x:c>
      <x:c r="AD237" s="115" t="str">
        <x:v>https://learn.microsoft.com/en-us/azure/cloud-adoption-framework/</x:v>
      </x:c>
    </x:row>
    <x:row r="238">
      <x:c r="A238" s="115" t="str">
        <x:v>5. Engineering, Operations &amp; Transformation</x:v>
      </x:c>
      <x:c r="B238" s="115" t="str">
        <x:v>20. Migration, Modernisation, Hybrid, Multicloud &amp; Mainframe</x:v>
      </x:c>
      <x:c r="C238" s="115" t="str">
        <x:v>Migration, Modernisation &amp; Transformation</x:v>
      </x:c>
      <x:c r="D238" s="115" t="str">
        <x:v>Migrate &amp; Modernise</x:v>
      </x:c>
      <x:c r="E238" s="115" t="str">
        <x:v>Security, Privacy &amp; Compliance
Cost &amp; FinOps
Operations &amp; Support
Data Residency &amp; Sovereignty
Portability &amp; Exit</x:v>
      </x:c>
      <x:c r="F238" s="115" t="str">
        <x:v>09 Engineering, Operations &amp; Migration</x:v>
      </x:c>
      <x:c r="G238" s="115" t="str">
        <x:v>Migration &amp; Modernisation</x:v>
      </x:c>
      <x:c r="H238" s="115" t="str">
        <x:v>VM migration</x:v>
      </x:c>
      <x:c r="I238" s="115" t="str">
        <x:v>Virtual-machine migration</x:v>
      </x:c>
      <x:c r="J238" s="115" t="str">
        <x:v>Replicate and migrate physical or virtual servers into cloud virtual machines.</x:v>
      </x:c>
      <x:c r="K238" s="115" t="str">
        <x:v>Choose this capability when you need to replicate and migrate physical or virtual servers into cloud virtual machines.</x:v>
      </x:c>
      <x:c r="L238" s="115" t="str">
        <x:v>What business outcome, scale, control, integration and operating model justify choosing virtual-machine migration?</x:v>
      </x:c>
      <x:c r="M238" s="115" t="str">
        <x:v>Standardisation and automation versus flexibility and migration effort.</x:v>
      </x:c>
      <x:c r="N238" s="115" t="n">
        <x:v>3</x:v>
      </x:c>
      <x:c r="O238" s="115" t="str">
        <x:v>Moderate</x:v>
      </x:c>
      <x:c r="P238" s="115" t="str">
        <x:v>1–3 weeks</x:v>
      </x:c>
      <x:c r="Q238" s="115" t="str">
        <x:v>Medium</x:v>
      </x:c>
      <x:c r="R238" s="115" t="str">
        <x:v>AWS Application Migration Service / AWS Transform MGN</x:v>
      </x:c>
      <x:c r="S238" s="115" t="str">
        <x:v>Azure Migrate: Server Migration</x:v>
      </x:c>
      <x:c r="T238" s="115" t="str">
        <x:v>Migrate to Virtual Machines</x:v>
      </x:c>
      <x:c r="U238" s="115" t="n">
        <x:v>3.92</x:v>
      </x:c>
      <x:c r="V238" s="115" t="n">
        <x:v>3.9</x:v>
      </x:c>
      <x:c r="W238" s="115" t="n">
        <x:v>3.87</x:v>
      </x:c>
      <x:c r="X238" s="118" t="str">
        <x:v>Context-dependent tie</x:v>
      </x:c>
      <x:c r="Y238" s="115" t="str">
        <x:v>Scores are close: use ecosystem, data gravity, region, skills, commercials and proof-of-value results to decide.</x:v>
      </x:c>
      <x:c r="Z238" s="115" t="str">
        <x:v>Exact</x:v>
      </x:c>
      <x:c r="AA238" s="115"/>
      <x:c r="AB238" s="115" t="str">
        <x:v>2026-07-12</x:v>
      </x:c>
      <x:c r="AC238" s="115" t="str">
        <x:v>Scored and mapped</x:v>
      </x:c>
      <x:c r="AD238" s="115" t="str">
        <x:v>https://learn.microsoft.com/en-us/azure/cloud-adoption-framework/</x:v>
      </x:c>
    </x:row>
    <x:row r="239">
      <x:c r="A239" s="115" t="str">
        <x:v>5. Engineering, Operations &amp; Transformation</x:v>
      </x:c>
      <x:c r="B239" s="115" t="str">
        <x:v>20. Migration, Modernisation, Hybrid, Multicloud &amp; Mainframe</x:v>
      </x:c>
      <x:c r="C239" s="115" t="str">
        <x:v>Migration, Modernisation &amp; Transformation</x:v>
      </x:c>
      <x:c r="D239" s="115" t="str">
        <x:v>Migrate &amp; Modernise</x:v>
      </x:c>
      <x:c r="E239" s="115" t="str">
        <x:v>Security, Privacy &amp; Compliance
Cost &amp; FinOps
Operations &amp; Support
Data Residency &amp; Sovereignty
Portability &amp; Exit</x:v>
      </x:c>
      <x:c r="F239" s="115" t="str">
        <x:v>09 Engineering, Operations &amp; Migration</x:v>
      </x:c>
      <x:c r="G239" s="115" t="str">
        <x:v>Migration &amp; Modernisation</x:v>
      </x:c>
      <x:c r="H239" s="115" t="str">
        <x:v>Application modernisation</x:v>
      </x:c>
      <x:c r="I239" s="115" t="str">
        <x:v>Application modernisation</x:v>
      </x:c>
      <x:c r="J239" s="115" t="str">
        <x:v>Assess and transform legacy applications into cloud-native architectures.</x:v>
      </x:c>
      <x:c r="K239" s="115" t="str">
        <x:v>Choose this capability when you need to assess and transform legacy applications into cloud-native architectures.</x:v>
      </x:c>
      <x:c r="L239" s="115" t="str">
        <x:v>What business outcome, scale, control, integration and operating model justify choosing application modernisation?</x:v>
      </x:c>
      <x:c r="M239" s="115" t="str">
        <x:v>Standardisation and automation versus flexibility and migration effort.</x:v>
      </x:c>
      <x:c r="N239" s="115" t="n">
        <x:v>3</x:v>
      </x:c>
      <x:c r="O239" s="115" t="str">
        <x:v>Moderate</x:v>
      </x:c>
      <x:c r="P239" s="115" t="str">
        <x:v>1–3 weeks</x:v>
      </x:c>
      <x:c r="Q239" s="115" t="str">
        <x:v>Medium</x:v>
      </x:c>
      <x:c r="R239" s="115" t="str">
        <x:v>AWS Transform
AWS App2Container</x:v>
      </x:c>
      <x:c r="S239" s="115" t="str">
        <x:v>Azure Migrate
Azure App Service migration tools</x:v>
      </x:c>
      <x:c r="T239" s="115" t="str">
        <x:v>Migrate to Containers</x:v>
      </x:c>
      <x:c r="U239" s="115" t="n">
        <x:v>3.84</x:v>
      </x:c>
      <x:c r="V239" s="115" t="n">
        <x:v>3.75</x:v>
      </x:c>
      <x:c r="W239" s="115" t="n">
        <x:v>3.81</x:v>
      </x:c>
      <x:c r="X239" s="118" t="str">
        <x:v>Context-dependent tie</x:v>
      </x:c>
      <x:c r="Y239" s="115" t="str">
        <x:v>Scores are close: use ecosystem, data gravity, region, skills, commercials and proof-of-value results to decide.</x:v>
      </x:c>
      <x:c r="Z239" s="115" t="str">
        <x:v>Close</x:v>
      </x:c>
      <x:c r="AA239" s="115"/>
      <x:c r="AB239" s="115" t="str">
        <x:v>2026-07-12</x:v>
      </x:c>
      <x:c r="AC239" s="115" t="str">
        <x:v>Scored and mapped</x:v>
      </x:c>
      <x:c r="AD239" s="115" t="str">
        <x:v>https://learn.microsoft.com/en-us/azure/cloud-adoption-framework/</x:v>
      </x:c>
    </x:row>
    <x:row r="240">
      <x:c r="A240" s="115" t="str">
        <x:v>5. Engineering, Operations &amp; Transformation</x:v>
      </x:c>
      <x:c r="B240" s="115" t="str">
        <x:v>20. Migration, Modernisation, Hybrid, Multicloud &amp; Mainframe</x:v>
      </x:c>
      <x:c r="C240" s="115" t="str">
        <x:v>Migration, Modernisation &amp; Transformation</x:v>
      </x:c>
      <x:c r="D240" s="115" t="str">
        <x:v>Migrate &amp; Modernise</x:v>
      </x:c>
      <x:c r="E240" s="115" t="str">
        <x:v>Security, Privacy &amp; Compliance
Cost &amp; FinOps
Operations &amp; Support
Data Residency &amp; Sovereignty
Portability &amp; Exit</x:v>
      </x:c>
      <x:c r="F240" s="115" t="str">
        <x:v>09 Engineering, Operations &amp; Migration</x:v>
      </x:c>
      <x:c r="G240" s="115" t="str">
        <x:v>Migration &amp; Modernisation</x:v>
      </x:c>
      <x:c r="H240" s="115" t="str">
        <x:v>Mainframe</x:v>
      </x:c>
      <x:c r="I240" s="115" t="str">
        <x:v>Mainframe modernisation</x:v>
      </x:c>
      <x:c r="J240" s="115" t="str">
        <x:v>Assess, replatform, refactor or incrementally modernise mainframe workloads.</x:v>
      </x:c>
      <x:c r="K240" s="115" t="str">
        <x:v>Choose this capability when you need to assess, replatform, refactor or incrementally modernise mainframe workloads.</x:v>
      </x:c>
      <x:c r="L240" s="115" t="str">
        <x:v>What business outcome, scale, control, integration and operating model justify choosing mainframe modernisation?</x:v>
      </x:c>
      <x:c r="M240" s="115" t="str">
        <x:v>Standardisation and automation versus flexibility and migration effort.</x:v>
      </x:c>
      <x:c r="N240" s="115" t="n">
        <x:v>2</x:v>
      </x:c>
      <x:c r="O240" s="115" t="str">
        <x:v>Advanced</x:v>
      </x:c>
      <x:c r="P240" s="115" t="str">
        <x:v>3–8 weeks</x:v>
      </x:c>
      <x:c r="Q240" s="115" t="str">
        <x:v>Medium</x:v>
      </x:c>
      <x:c r="R240" s="115" t="str">
        <x:v>AWS Mainframe Modernization Service
AWS Transform</x:v>
      </x:c>
      <x:c r="S240" s="115" t="str">
        <x:v>Azure Logic Apps mainframe connectors
partner mainframe services</x:v>
      </x:c>
      <x:c r="T240" s="115" t="str">
        <x:v>Mainframe Assessment Tool
Mainframe Connector
Dual Run</x:v>
      </x:c>
      <x:c r="U240" s="115" t="n">
        <x:v>3.48</x:v>
      </x:c>
      <x:c r="V240" s="115" t="n">
        <x:v>2.98</x:v>
      </x:c>
      <x:c r="W240" s="115" t="n">
        <x:v>3.35</x:v>
      </x:c>
      <x:c r="X240" s="118" t="str">
        <x:v>Context-dependent tie</x:v>
      </x:c>
      <x:c r="Y240" s="115" t="str">
        <x:v>Scores are close: use ecosystem, data gravity, region, skills, commercials and proof-of-value results to decide.</x:v>
      </x:c>
      <x:c r="Z240" s="115" t="str">
        <x:v>Partial</x:v>
      </x:c>
      <x:c r="AA240" s="115"/>
      <x:c r="AB240" s="115" t="str">
        <x:v>2026-07-12</x:v>
      </x:c>
      <x:c r="AC240" s="115" t="str">
        <x:v>Scored and mapped</x:v>
      </x:c>
      <x:c r="AD240" s="115" t="str">
        <x:v>https://learn.microsoft.com/en-us/azure/cloud-adoption-framework/</x:v>
      </x:c>
    </x:row>
    <x:row r="241">
      <x:c r="A241" s="115" t="str">
        <x:v>5. Engineering, Operations &amp; Transformation</x:v>
      </x:c>
      <x:c r="B241" s="115" t="str">
        <x:v>20. Migration, Modernisation, Hybrid, Multicloud &amp; Mainframe</x:v>
      </x:c>
      <x:c r="C241" s="115" t="str">
        <x:v>Migration, Modernisation &amp; Transformation</x:v>
      </x:c>
      <x:c r="D241" s="115" t="str">
        <x:v>Migrate &amp; Modernise</x:v>
      </x:c>
      <x:c r="E241" s="115" t="str">
        <x:v>Security, Privacy &amp; Compliance
Cost &amp; FinOps
Operations &amp; Support
Data Residency &amp; Sovereignty
Portability &amp; Exit</x:v>
      </x:c>
      <x:c r="F241" s="115" t="str">
        <x:v>09 Engineering, Operations &amp; Migration</x:v>
      </x:c>
      <x:c r="G241" s="115" t="str">
        <x:v>Migration &amp; Modernisation</x:v>
      </x:c>
      <x:c r="H241" s="115" t="str">
        <x:v>File transfer</x:v>
      </x:c>
      <x:c r="I241" s="115" t="str">
        <x:v>Managed file transfer</x:v>
      </x:c>
      <x:c r="J241" s="115" t="str">
        <x:v>Transfer files using managed SFTP, FTPS or FTP endpoints.</x:v>
      </x:c>
      <x:c r="K241" s="115" t="str">
        <x:v>Choose this capability when you need to transfer files using managed sftp, ftps or ftp endpoints.</x:v>
      </x:c>
      <x:c r="L241" s="115" t="str">
        <x:v>What business outcome, scale, control, integration and operating model justify choosing managed file transfer?</x:v>
      </x:c>
      <x:c r="M241" s="115" t="str">
        <x:v>Standardisation and automation versus flexibility and migration effort.</x:v>
      </x:c>
      <x:c r="N241" s="115" t="n">
        <x:v>3</x:v>
      </x:c>
      <x:c r="O241" s="115" t="str">
        <x:v>Moderate</x:v>
      </x:c>
      <x:c r="P241" s="115" t="str">
        <x:v>1–3 weeks</x:v>
      </x:c>
      <x:c r="Q241" s="115" t="str">
        <x:v>Medium</x:v>
      </x:c>
      <x:c r="R241" s="115" t="str">
        <x:v>AWS Transfer Family</x:v>
      </x:c>
      <x:c r="S241" s="115" t="str">
        <x:v>Azure Storage SFTP</x:v>
      </x:c>
      <x:c r="T241" s="115" t="str">
        <x:v>Storage Transfer Service / partner SFTP</x:v>
      </x:c>
      <x:c r="U241" s="115" t="n">
        <x:v>3.78</x:v>
      </x:c>
      <x:c r="V241" s="115" t="n">
        <x:v>3.65</x:v>
      </x:c>
      <x:c r="W241" s="115" t="n">
        <x:v>3.16</x:v>
      </x:c>
      <x:c r="X241" s="118" t="str">
        <x:v>Context-dependent tie</x:v>
      </x:c>
      <x:c r="Y241" s="115" t="str">
        <x:v>Scores are close: use ecosystem, data gravity, region, skills, commercials and proof-of-value results to decide.</x:v>
      </x:c>
      <x:c r="Z241" s="115" t="str">
        <x:v>Partial</x:v>
      </x:c>
      <x:c r="AA241" s="115"/>
      <x:c r="AB241" s="115" t="str">
        <x:v>2026-07-12</x:v>
      </x:c>
      <x:c r="AC241" s="115" t="str">
        <x:v>Scored and mapped</x:v>
      </x:c>
      <x:c r="AD241" s="115" t="str">
        <x:v>https://learn.microsoft.com/en-us/azure/cloud-adoption-framework/</x:v>
      </x:c>
    </x:row>
    <x:row r="242">
      <x:c r="A242" s="115" t="str">
        <x:v>5. Engineering, Operations &amp; Transformation</x:v>
      </x:c>
      <x:c r="B242" s="115" t="str">
        <x:v>20. Migration, Modernisation, Hybrid, Multicloud &amp; Mainframe</x:v>
      </x:c>
      <x:c r="C242" s="115" t="str">
        <x:v>Migration, Modernisation &amp; Transformation</x:v>
      </x:c>
      <x:c r="D242" s="115" t="str">
        <x:v>Migrate &amp; Modernise</x:v>
      </x:c>
      <x:c r="E242" s="115" t="str">
        <x:v>Security, Privacy &amp; Compliance
Cost &amp; FinOps
Operations &amp; Support
Data Residency &amp; Sovereignty
Portability &amp; Exit</x:v>
      </x:c>
      <x:c r="F242" s="115" t="str">
        <x:v>09 Engineering, Operations &amp; Migration</x:v>
      </x:c>
      <x:c r="G242" s="115" t="str">
        <x:v>Migration &amp; Modernisation</x:v>
      </x:c>
      <x:c r="H242" s="115" t="str">
        <x:v>Cross-cloud data transfer</x:v>
      </x:c>
      <x:c r="I242" s="115" t="str">
        <x:v>Cross-cloud data movement</x:v>
      </x:c>
      <x:c r="J242" s="115" t="str">
        <x:v>Move data efficiently between cloud providers and storage services.</x:v>
      </x:c>
      <x:c r="K242" s="115" t="str">
        <x:v>Choose this capability when you need to move data efficiently between cloud providers and storage services.</x:v>
      </x:c>
      <x:c r="L242" s="115" t="str">
        <x:v>What business outcome, scale, control, integration and operating model justify choosing cross-cloud data movement?</x:v>
      </x:c>
      <x:c r="M242" s="115" t="str">
        <x:v>Standardisation and automation versus flexibility and migration effort.</x:v>
      </x:c>
      <x:c r="N242" s="115" t="n">
        <x:v>3</x:v>
      </x:c>
      <x:c r="O242" s="115" t="str">
        <x:v>Moderate</x:v>
      </x:c>
      <x:c r="P242" s="115" t="str">
        <x:v>1–3 weeks</x:v>
      </x:c>
      <x:c r="Q242" s="115" t="str">
        <x:v>Medium</x:v>
      </x:c>
      <x:c r="R242" s="115" t="str">
        <x:v>AWS DataSync</x:v>
      </x:c>
      <x:c r="S242" s="115" t="str">
        <x:v>Azure Data Factory
Azure Storage Mover</x:v>
      </x:c>
      <x:c r="T242" s="115" t="str">
        <x:v>Storage Transfer Service
Data Transfer Essentials</x:v>
      </x:c>
      <x:c r="U242" s="115" t="n">
        <x:v>3.94</x:v>
      </x:c>
      <x:c r="V242" s="115" t="n">
        <x:v>3.75</x:v>
      </x:c>
      <x:c r="W242" s="115" t="n">
        <x:v>3.74</x:v>
      </x:c>
      <x:c r="X242" s="118" t="str">
        <x:v>AWS</x:v>
      </x:c>
      <x:c r="Y242" s="115" t="str">
        <x:v>Start with AWS when infrastructure breadth, native integration and operational maturity are the main differentiators.</x:v>
      </x:c>
      <x:c r="Z242" s="115" t="str">
        <x:v>Close</x:v>
      </x:c>
      <x:c r="AA242" s="115"/>
      <x:c r="AB242" s="115" t="str">
        <x:v>2026-07-12</x:v>
      </x:c>
      <x:c r="AC242" s="115" t="str">
        <x:v>Scored and mapped</x:v>
      </x:c>
      <x:c r="AD242" s="115" t="str">
        <x:v>https://learn.microsoft.com/en-us/azure/cloud-adoption-framework/</x:v>
      </x:c>
    </x:row>
    <x:row r="243">
      <x:c r="A243" s="115" t="str">
        <x:v>5. Engineering, Operations &amp; Transformation</x:v>
      </x:c>
      <x:c r="B243" s="115" t="str">
        <x:v>20. Migration, Modernisation, Hybrid, Multicloud &amp; Mainframe</x:v>
      </x:c>
      <x:c r="C243" s="115" t="str">
        <x:v>Migration, Modernisation &amp; Transformation</x:v>
      </x:c>
      <x:c r="D243" s="115" t="str">
        <x:v>Migrate &amp; Modernise</x:v>
      </x:c>
      <x:c r="E243" s="115" t="str">
        <x:v>Security, Privacy &amp; Compliance
Cost &amp; FinOps
Operations &amp; Support
Data Residency &amp; Sovereignty
Portability &amp; Exit</x:v>
      </x:c>
      <x:c r="F243" s="115" t="str">
        <x:v>09 Engineering, Operations &amp; Migration</x:v>
      </x:c>
      <x:c r="G243" s="115" t="str">
        <x:v>Migration &amp; Modernisation</x:v>
      </x:c>
      <x:c r="H243" s="115" t="str">
        <x:v>Resource relocation</x:v>
      </x:c>
      <x:c r="I243" s="115" t="str">
        <x:v>Cloud resource relocation</x:v>
      </x:c>
      <x:c r="J243" s="115" t="str">
        <x:v>Move supported resources between regions, subscriptions or projects.</x:v>
      </x:c>
      <x:c r="K243" s="115" t="str">
        <x:v>Choose this capability when you need to move supported resources between regions, subscriptions or projects.</x:v>
      </x:c>
      <x:c r="L243" s="115" t="str">
        <x:v>What business outcome, scale, control, integration and operating model justify choosing cloud resource relocation?</x:v>
      </x:c>
      <x:c r="M243" s="115" t="str">
        <x:v>Standardisation and automation versus flexibility and migration effort.</x:v>
      </x:c>
      <x:c r="N243" s="115" t="n">
        <x:v>3</x:v>
      </x:c>
      <x:c r="O243" s="115" t="str">
        <x:v>Moderate</x:v>
      </x:c>
      <x:c r="P243" s="115" t="str">
        <x:v>1–3 weeks</x:v>
      </x:c>
      <x:c r="Q243" s="115" t="str">
        <x:v>Medium</x:v>
      </x:c>
      <x:c r="R243" s="115" t="str">
        <x:v>AWS Application Migration Service / service-specific replication</x:v>
      </x:c>
      <x:c r="S243" s="115" t="str">
        <x:v>Azure Resource Mover</x:v>
      </x:c>
      <x:c r="T243" s="115" t="str">
        <x:v>Migrate to Virtual Machines / service-specific replication</x:v>
      </x:c>
      <x:c r="U243" s="115" t="n">
        <x:v>3.33</x:v>
      </x:c>
      <x:c r="V243" s="115" t="n">
        <x:v>3.65</x:v>
      </x:c>
      <x:c r="W243" s="115" t="n">
        <x:v>3.16</x:v>
      </x:c>
      <x:c r="X243" s="118" t="str">
        <x:v>Azure</x:v>
      </x:c>
      <x:c r="Y243" s="115" t="str">
        <x:v>Start with Azure when Microsoft identity, security, data, productivity or hybrid integration reduces delivery effort.</x:v>
      </x:c>
      <x:c r="Z243" s="115" t="str">
        <x:v>Partial</x:v>
      </x:c>
      <x:c r="AA243" s="115"/>
      <x:c r="AB243" s="115" t="str">
        <x:v>2026-07-12</x:v>
      </x:c>
      <x:c r="AC243" s="115" t="str">
        <x:v>Scored and mapped</x:v>
      </x:c>
      <x:c r="AD243" s="115" t="str">
        <x:v>https://learn.microsoft.com/en-us/azure/cloud-adoption-framework/</x:v>
      </x:c>
    </x:row>
    <x:row r="244">
      <x:c r="A244" s="115" t="str">
        <x:v>6. Edge, Industry &amp; Specialist</x:v>
      </x:c>
      <x:c r="B244" s="115" t="str">
        <x:v>21. IoT, Edge, OT, Digital Twins, Robotics &amp; Telecom</x:v>
      </x:c>
      <x:c r="C244" s="115" t="str">
        <x:v>IoT, Devices &amp; Industrial Edge</x:v>
      </x:c>
      <x:c r="D244" s="115" t="str">
        <x:v>Adopt &amp; Build</x:v>
      </x:c>
      <x:c r="E244" s="115" t="str">
        <x:v>Security, Privacy &amp; Compliance
Cost &amp; FinOps
Operations &amp; Support
Reliability &amp; Resilience
Performance &amp; Scalability
Sustainability</x:v>
      </x:c>
      <x:c r="F244" s="115" t="str">
        <x:v>10 Edge, IoT &amp; Industry</x:v>
      </x:c>
      <x:c r="G244" s="115" t="str">
        <x:v>IoT &amp; Edge</x:v>
      </x:c>
      <x:c r="H244" s="115" t="str">
        <x:v>IoT connectivity</x:v>
      </x:c>
      <x:c r="I244" s="115" t="str">
        <x:v>Managed IoT messaging</x:v>
      </x:c>
      <x:c r="J244" s="115" t="str">
        <x:v>Securely connect devices and exchange telemetry and commands at scale.</x:v>
      </x:c>
      <x:c r="K244" s="115" t="str">
        <x:v>Choose this capability when you need to securely connect devices and exchange telemetry and commands at scale.</x:v>
      </x:c>
      <x:c r="L244" s="115" t="str">
        <x:v>What business outcome, scale, control, integration and operating model justify choosing managed iot messaging?</x:v>
      </x:c>
      <x:c r="M244" s="115" t="str">
        <x:v>Native integration and speed versus portability, governance effort and total cost.</x:v>
      </x:c>
      <x:c r="N244" s="115" t="n">
        <x:v>3</x:v>
      </x:c>
      <x:c r="O244" s="115" t="str">
        <x:v>Moderate</x:v>
      </x:c>
      <x:c r="P244" s="115" t="str">
        <x:v>1–3 weeks</x:v>
      </x:c>
      <x:c r="Q244" s="115" t="str">
        <x:v>Medium</x:v>
      </x:c>
      <x:c r="R244" s="115" t="str">
        <x:v>AWS IoT Core</x:v>
      </x:c>
      <x:c r="S244" s="115" t="str">
        <x:v>Azure IoT Hub</x:v>
      </x:c>
      <x:c r="T244" s="115" t="str">
        <x:v>Google Cloud partner IoT platforms
Pub/Sub</x:v>
      </x:c>
      <x:c r="U244" s="115" t="n">
        <x:v>3.88</x:v>
      </x:c>
      <x:c r="V244" s="115" t="n">
        <x:v>3.65</x:v>
      </x:c>
      <x:c r="W244" s="115" t="n">
        <x:v>3.06</x:v>
      </x:c>
      <x:c r="X244" s="118" t="str">
        <x:v>AWS</x:v>
      </x:c>
      <x:c r="Y244" s="115" t="str">
        <x:v>Start with AWS when infrastructure breadth, native integration and operational maturity are the main differentiators.</x:v>
      </x:c>
      <x:c r="Z244" s="115" t="str">
        <x:v>Partial</x:v>
      </x:c>
      <x:c r="AA244" s="115" t="str">
        <x:v>Google Cloud retired its first-party IoT Core; current implementations use partners and core platform services.</x:v>
      </x:c>
      <x:c r="AB244" s="115" t="str">
        <x:v>2026-07-12</x:v>
      </x:c>
      <x:c r="AC244" s="115" t="str">
        <x:v>Scored and mapped</x:v>
      </x:c>
      <x:c r="AD244" s="115" t="str">
        <x:v>https://azure.microsoft.com/en-us/products/category</x:v>
      </x:c>
    </x:row>
    <x:row r="245">
      <x:c r="A245" s="115" t="str">
        <x:v>6. Edge, Industry &amp; Specialist</x:v>
      </x:c>
      <x:c r="B245" s="115" t="str">
        <x:v>21. IoT, Edge, OT, Digital Twins, Robotics &amp; Telecom</x:v>
      </x:c>
      <x:c r="C245" s="115" t="str">
        <x:v>IoT, Devices &amp; Industrial Edge</x:v>
      </x:c>
      <x:c r="D245" s="115" t="str">
        <x:v>Adopt &amp; Build</x:v>
      </x:c>
      <x:c r="E245" s="115" t="str">
        <x:v>Security, Privacy &amp; Compliance
Cost &amp; FinOps
Operations &amp; Support
Reliability &amp; Resilience
Performance &amp; Scalability
Sustainability</x:v>
      </x:c>
      <x:c r="F245" s="115" t="str">
        <x:v>10 Edge, IoT &amp; Industry</x:v>
      </x:c>
      <x:c r="G245" s="115" t="str">
        <x:v>IoT &amp; Edge</x:v>
      </x:c>
      <x:c r="H245" s="115" t="str">
        <x:v>Device management</x:v>
      </x:c>
      <x:c r="I245" s="115" t="str">
        <x:v>IoT device management</x:v>
      </x:c>
      <x:c r="J245" s="115" t="str">
        <x:v>Register, organise, monitor and remotely manage device fleets.</x:v>
      </x:c>
      <x:c r="K245" s="115" t="str">
        <x:v>Choose this capability when you need to register, organise, monitor and remotely manage device fleets.</x:v>
      </x:c>
      <x:c r="L245" s="115" t="str">
        <x:v>What business outcome, scale, control, integration and operating model justify choosing iot device management?</x:v>
      </x:c>
      <x:c r="M245" s="115" t="str">
        <x:v>Native integration and speed versus portability, governance effort and total cost.</x:v>
      </x:c>
      <x:c r="N245" s="115" t="n">
        <x:v>3</x:v>
      </x:c>
      <x:c r="O245" s="115" t="str">
        <x:v>Moderate</x:v>
      </x:c>
      <x:c r="P245" s="115" t="str">
        <x:v>1–3 weeks</x:v>
      </x:c>
      <x:c r="Q245" s="115" t="str">
        <x:v>Medium</x:v>
      </x:c>
      <x:c r="R245" s="115" t="str">
        <x:v>AWS IoT Device Management</x:v>
      </x:c>
      <x:c r="S245" s="115" t="str">
        <x:v>Azure IoT Hub Device Provisioning Service</x:v>
      </x:c>
      <x:c r="T245" s="115" t="str">
        <x:v>Google Cloud partner IoT platforms</x:v>
      </x:c>
      <x:c r="U245" s="115" t="n">
        <x:v>3.77</x:v>
      </x:c>
      <x:c r="V245" s="115" t="n">
        <x:v>3.65</x:v>
      </x:c>
      <x:c r="W245" s="115" t="n">
        <x:v>3.06</x:v>
      </x:c>
      <x:c r="X245" s="118" t="str">
        <x:v>Context-dependent tie</x:v>
      </x:c>
      <x:c r="Y245" s="115" t="str">
        <x:v>Scores are close: use ecosystem, data gravity, region, skills, commercials and proof-of-value results to decide.</x:v>
      </x:c>
      <x:c r="Z245" s="115" t="str">
        <x:v>Partial</x:v>
      </x:c>
      <x:c r="AA245" s="115"/>
      <x:c r="AB245" s="115" t="str">
        <x:v>2026-07-12</x:v>
      </x:c>
      <x:c r="AC245" s="115" t="str">
        <x:v>Scored and mapped</x:v>
      </x:c>
      <x:c r="AD245" s="115" t="str">
        <x:v>https://azure.microsoft.com/en-us/products/category</x:v>
      </x:c>
    </x:row>
    <x:row r="246">
      <x:c r="A246" s="115" t="str">
        <x:v>6. Edge, Industry &amp; Specialist</x:v>
      </x:c>
      <x:c r="B246" s="115" t="str">
        <x:v>21. IoT, Edge, OT, Digital Twins, Robotics &amp; Telecom</x:v>
      </x:c>
      <x:c r="C246" s="115" t="str">
        <x:v>IoT, Devices &amp; Industrial Edge</x:v>
      </x:c>
      <x:c r="D246" s="115" t="str">
        <x:v>Adopt &amp; Build</x:v>
      </x:c>
      <x:c r="E246" s="115" t="str">
        <x:v>Security, Privacy &amp; Compliance
Cost &amp; FinOps
Operations &amp; Support
Reliability &amp; Resilience
Performance &amp; Scalability
Sustainability</x:v>
      </x:c>
      <x:c r="F246" s="115" t="str">
        <x:v>10 Edge, IoT &amp; Industry</x:v>
      </x:c>
      <x:c r="G246" s="115" t="str">
        <x:v>IoT &amp; Edge</x:v>
      </x:c>
      <x:c r="H246" s="115" t="str">
        <x:v>IoT security</x:v>
      </x:c>
      <x:c r="I246" s="115" t="str">
        <x:v>IoT security monitoring</x:v>
      </x:c>
      <x:c r="J246" s="115" t="str">
        <x:v>Audit device configurations and detect anomalous IoT behaviour.</x:v>
      </x:c>
      <x:c r="K246" s="115" t="str">
        <x:v>Choose this capability when you need to audit device configurations and detect anomalous iot behaviour.</x:v>
      </x:c>
      <x:c r="L246" s="115" t="str">
        <x:v>What business outcome, scale, control, integration and operating model justify choosing iot security monitoring?</x:v>
      </x:c>
      <x:c r="M246" s="115" t="str">
        <x:v>Native integration and speed versus portability, governance effort and total cost.</x:v>
      </x:c>
      <x:c r="N246" s="115" t="n">
        <x:v>3</x:v>
      </x:c>
      <x:c r="O246" s="115" t="str">
        <x:v>Moderate</x:v>
      </x:c>
      <x:c r="P246" s="115" t="str">
        <x:v>1–3 weeks</x:v>
      </x:c>
      <x:c r="Q246" s="115" t="str">
        <x:v>Medium</x:v>
      </x:c>
      <x:c r="R246" s="115" t="str">
        <x:v>AWS IoT Device Defender</x:v>
      </x:c>
      <x:c r="S246" s="115" t="str">
        <x:v>Microsoft Defender for IoT</x:v>
      </x:c>
      <x:c r="T246" s="115" t="str">
        <x:v>Security Command Center / partner IoT security</x:v>
      </x:c>
      <x:c r="U246" s="115" t="n">
        <x:v>3.77</x:v>
      </x:c>
      <x:c r="V246" s="115" t="n">
        <x:v>3.72</x:v>
      </x:c>
      <x:c r="W246" s="115" t="n">
        <x:v>3.06</x:v>
      </x:c>
      <x:c r="X246" s="118" t="str">
        <x:v>Context-dependent tie</x:v>
      </x:c>
      <x:c r="Y246" s="115" t="str">
        <x:v>Scores are close: use ecosystem, data gravity, region, skills, commercials and proof-of-value results to decide.</x:v>
      </x:c>
      <x:c r="Z246" s="115" t="str">
        <x:v>Partial</x:v>
      </x:c>
      <x:c r="AA246" s="115"/>
      <x:c r="AB246" s="115" t="str">
        <x:v>2026-07-12</x:v>
      </x:c>
      <x:c r="AC246" s="115" t="str">
        <x:v>Scored and mapped</x:v>
      </x:c>
      <x:c r="AD246" s="115" t="str">
        <x:v>https://azure.microsoft.com/en-us/products/category</x:v>
      </x:c>
    </x:row>
    <x:row r="247">
      <x:c r="A247" s="115" t="str">
        <x:v>6. Edge, Industry &amp; Specialist</x:v>
      </x:c>
      <x:c r="B247" s="115" t="str">
        <x:v>21. IoT, Edge, OT, Digital Twins, Robotics &amp; Telecom</x:v>
      </x:c>
      <x:c r="C247" s="115" t="str">
        <x:v>IoT, Devices &amp; Industrial Edge</x:v>
      </x:c>
      <x:c r="D247" s="115" t="str">
        <x:v>Adopt &amp; Build</x:v>
      </x:c>
      <x:c r="E247" s="115" t="str">
        <x:v>Security, Privacy &amp; Compliance
Cost &amp; FinOps
Operations &amp; Support
Reliability &amp; Resilience
Performance &amp; Scalability
Sustainability</x:v>
      </x:c>
      <x:c r="F247" s="115" t="str">
        <x:v>10 Edge, IoT &amp; Industry</x:v>
      </x:c>
      <x:c r="G247" s="115" t="str">
        <x:v>IoT &amp; Edge</x:v>
      </x:c>
      <x:c r="H247" s="115" t="str">
        <x:v>Edge runtime</x:v>
      </x:c>
      <x:c r="I247" s="115" t="str">
        <x:v>IoT edge runtime</x:v>
      </x:c>
      <x:c r="J247" s="115" t="str">
        <x:v>Run local messaging, compute and ML inference on edge devices.</x:v>
      </x:c>
      <x:c r="K247" s="115" t="str">
        <x:v>Choose this capability when you need to run local messaging, compute and ml inference on edge devices.</x:v>
      </x:c>
      <x:c r="L247" s="115" t="str">
        <x:v>What business outcome, scale, control, integration and operating model justify choosing iot edge runtime?</x:v>
      </x:c>
      <x:c r="M247" s="115" t="str">
        <x:v>Native integration and speed versus portability, governance effort and total cost.</x:v>
      </x:c>
      <x:c r="N247" s="115" t="n">
        <x:v>3</x:v>
      </x:c>
      <x:c r="O247" s="115" t="str">
        <x:v>Moderate</x:v>
      </x:c>
      <x:c r="P247" s="115" t="str">
        <x:v>1–3 weeks</x:v>
      </x:c>
      <x:c r="Q247" s="115" t="str">
        <x:v>Medium</x:v>
      </x:c>
      <x:c r="R247" s="115" t="str">
        <x:v>AWS IoT Greengrass</x:v>
      </x:c>
      <x:c r="S247" s="115" t="str">
        <x:v>Azure IoT Edge</x:v>
      </x:c>
      <x:c r="T247" s="115" t="str">
        <x:v>Google Distributed Cloud Edge / partner runtimes</x:v>
      </x:c>
      <x:c r="U247" s="115" t="n">
        <x:v>3.77</x:v>
      </x:c>
      <x:c r="V247" s="115" t="n">
        <x:v>3.65</x:v>
      </x:c>
      <x:c r="W247" s="115" t="n">
        <x:v>3.06</x:v>
      </x:c>
      <x:c r="X247" s="118" t="str">
        <x:v>Context-dependent tie</x:v>
      </x:c>
      <x:c r="Y247" s="115" t="str">
        <x:v>Scores are close: use ecosystem, data gravity, region, skills, commercials and proof-of-value results to decide.</x:v>
      </x:c>
      <x:c r="Z247" s="115" t="str">
        <x:v>Partial</x:v>
      </x:c>
      <x:c r="AA247" s="115"/>
      <x:c r="AB247" s="115" t="str">
        <x:v>2026-07-12</x:v>
      </x:c>
      <x:c r="AC247" s="115" t="str">
        <x:v>Scored and mapped</x:v>
      </x:c>
      <x:c r="AD247" s="115" t="str">
        <x:v>https://azure.microsoft.com/en-us/products/category</x:v>
      </x:c>
    </x:row>
    <x:row r="248">
      <x:c r="A248" s="115" t="str">
        <x:v>6. Edge, Industry &amp; Specialist</x:v>
      </x:c>
      <x:c r="B248" s="115" t="str">
        <x:v>21. IoT, Edge, OT, Digital Twins, Robotics &amp; Telecom</x:v>
      </x:c>
      <x:c r="C248" s="115" t="str">
        <x:v>IoT, Devices &amp; Industrial Edge</x:v>
      </x:c>
      <x:c r="D248" s="115" t="str">
        <x:v>Adopt &amp; Build</x:v>
      </x:c>
      <x:c r="E248" s="115" t="str">
        <x:v>Security, Privacy &amp; Compliance
Cost &amp; FinOps
Operations &amp; Support
Reliability &amp; Resilience
Performance &amp; Scalability
Sustainability</x:v>
      </x:c>
      <x:c r="F248" s="115" t="str">
        <x:v>10 Edge, IoT &amp; Industry</x:v>
      </x:c>
      <x:c r="G248" s="115" t="str">
        <x:v>IoT &amp; Edge</x:v>
      </x:c>
      <x:c r="H248" s="115" t="str">
        <x:v>Digital twins</x:v>
      </x:c>
      <x:c r="I248" s="115" t="str">
        <x:v>Digital twin platform</x:v>
      </x:c>
      <x:c r="J248" s="115" t="str">
        <x:v>Model physical environments, assets and relationships using digital representations.</x:v>
      </x:c>
      <x:c r="K248" s="115" t="str">
        <x:v>Choose this capability when you need to model physical environments, assets and relationships using digital representations.</x:v>
      </x:c>
      <x:c r="L248" s="115" t="str">
        <x:v>What business outcome, scale, control, integration and operating model justify choosing digital twin platform?</x:v>
      </x:c>
      <x:c r="M248" s="115" t="str">
        <x:v>Native integration and speed versus portability, governance effort and total cost.</x:v>
      </x:c>
      <x:c r="N248" s="115" t="n">
        <x:v>3</x:v>
      </x:c>
      <x:c r="O248" s="115" t="str">
        <x:v>Moderate</x:v>
      </x:c>
      <x:c r="P248" s="115" t="str">
        <x:v>1–3 weeks</x:v>
      </x:c>
      <x:c r="Q248" s="115" t="str">
        <x:v>Medium</x:v>
      </x:c>
      <x:c r="R248" s="115" t="str">
        <x:v>AWS IoT TwinMaker</x:v>
      </x:c>
      <x:c r="S248" s="115" t="str">
        <x:v>Azure Digital Twins</x:v>
      </x:c>
      <x:c r="T248" s="115" t="str">
        <x:v>Manufacturing Data Engine / partner digital twins</x:v>
      </x:c>
      <x:c r="U248" s="115" t="n">
        <x:v>3.77</x:v>
      </x:c>
      <x:c r="V248" s="115" t="n">
        <x:v>3.65</x:v>
      </x:c>
      <x:c r="W248" s="115" t="n">
        <x:v>3.06</x:v>
      </x:c>
      <x:c r="X248" s="118" t="str">
        <x:v>Context-dependent tie</x:v>
      </x:c>
      <x:c r="Y248" s="115" t="str">
        <x:v>Scores are close: use ecosystem, data gravity, region, skills, commercials and proof-of-value results to decide.</x:v>
      </x:c>
      <x:c r="Z248" s="115" t="str">
        <x:v>Partial</x:v>
      </x:c>
      <x:c r="AA248" s="115"/>
      <x:c r="AB248" s="115" t="str">
        <x:v>2026-07-12</x:v>
      </x:c>
      <x:c r="AC248" s="115" t="str">
        <x:v>Scored and mapped</x:v>
      </x:c>
      <x:c r="AD248" s="115" t="str">
        <x:v>https://azure.microsoft.com/en-us/products/category</x:v>
      </x:c>
    </x:row>
    <x:row r="249">
      <x:c r="A249" s="115" t="str">
        <x:v>6. Edge, Industry &amp; Specialist</x:v>
      </x:c>
      <x:c r="B249" s="115" t="str">
        <x:v>21. IoT, Edge, OT, Digital Twins, Robotics &amp; Telecom</x:v>
      </x:c>
      <x:c r="C249" s="115" t="str">
        <x:v>IoT, Devices &amp; Industrial Edge</x:v>
      </x:c>
      <x:c r="D249" s="115" t="str">
        <x:v>Adopt &amp; Build</x:v>
      </x:c>
      <x:c r="E249" s="115" t="str">
        <x:v>Security, Privacy &amp; Compliance
Cost &amp; FinOps
Operations &amp; Support
Reliability &amp; Resilience
Performance &amp; Scalability
Sustainability</x:v>
      </x:c>
      <x:c r="F249" s="115" t="str">
        <x:v>10 Edge, IoT &amp; Industry</x:v>
      </x:c>
      <x:c r="G249" s="115" t="str">
        <x:v>IoT &amp; Edge</x:v>
      </x:c>
      <x:c r="H249" s="115" t="str">
        <x:v>Industrial IoT</x:v>
      </x:c>
      <x:c r="I249" s="115" t="str">
        <x:v>Industrial equipment data platform</x:v>
      </x:c>
      <x:c r="J249" s="115" t="str">
        <x:v>Collect, contextualise and monitor industrial equipment and process data.</x:v>
      </x:c>
      <x:c r="K249" s="115" t="str">
        <x:v>Choose this capability when you need to collect, contextualise and monitor industrial equipment and process data.</x:v>
      </x:c>
      <x:c r="L249" s="115" t="str">
        <x:v>What business outcome, scale, control, integration and operating model justify choosing industrial equipment data platform?</x:v>
      </x:c>
      <x:c r="M249" s="115" t="str">
        <x:v>Native integration and speed versus portability, governance effort and total cost.</x:v>
      </x:c>
      <x:c r="N249" s="115" t="n">
        <x:v>3</x:v>
      </x:c>
      <x:c r="O249" s="115" t="str">
        <x:v>Moderate</x:v>
      </x:c>
      <x:c r="P249" s="115" t="str">
        <x:v>1–3 weeks</x:v>
      </x:c>
      <x:c r="Q249" s="115" t="str">
        <x:v>Medium</x:v>
      </x:c>
      <x:c r="R249" s="115" t="str">
        <x:v>AWS IoT SiteWise
Amazon Monitron</x:v>
      </x:c>
      <x:c r="S249" s="115" t="str">
        <x:v>Azure IoT Operations</x:v>
      </x:c>
      <x:c r="T249" s="115" t="str">
        <x:v>Manufacturing Data Engine</x:v>
      </x:c>
      <x:c r="U249" s="115" t="n">
        <x:v>3.83</x:v>
      </x:c>
      <x:c r="V249" s="115" t="n">
        <x:v>3.84</x:v>
      </x:c>
      <x:c r="W249" s="115" t="n">
        <x:v>3.74</x:v>
      </x:c>
      <x:c r="X249" s="118" t="str">
        <x:v>Context-dependent tie</x:v>
      </x:c>
      <x:c r="Y249" s="115" t="str">
        <x:v>Scores are close: use ecosystem, data gravity, region, skills, commercials and proof-of-value results to decide.</x:v>
      </x:c>
      <x:c r="Z249" s="115" t="str">
        <x:v>Close</x:v>
      </x:c>
      <x:c r="AA249" s="115"/>
      <x:c r="AB249" s="115" t="str">
        <x:v>2026-07-12</x:v>
      </x:c>
      <x:c r="AC249" s="115" t="str">
        <x:v>Scored and mapped</x:v>
      </x:c>
      <x:c r="AD249" s="115" t="str">
        <x:v>https://azure.microsoft.com/en-us/products/category</x:v>
      </x:c>
    </x:row>
    <x:row r="250">
      <x:c r="A250" s="115" t="str">
        <x:v>6. Edge, Industry &amp; Specialist</x:v>
      </x:c>
      <x:c r="B250" s="115" t="str">
        <x:v>21. IoT, Edge, OT, Digital Twins, Robotics &amp; Telecom</x:v>
      </x:c>
      <x:c r="C250" s="115" t="str">
        <x:v>IoT, Devices &amp; Industrial Edge</x:v>
      </x:c>
      <x:c r="D250" s="115" t="str">
        <x:v>Adopt &amp; Build</x:v>
      </x:c>
      <x:c r="E250" s="115" t="str">
        <x:v>Security, Privacy &amp; Compliance
Cost &amp; FinOps
Operations &amp; Support
Reliability &amp; Resilience
Performance &amp; Scalability
Sustainability</x:v>
      </x:c>
      <x:c r="F250" s="115" t="str">
        <x:v>10 Edge, IoT &amp; Industry</x:v>
      </x:c>
      <x:c r="G250" s="115" t="str">
        <x:v>IoT &amp; Edge</x:v>
      </x:c>
      <x:c r="H250" s="115" t="str">
        <x:v>Vehicle telemetry</x:v>
      </x:c>
      <x:c r="I250" s="115" t="str">
        <x:v>Connected vehicle data</x:v>
      </x:c>
      <x:c r="J250" s="115" t="str">
        <x:v>Collect and process vehicle telemetry and fleet data.</x:v>
      </x:c>
      <x:c r="K250" s="115" t="str">
        <x:v>Choose this capability when you need to collect and process vehicle telemetry and fleet data.</x:v>
      </x:c>
      <x:c r="L250" s="115" t="str">
        <x:v>What business outcome, scale, control, integration and operating model justify choosing connected vehicle data?</x:v>
      </x:c>
      <x:c r="M250" s="115" t="str">
        <x:v>Native integration and speed versus portability, governance effort and total cost.</x:v>
      </x:c>
      <x:c r="N250" s="115" t="n">
        <x:v>3</x:v>
      </x:c>
      <x:c r="O250" s="115" t="str">
        <x:v>Moderate</x:v>
      </x:c>
      <x:c r="P250" s="115" t="str">
        <x:v>1–3 weeks</x:v>
      </x:c>
      <x:c r="Q250" s="115" t="str">
        <x:v>Medium</x:v>
      </x:c>
      <x:c r="R250" s="115" t="str">
        <x:v>AWS IoT FleetWise</x:v>
      </x:c>
      <x:c r="S250" s="115" t="str">
        <x:v>Azure Data Manager for Agriculture / mobility partner solutions</x:v>
      </x:c>
      <x:c r="T250" s="115" t="str">
        <x:v>Fleet Routing / partner automotive solutions</x:v>
      </x:c>
      <x:c r="U250" s="115" t="n">
        <x:v>3.77</x:v>
      </x:c>
      <x:c r="V250" s="115" t="n">
        <x:v>3.2</x:v>
      </x:c>
      <x:c r="W250" s="115" t="n">
        <x:v>3.1</x:v>
      </x:c>
      <x:c r="X250" s="118" t="str">
        <x:v>AWS</x:v>
      </x:c>
      <x:c r="Y250" s="115" t="str">
        <x:v>Start with AWS when infrastructure breadth, native integration and operational maturity are the main differentiators.</x:v>
      </x:c>
      <x:c r="Z250" s="115" t="str">
        <x:v>Partial</x:v>
      </x:c>
      <x:c r="AA250" s="115"/>
      <x:c r="AB250" s="115" t="str">
        <x:v>2026-07-12</x:v>
      </x:c>
      <x:c r="AC250" s="115" t="str">
        <x:v>Scored and mapped</x:v>
      </x:c>
      <x:c r="AD250" s="115" t="str">
        <x:v>https://azure.microsoft.com/en-us/products/category</x:v>
      </x:c>
    </x:row>
    <x:row r="251">
      <x:c r="A251" s="115" t="str">
        <x:v>6. Edge, Industry &amp; Specialist</x:v>
      </x:c>
      <x:c r="B251" s="115" t="str">
        <x:v>21. IoT, Edge, OT, Digital Twins, Robotics &amp; Telecom</x:v>
      </x:c>
      <x:c r="C251" s="115" t="str">
        <x:v>IoT, Devices &amp; Industrial Edge</x:v>
      </x:c>
      <x:c r="D251" s="115" t="str">
        <x:v>Adopt &amp; Build</x:v>
      </x:c>
      <x:c r="E251" s="115" t="str">
        <x:v>Security, Privacy &amp; Compliance
Cost &amp; FinOps
Operations &amp; Support
Reliability &amp; Resilience
Performance &amp; Scalability
Sustainability</x:v>
      </x:c>
      <x:c r="F251" s="115" t="str">
        <x:v>10 Edge, IoT &amp; Industry</x:v>
      </x:c>
      <x:c r="G251" s="115" t="str">
        <x:v>IoT &amp; Edge</x:v>
      </x:c>
      <x:c r="H251" s="115" t="str">
        <x:v>Event detection</x:v>
      </x:c>
      <x:c r="I251" s="115" t="str">
        <x:v>IoT event detection</x:v>
      </x:c>
      <x:c r="J251" s="115" t="str">
        <x:v>Detect operational states and events from IoT telemetry.</x:v>
      </x:c>
      <x:c r="K251" s="115" t="str">
        <x:v>Choose this capability when you need to detect operational states and events from iot telemetry.</x:v>
      </x:c>
      <x:c r="L251" s="115" t="str">
        <x:v>What business outcome, scale, control, integration and operating model justify choosing iot event detection?</x:v>
      </x:c>
      <x:c r="M251" s="115" t="str">
        <x:v>Native integration and speed versus portability, governance effort and total cost.</x:v>
      </x:c>
      <x:c r="N251" s="115" t="n">
        <x:v>3</x:v>
      </x:c>
      <x:c r="O251" s="115" t="str">
        <x:v>Moderate</x:v>
      </x:c>
      <x:c r="P251" s="115" t="str">
        <x:v>1–3 weeks</x:v>
      </x:c>
      <x:c r="Q251" s="115" t="str">
        <x:v>Medium</x:v>
      </x:c>
      <x:c r="R251" s="115" t="str">
        <x:v>AWS IoT Events</x:v>
      </x:c>
      <x:c r="S251" s="115" t="str">
        <x:v>Azure Stream Analytics
Azure IoT Operations</x:v>
      </x:c>
      <x:c r="T251" s="115" t="str">
        <x:v>Dataflow
Pub/Sub</x:v>
      </x:c>
      <x:c r="U251" s="115" t="n">
        <x:v>3.77</x:v>
      </x:c>
      <x:c r="V251" s="115" t="n">
        <x:v>3.56</x:v>
      </x:c>
      <x:c r="W251" s="115" t="n">
        <x:v>3.43</x:v>
      </x:c>
      <x:c r="X251" s="118" t="str">
        <x:v>AWS</x:v>
      </x:c>
      <x:c r="Y251" s="115" t="str">
        <x:v>Start with AWS when infrastructure breadth, native integration and operational maturity are the main differentiators.</x:v>
      </x:c>
      <x:c r="Z251" s="115" t="str">
        <x:v>Partial</x:v>
      </x:c>
      <x:c r="AA251" s="115"/>
      <x:c r="AB251" s="115" t="str">
        <x:v>2026-07-12</x:v>
      </x:c>
      <x:c r="AC251" s="115" t="str">
        <x:v>Scored and mapped</x:v>
      </x:c>
      <x:c r="AD251" s="115" t="str">
        <x:v>https://azure.microsoft.com/en-us/products/category</x:v>
      </x:c>
    </x:row>
    <x:row r="252">
      <x:c r="A252" s="115" t="str">
        <x:v>6. Edge, Industry &amp; Specialist</x:v>
      </x:c>
      <x:c r="B252" s="115" t="str">
        <x:v>21. IoT, Edge, OT, Digital Twins, Robotics &amp; Telecom</x:v>
      </x:c>
      <x:c r="C252" s="115" t="str">
        <x:v>IoT, Devices &amp; Industrial Edge</x:v>
      </x:c>
      <x:c r="D252" s="115" t="str">
        <x:v>Adopt &amp; Build</x:v>
      </x:c>
      <x:c r="E252" s="115" t="str">
        <x:v>Security, Privacy &amp; Compliance
Cost &amp; FinOps
Operations &amp; Support
Reliability &amp; Resilience
Performance &amp; Scalability
Sustainability</x:v>
      </x:c>
      <x:c r="F252" s="115" t="str">
        <x:v>10 Edge, IoT &amp; Industry</x:v>
      </x:c>
      <x:c r="G252" s="115" t="str">
        <x:v>IoT &amp; Edge</x:v>
      </x:c>
      <x:c r="H252" s="115" t="str">
        <x:v>Embedded OS</x:v>
      </x:c>
      <x:c r="I252" s="115" t="str">
        <x:v>Embedded real-time operating system</x:v>
      </x:c>
      <x:c r="J252" s="115" t="str">
        <x:v>Provide an open real-time operating system and cloud integration for microcontrollers.</x:v>
      </x:c>
      <x:c r="K252" s="115" t="str">
        <x:v>Choose this capability when you need to provide an open real-time operating system and cloud integration for microcontrollers.</x:v>
      </x:c>
      <x:c r="L252" s="115" t="str">
        <x:v>What business outcome, scale, control, integration and operating model justify choosing embedded real-time operating system?</x:v>
      </x:c>
      <x:c r="M252" s="115" t="str">
        <x:v>Native integration and speed versus portability, governance effort and total cost.</x:v>
      </x:c>
      <x:c r="N252" s="115" t="n">
        <x:v>3</x:v>
      </x:c>
      <x:c r="O252" s="115" t="str">
        <x:v>Moderate</x:v>
      </x:c>
      <x:c r="P252" s="115" t="str">
        <x:v>1–3 weeks</x:v>
      </x:c>
      <x:c r="Q252" s="115" t="str">
        <x:v>Medium</x:v>
      </x:c>
      <x:c r="R252" s="115" t="str">
        <x:v>FreeRTOS</x:v>
      </x:c>
      <x:c r="S252" s="115" t="str">
        <x:v>Azure RTOS / Eclipse ThreadX ecosystem</x:v>
      </x:c>
      <x:c r="T252" s="115" t="str">
        <x:v>Zephyr / partner ecosystem</x:v>
      </x:c>
      <x:c r="U252" s="115" t="n">
        <x:v>3.77</x:v>
      </x:c>
      <x:c r="V252" s="115" t="n">
        <x:v>3.2</x:v>
      </x:c>
      <x:c r="W252" s="115" t="n">
        <x:v>3.06</x:v>
      </x:c>
      <x:c r="X252" s="118" t="str">
        <x:v>AWS</x:v>
      </x:c>
      <x:c r="Y252" s="115" t="str">
        <x:v>Start with AWS when infrastructure breadth, native integration and operational maturity are the main differentiators.</x:v>
      </x:c>
      <x:c r="Z252" s="115" t="str">
        <x:v>Partial</x:v>
      </x:c>
      <x:c r="AA252" s="115"/>
      <x:c r="AB252" s="115" t="str">
        <x:v>2026-07-12</x:v>
      </x:c>
      <x:c r="AC252" s="115" t="str">
        <x:v>Scored and mapped</x:v>
      </x:c>
      <x:c r="AD252" s="115" t="str">
        <x:v>https://azure.microsoft.com/en-us/products/category</x:v>
      </x:c>
    </x:row>
    <x:row r="253">
      <x:c r="A253" s="115" t="str">
        <x:v>6. Edge, Industry &amp; Specialist</x:v>
      </x:c>
      <x:c r="B253" s="115" t="str">
        <x:v>22. Media, Communications, Gaming, Geospatial &amp; Spatial Computing</x:v>
      </x:c>
      <x:c r="C253" s="115" t="str">
        <x:v>Media, Communications &amp; Location</x:v>
      </x:c>
      <x:c r="D253" s="115" t="str">
        <x:v>Adopt &amp; Build</x:v>
      </x:c>
      <x:c r="E253" s="115" t="str">
        <x:v>Security, Privacy &amp; Compliance
Cost &amp; FinOps
Operations &amp; Support
Reliability &amp; Resilience
Performance &amp; Scalability</x:v>
      </x:c>
      <x:c r="F253" s="115" t="str">
        <x:v>10 Edge, IoT &amp; Industry</x:v>
      </x:c>
      <x:c r="G253" s="115" t="str">
        <x:v>Media &amp; Communications</x:v>
      </x:c>
      <x:c r="H253" s="115" t="str">
        <x:v>Media transcoding</x:v>
      </x:c>
      <x:c r="I253" s="115" t="str">
        <x:v>File-based media transcoding</x:v>
      </x:c>
      <x:c r="J253" s="115" t="str">
        <x:v>Convert stored audio and video into delivery-ready formats and renditions.</x:v>
      </x:c>
      <x:c r="K253" s="115" t="str">
        <x:v>Choose this capability when you need to convert stored audio and video into delivery-ready formats and renditions.</x:v>
      </x:c>
      <x:c r="L253" s="115" t="str">
        <x:v>What business outcome, scale, control, integration and operating model justify choosing file-based media transcoding?</x:v>
      </x:c>
      <x:c r="M253" s="115" t="str">
        <x:v>Native integration and speed versus portability, governance effort and total cost.</x:v>
      </x:c>
      <x:c r="N253" s="115" t="n">
        <x:v>3</x:v>
      </x:c>
      <x:c r="O253" s="115" t="str">
        <x:v>Moderate</x:v>
      </x:c>
      <x:c r="P253" s="115" t="str">
        <x:v>1–3 weeks</x:v>
      </x:c>
      <x:c r="Q253" s="115" t="str">
        <x:v>Medium</x:v>
      </x:c>
      <x:c r="R253" s="115" t="str">
        <x:v>AWS Elemental MediaConvert
Amazon Elastic Transcoder</x:v>
      </x:c>
      <x:c r="S253" s="115" t="str">
        <x:v>Azure Media Services migration partners
Azure Functions / partner encoders</x:v>
      </x:c>
      <x:c r="T253" s="115" t="str">
        <x:v>Transcoder API</x:v>
      </x:c>
      <x:c r="U253" s="115" t="n">
        <x:v>3.68</x:v>
      </x:c>
      <x:c r="V253" s="115" t="n">
        <x:v>3.2</x:v>
      </x:c>
      <x:c r="W253" s="115" t="n">
        <x:v>3.62</x:v>
      </x:c>
      <x:c r="X253" s="118" t="str">
        <x:v>Context-dependent tie</x:v>
      </x:c>
      <x:c r="Y253" s="115" t="str">
        <x:v>Scores are close: use ecosystem, data gravity, region, skills, commercials and proof-of-value results to decide.</x:v>
      </x:c>
      <x:c r="Z253" s="115" t="str">
        <x:v>Partial</x:v>
      </x:c>
      <x:c r="AA253" s="115" t="str">
        <x:v>Azure Media Services was retired; current Azure architectures use partner solutions and general compute/services.</x:v>
      </x:c>
      <x:c r="AB253" s="115" t="str">
        <x:v>2026-07-12</x:v>
      </x:c>
      <x:c r="AC253" s="115" t="str">
        <x:v>Scored and mapped</x:v>
      </x:c>
      <x:c r="AD253" s="115" t="str">
        <x:v>https://docs.aws.amazon.com/whitepapers/latest/aws-overview/amazon-web-services-cloud-platform.html</x:v>
      </x:c>
    </x:row>
    <x:row r="254">
      <x:c r="A254" s="115" t="str">
        <x:v>6. Edge, Industry &amp; Specialist</x:v>
      </x:c>
      <x:c r="B254" s="115" t="str">
        <x:v>22. Media, Communications, Gaming, Geospatial &amp; Spatial Computing</x:v>
      </x:c>
      <x:c r="C254" s="115" t="str">
        <x:v>Media, Communications &amp; Location</x:v>
      </x:c>
      <x:c r="D254" s="115" t="str">
        <x:v>Adopt &amp; Build</x:v>
      </x:c>
      <x:c r="E254" s="115" t="str">
        <x:v>Security, Privacy &amp; Compliance
Cost &amp; FinOps
Operations &amp; Support
Reliability &amp; Resilience
Performance &amp; Scalability</x:v>
      </x:c>
      <x:c r="F254" s="115" t="str">
        <x:v>10 Edge, IoT &amp; Industry</x:v>
      </x:c>
      <x:c r="G254" s="115" t="str">
        <x:v>Media &amp; Communications</x:v>
      </x:c>
      <x:c r="H254" s="115" t="str">
        <x:v>Live video processing</x:v>
      </x:c>
      <x:c r="I254" s="115" t="str">
        <x:v>Live video encoding</x:v>
      </x:c>
      <x:c r="J254" s="115" t="str">
        <x:v>Encode and transform live video streams for broadcast and online distribution.</x:v>
      </x:c>
      <x:c r="K254" s="115" t="str">
        <x:v>Choose this capability when you need to encode and transform live video streams for broadcast and online distribution.</x:v>
      </x:c>
      <x:c r="L254" s="115" t="str">
        <x:v>What business outcome, scale, control, integration and operating model justify choosing live video encoding?</x:v>
      </x:c>
      <x:c r="M254" s="115" t="str">
        <x:v>Native integration and speed versus portability, governance effort and total cost.</x:v>
      </x:c>
      <x:c r="N254" s="115" t="n">
        <x:v>3</x:v>
      </x:c>
      <x:c r="O254" s="115" t="str">
        <x:v>Moderate</x:v>
      </x:c>
      <x:c r="P254" s="115" t="str">
        <x:v>1–3 weeks</x:v>
      </x:c>
      <x:c r="Q254" s="115" t="str">
        <x:v>Medium</x:v>
      </x:c>
      <x:c r="R254" s="115" t="str">
        <x:v>AWS Elemental MediaLive</x:v>
      </x:c>
      <x:c r="S254" s="115" t="str">
        <x:v>partner live-video services on Azure</x:v>
      </x:c>
      <x:c r="T254" s="115" t="str">
        <x:v>Live Stream API</x:v>
      </x:c>
      <x:c r="U254" s="115" t="n">
        <x:v>3.77</x:v>
      </x:c>
      <x:c r="V254" s="115" t="n">
        <x:v>3.2</x:v>
      </x:c>
      <x:c r="W254" s="115" t="n">
        <x:v>3.62</x:v>
      </x:c>
      <x:c r="X254" s="118" t="str">
        <x:v>AWS</x:v>
      </x:c>
      <x:c r="Y254" s="115" t="str">
        <x:v>Start with AWS when infrastructure breadth, native integration and operational maturity are the main differentiators.</x:v>
      </x:c>
      <x:c r="Z254" s="115" t="str">
        <x:v>Partial</x:v>
      </x:c>
      <x:c r="AA254" s="115"/>
      <x:c r="AB254" s="115" t="str">
        <x:v>2026-07-12</x:v>
      </x:c>
      <x:c r="AC254" s="115" t="str">
        <x:v>Scored and mapped</x:v>
      </x:c>
      <x:c r="AD254" s="115" t="str">
        <x:v>https://docs.aws.amazon.com/whitepapers/latest/aws-overview/amazon-web-services-cloud-platform.html</x:v>
      </x:c>
    </x:row>
    <x:row r="255">
      <x:c r="A255" s="115" t="str">
        <x:v>6. Edge, Industry &amp; Specialist</x:v>
      </x:c>
      <x:c r="B255" s="115" t="str">
        <x:v>22. Media, Communications, Gaming, Geospatial &amp; Spatial Computing</x:v>
      </x:c>
      <x:c r="C255" s="115" t="str">
        <x:v>Media, Communications &amp; Location</x:v>
      </x:c>
      <x:c r="D255" s="115" t="str">
        <x:v>Adopt &amp; Build</x:v>
      </x:c>
      <x:c r="E255" s="115" t="str">
        <x:v>Security, Privacy &amp; Compliance
Cost &amp; FinOps
Operations &amp; Support
Reliability &amp; Resilience
Performance &amp; Scalability</x:v>
      </x:c>
      <x:c r="F255" s="115" t="str">
        <x:v>10 Edge, IoT &amp; Industry</x:v>
      </x:c>
      <x:c r="G255" s="115" t="str">
        <x:v>Media &amp; Communications</x:v>
      </x:c>
      <x:c r="H255" s="115" t="str">
        <x:v>Video packaging</x:v>
      </x:c>
      <x:c r="I255" s="115" t="str">
        <x:v>Video packaging and origin</x:v>
      </x:c>
      <x:c r="J255" s="115" t="str">
        <x:v>Package live or on-demand video into streaming formats and serve manifests.</x:v>
      </x:c>
      <x:c r="K255" s="115" t="str">
        <x:v>Choose this capability when you need to package live or on-demand video into streaming formats and serve manifests.</x:v>
      </x:c>
      <x:c r="L255" s="115" t="str">
        <x:v>What business outcome, scale, control, integration and operating model justify choosing video packaging and origin?</x:v>
      </x:c>
      <x:c r="M255" s="115" t="str">
        <x:v>Native integration and speed versus portability, governance effort and total cost.</x:v>
      </x:c>
      <x:c r="N255" s="115" t="n">
        <x:v>3</x:v>
      </x:c>
      <x:c r="O255" s="115" t="str">
        <x:v>Moderate</x:v>
      </x:c>
      <x:c r="P255" s="115" t="str">
        <x:v>1–3 weeks</x:v>
      </x:c>
      <x:c r="Q255" s="115" t="str">
        <x:v>Medium</x:v>
      </x:c>
      <x:c r="R255" s="115" t="str">
        <x:v>AWS Elemental MediaPackage
AWS Elemental MediaStore</x:v>
      </x:c>
      <x:c r="S255" s="115" t="str">
        <x:v>Azure Storage
Azure Front Door
partner packaging</x:v>
      </x:c>
      <x:c r="T255" s="115" t="str">
        <x:v>Transcoder API
Cloud Storage
Media CDN</x:v>
      </x:c>
      <x:c r="U255" s="115" t="n">
        <x:v>3.68</x:v>
      </x:c>
      <x:c r="V255" s="115" t="n">
        <x:v>3.2</x:v>
      </x:c>
      <x:c r="W255" s="115" t="n">
        <x:v>3.53</x:v>
      </x:c>
      <x:c r="X255" s="118" t="str">
        <x:v>AWS</x:v>
      </x:c>
      <x:c r="Y255" s="115" t="str">
        <x:v>Start with AWS when infrastructure breadth, native integration and operational maturity are the main differentiators.</x:v>
      </x:c>
      <x:c r="Z255" s="115" t="str">
        <x:v>Partial</x:v>
      </x:c>
      <x:c r="AA255" s="115"/>
      <x:c r="AB255" s="115" t="str">
        <x:v>2026-07-12</x:v>
      </x:c>
      <x:c r="AC255" s="115" t="str">
        <x:v>Scored and mapped</x:v>
      </x:c>
      <x:c r="AD255" s="115" t="str">
        <x:v>https://docs.aws.amazon.com/whitepapers/latest/aws-overview/amazon-web-services-cloud-platform.html</x:v>
      </x:c>
    </x:row>
    <x:row r="256">
      <x:c r="A256" s="115" t="str">
        <x:v>6. Edge, Industry &amp; Specialist</x:v>
      </x:c>
      <x:c r="B256" s="115" t="str">
        <x:v>22. Media, Communications, Gaming, Geospatial &amp; Spatial Computing</x:v>
      </x:c>
      <x:c r="C256" s="115" t="str">
        <x:v>Media, Communications &amp; Location</x:v>
      </x:c>
      <x:c r="D256" s="115" t="str">
        <x:v>Adopt &amp; Build</x:v>
      </x:c>
      <x:c r="E256" s="115" t="str">
        <x:v>Security, Privacy &amp; Compliance
Cost &amp; FinOps
Operations &amp; Support
Reliability &amp; Resilience
Performance &amp; Scalability</x:v>
      </x:c>
      <x:c r="F256" s="115" t="str">
        <x:v>10 Edge, IoT &amp; Industry</x:v>
      </x:c>
      <x:c r="G256" s="115" t="str">
        <x:v>Media &amp; Communications</x:v>
      </x:c>
      <x:c r="H256" s="115" t="str">
        <x:v>Video transport</x:v>
      </x:c>
      <x:c r="I256" s="115" t="str">
        <x:v>Live video transport</x:v>
      </x:c>
      <x:c r="J256" s="115" t="str">
        <x:v>Reliably transport high-quality live video between sites, partners and cloud workflows.</x:v>
      </x:c>
      <x:c r="K256" s="115" t="str">
        <x:v>Choose this capability when you need to reliably transport high-quality live video between sites, partners and cloud workflows.</x:v>
      </x:c>
      <x:c r="L256" s="115" t="str">
        <x:v>What business outcome, scale, control, integration and operating model justify choosing live video transport?</x:v>
      </x:c>
      <x:c r="M256" s="115" t="str">
        <x:v>Native integration and speed versus portability, governance effort and total cost.</x:v>
      </x:c>
      <x:c r="N256" s="115" t="n">
        <x:v>3</x:v>
      </x:c>
      <x:c r="O256" s="115" t="str">
        <x:v>Moderate</x:v>
      </x:c>
      <x:c r="P256" s="115" t="str">
        <x:v>1–3 weeks</x:v>
      </x:c>
      <x:c r="Q256" s="115" t="str">
        <x:v>Medium</x:v>
      </x:c>
      <x:c r="R256" s="115" t="str">
        <x:v>AWS Elemental MediaConnect</x:v>
      </x:c>
      <x:c r="S256" s="115" t="str">
        <x:v>Azure ExpressRoute / partner media transport</x:v>
      </x:c>
      <x:c r="T256" s="115" t="str">
        <x:v>Cloud Interconnect / partner media transport</x:v>
      </x:c>
      <x:c r="U256" s="115" t="n">
        <x:v>3.77</x:v>
      </x:c>
      <x:c r="V256" s="115" t="n">
        <x:v>3.2</x:v>
      </x:c>
      <x:c r="W256" s="115" t="n">
        <x:v>3.16</x:v>
      </x:c>
      <x:c r="X256" s="118" t="str">
        <x:v>AWS</x:v>
      </x:c>
      <x:c r="Y256" s="115" t="str">
        <x:v>Start with AWS when infrastructure breadth, native integration and operational maturity are the main differentiators.</x:v>
      </x:c>
      <x:c r="Z256" s="115" t="str">
        <x:v>Partial</x:v>
      </x:c>
      <x:c r="AA256" s="115"/>
      <x:c r="AB256" s="115" t="str">
        <x:v>2026-07-12</x:v>
      </x:c>
      <x:c r="AC256" s="115" t="str">
        <x:v>Scored and mapped</x:v>
      </x:c>
      <x:c r="AD256" s="115" t="str">
        <x:v>https://docs.aws.amazon.com/whitepapers/latest/aws-overview/amazon-web-services-cloud-platform.html</x:v>
      </x:c>
    </x:row>
    <x:row r="257">
      <x:c r="A257" s="115" t="str">
        <x:v>6. Edge, Industry &amp; Specialist</x:v>
      </x:c>
      <x:c r="B257" s="115" t="str">
        <x:v>22. Media, Communications, Gaming, Geospatial &amp; Spatial Computing</x:v>
      </x:c>
      <x:c r="C257" s="115" t="str">
        <x:v>Media, Communications &amp; Location</x:v>
      </x:c>
      <x:c r="D257" s="115" t="str">
        <x:v>Adopt &amp; Build</x:v>
      </x:c>
      <x:c r="E257" s="115" t="str">
        <x:v>Security, Privacy &amp; Compliance
Cost &amp; FinOps
Operations &amp; Support
Reliability &amp; Resilience
Performance &amp; Scalability</x:v>
      </x:c>
      <x:c r="F257" s="115" t="str">
        <x:v>10 Edge, IoT &amp; Industry</x:v>
      </x:c>
      <x:c r="G257" s="115" t="str">
        <x:v>Media &amp; Communications</x:v>
      </x:c>
      <x:c r="H257" s="115" t="str">
        <x:v>Interactive streaming</x:v>
      </x:c>
      <x:c r="I257" s="115" t="str">
        <x:v>Interactive low-latency streaming</x:v>
      </x:c>
      <x:c r="J257" s="115" t="str">
        <x:v>Build low-latency live video experiences with interactive application features.</x:v>
      </x:c>
      <x:c r="K257" s="115" t="str">
        <x:v>Choose this capability when you need to build low-latency live video experiences with interactive application features.</x:v>
      </x:c>
      <x:c r="L257" s="115" t="str">
        <x:v>What business outcome, scale, control, integration and operating model justify choosing interactive low-latency streaming?</x:v>
      </x:c>
      <x:c r="M257" s="115" t="str">
        <x:v>Native integration and speed versus portability, governance effort and total cost.</x:v>
      </x:c>
      <x:c r="N257" s="115" t="n">
        <x:v>3</x:v>
      </x:c>
      <x:c r="O257" s="115" t="str">
        <x:v>Moderate</x:v>
      </x:c>
      <x:c r="P257" s="115" t="str">
        <x:v>1–3 weeks</x:v>
      </x:c>
      <x:c r="Q257" s="115" t="str">
        <x:v>Medium</x:v>
      </x:c>
      <x:c r="R257" s="115" t="str">
        <x:v>Amazon Interactive Video Service</x:v>
      </x:c>
      <x:c r="S257" s="115" t="str">
        <x:v>Azure Communication Services / partner video platforms</x:v>
      </x:c>
      <x:c r="T257" s="115" t="str">
        <x:v>WebRTC on Google Cloud / partner platforms</x:v>
      </x:c>
      <x:c r="U257" s="115" t="n">
        <x:v>3.77</x:v>
      </x:c>
      <x:c r="V257" s="115" t="n">
        <x:v>3.2</x:v>
      </x:c>
      <x:c r="W257" s="115" t="n">
        <x:v>3.28</x:v>
      </x:c>
      <x:c r="X257" s="118" t="str">
        <x:v>AWS</x:v>
      </x:c>
      <x:c r="Y257" s="115" t="str">
        <x:v>Start with AWS when infrastructure breadth, native integration and operational maturity are the main differentiators.</x:v>
      </x:c>
      <x:c r="Z257" s="115" t="str">
        <x:v>Partial</x:v>
      </x:c>
      <x:c r="AA257" s="115"/>
      <x:c r="AB257" s="115" t="str">
        <x:v>2026-07-12</x:v>
      </x:c>
      <x:c r="AC257" s="115" t="str">
        <x:v>Scored and mapped</x:v>
      </x:c>
      <x:c r="AD257" s="115" t="str">
        <x:v>https://docs.aws.amazon.com/whitepapers/latest/aws-overview/amazon-web-services-cloud-platform.html</x:v>
      </x:c>
    </x:row>
    <x:row r="258">
      <x:c r="A258" s="115" t="str">
        <x:v>6. Edge, Industry &amp; Specialist</x:v>
      </x:c>
      <x:c r="B258" s="115" t="str">
        <x:v>22. Media, Communications, Gaming, Geospatial &amp; Spatial Computing</x:v>
      </x:c>
      <x:c r="C258" s="115" t="str">
        <x:v>Media, Communications &amp; Location</x:v>
      </x:c>
      <x:c r="D258" s="115" t="str">
        <x:v>Adopt &amp; Build</x:v>
      </x:c>
      <x:c r="E258" s="115" t="str">
        <x:v>Security, Privacy &amp; Compliance
Cost &amp; FinOps
Operations &amp; Support
Reliability &amp; Resilience
Performance &amp; Scalability</x:v>
      </x:c>
      <x:c r="F258" s="115" t="str">
        <x:v>10 Edge, IoT &amp; Industry</x:v>
      </x:c>
      <x:c r="G258" s="115" t="str">
        <x:v>Media &amp; Communications</x:v>
      </x:c>
      <x:c r="H258" s="115" t="str">
        <x:v>Ad insertion</x:v>
      </x:c>
      <x:c r="I258" s="115" t="str">
        <x:v>Server-side ad insertion</x:v>
      </x:c>
      <x:c r="J258" s="115" t="str">
        <x:v>Personalise and insert advertising into streaming video on the server side.</x:v>
      </x:c>
      <x:c r="K258" s="115" t="str">
        <x:v>Choose this capability when you need to personalise and insert advertising into streaming video on the server side.</x:v>
      </x:c>
      <x:c r="L258" s="115" t="str">
        <x:v>What business outcome, scale, control, integration and operating model justify choosing server-side ad insertion?</x:v>
      </x:c>
      <x:c r="M258" s="115" t="str">
        <x:v>Native integration and speed versus portability, governance effort and total cost.</x:v>
      </x:c>
      <x:c r="N258" s="115" t="n">
        <x:v>3</x:v>
      </x:c>
      <x:c r="O258" s="115" t="str">
        <x:v>Moderate</x:v>
      </x:c>
      <x:c r="P258" s="115" t="str">
        <x:v>1–3 weeks</x:v>
      </x:c>
      <x:c r="Q258" s="115" t="str">
        <x:v>Medium</x:v>
      </x:c>
      <x:c r="R258" s="115" t="str">
        <x:v>AWS Elemental MediaTailor</x:v>
      </x:c>
      <x:c r="S258" s="115" t="str">
        <x:v>partner ad-insertion services on Azure</x:v>
      </x:c>
      <x:c r="T258" s="115" t="str">
        <x:v>Video Stitcher API</x:v>
      </x:c>
      <x:c r="U258" s="115" t="n">
        <x:v>3.77</x:v>
      </x:c>
      <x:c r="V258" s="115" t="n">
        <x:v>3.2</x:v>
      </x:c>
      <x:c r="W258" s="115" t="n">
        <x:v>3.62</x:v>
      </x:c>
      <x:c r="X258" s="118" t="str">
        <x:v>AWS</x:v>
      </x:c>
      <x:c r="Y258" s="115" t="str">
        <x:v>Start with AWS when infrastructure breadth, native integration and operational maturity are the main differentiators.</x:v>
      </x:c>
      <x:c r="Z258" s="115" t="str">
        <x:v>Partial</x:v>
      </x:c>
      <x:c r="AA258" s="115"/>
      <x:c r="AB258" s="115" t="str">
        <x:v>2026-07-12</x:v>
      </x:c>
      <x:c r="AC258" s="115" t="str">
        <x:v>Scored and mapped</x:v>
      </x:c>
      <x:c r="AD258" s="115" t="str">
        <x:v>https://docs.aws.amazon.com/whitepapers/latest/aws-overview/amazon-web-services-cloud-platform.html</x:v>
      </x:c>
    </x:row>
    <x:row r="259">
      <x:c r="A259" s="115" t="str">
        <x:v>6. Edge, Industry &amp; Specialist</x:v>
      </x:c>
      <x:c r="B259" s="115" t="str">
        <x:v>22. Media, Communications, Gaming, Geospatial &amp; Spatial Computing</x:v>
      </x:c>
      <x:c r="C259" s="115" t="str">
        <x:v>Media, Communications &amp; Location</x:v>
      </x:c>
      <x:c r="D259" s="115" t="str">
        <x:v>Adopt &amp; Build</x:v>
      </x:c>
      <x:c r="E259" s="115" t="str">
        <x:v>Security, Privacy &amp; Compliance
Cost &amp; FinOps
Operations &amp; Support
Reliability &amp; Resilience
Performance &amp; Scalability</x:v>
      </x:c>
      <x:c r="F259" s="115" t="str">
        <x:v>10 Edge, IoT &amp; Industry</x:v>
      </x:c>
      <x:c r="G259" s="115" t="str">
        <x:v>Media &amp; Communications</x:v>
      </x:c>
      <x:c r="H259" s="115" t="str">
        <x:v>Communications APIs</x:v>
      </x:c>
      <x:c r="I259" s="115" t="str">
        <x:v>Programmable communications</x:v>
      </x:c>
      <x:c r="J259" s="115" t="str">
        <x:v>Add voice, video, chat, SMS or email communications to applications.</x:v>
      </x:c>
      <x:c r="K259" s="115" t="str">
        <x:v>Choose this capability when you need to add voice, video, chat, sms or email communications to applications.</x:v>
      </x:c>
      <x:c r="L259" s="115" t="str">
        <x:v>What business outcome, scale, control, integration and operating model justify choosing programmable communications?</x:v>
      </x:c>
      <x:c r="M259" s="115" t="str">
        <x:v>Native integration and speed versus portability, governance effort and total cost.</x:v>
      </x:c>
      <x:c r="N259" s="115" t="n">
        <x:v>3</x:v>
      </x:c>
      <x:c r="O259" s="115" t="str">
        <x:v>Moderate</x:v>
      </x:c>
      <x:c r="P259" s="115" t="str">
        <x:v>1–3 weeks</x:v>
      </x:c>
      <x:c r="Q259" s="115" t="str">
        <x:v>Medium</x:v>
      </x:c>
      <x:c r="R259" s="115" t="str">
        <x:v>Amazon Chime SDK
Amazon Connect</x:v>
      </x:c>
      <x:c r="S259" s="115" t="str">
        <x:v>Azure Communication Services</x:v>
      </x:c>
      <x:c r="T259" s="115" t="str">
        <x:v>Google Cloud CCaaS / partner communications APIs</x:v>
      </x:c>
      <x:c r="U259" s="115" t="n">
        <x:v>3.68</x:v>
      </x:c>
      <x:c r="V259" s="115" t="n">
        <x:v>3.65</x:v>
      </x:c>
      <x:c r="W259" s="115" t="n">
        <x:v>3.16</x:v>
      </x:c>
      <x:c r="X259" s="118" t="str">
        <x:v>Context-dependent tie</x:v>
      </x:c>
      <x:c r="Y259" s="115" t="str">
        <x:v>Scores are close: use ecosystem, data gravity, region, skills, commercials and proof-of-value results to decide.</x:v>
      </x:c>
      <x:c r="Z259" s="115" t="str">
        <x:v>Partial</x:v>
      </x:c>
      <x:c r="AA259" s="115"/>
      <x:c r="AB259" s="115" t="str">
        <x:v>2026-07-12</x:v>
      </x:c>
      <x:c r="AC259" s="115" t="str">
        <x:v>Scored and mapped</x:v>
      </x:c>
      <x:c r="AD259" s="115" t="str">
        <x:v>https://docs.aws.amazon.com/whitepapers/latest/aws-overview/amazon-web-services-cloud-platform.html</x:v>
      </x:c>
    </x:row>
    <x:row r="260">
      <x:c r="A260" s="115" t="str">
        <x:v>6. Edge, Industry &amp; Specialist</x:v>
      </x:c>
      <x:c r="B260" s="115" t="str">
        <x:v>22. Media, Communications, Gaming, Geospatial &amp; Spatial Computing</x:v>
      </x:c>
      <x:c r="C260" s="115" t="str">
        <x:v>Media, Communications &amp; Location</x:v>
      </x:c>
      <x:c r="D260" s="115" t="str">
        <x:v>Adopt &amp; Build</x:v>
      </x:c>
      <x:c r="E260" s="115" t="str">
        <x:v>Security, Privacy &amp; Compliance
Cost &amp; FinOps
Operations &amp; Support
Reliability &amp; Resilience
Performance &amp; Scalability</x:v>
      </x:c>
      <x:c r="F260" s="115" t="str">
        <x:v>10 Edge, IoT &amp; Industry</x:v>
      </x:c>
      <x:c r="G260" s="115" t="str">
        <x:v>Media &amp; Communications</x:v>
      </x:c>
      <x:c r="H260" s="115" t="str">
        <x:v>Maps</x:v>
      </x:c>
      <x:c r="I260" s="115" t="str">
        <x:v>Maps and geospatial APIs</x:v>
      </x:c>
      <x:c r="J260" s="115" t="str">
        <x:v>Add maps, geocoding, routing and location features to applications.</x:v>
      </x:c>
      <x:c r="K260" s="115" t="str">
        <x:v>Choose this capability when you need to add maps, geocoding, routing and location features to applications.</x:v>
      </x:c>
      <x:c r="L260" s="115" t="str">
        <x:v>What business outcome, scale, control, integration and operating model justify choosing maps and geospatial apis?</x:v>
      </x:c>
      <x:c r="M260" s="115" t="str">
        <x:v>Native integration and speed versus portability, governance effort and total cost.</x:v>
      </x:c>
      <x:c r="N260" s="115" t="n">
        <x:v>3</x:v>
      </x:c>
      <x:c r="O260" s="115" t="str">
        <x:v>Moderate</x:v>
      </x:c>
      <x:c r="P260" s="115" t="str">
        <x:v>1–3 weeks</x:v>
      </x:c>
      <x:c r="Q260" s="115" t="str">
        <x:v>Medium</x:v>
      </x:c>
      <x:c r="R260" s="115" t="str">
        <x:v>Amazon Location Service</x:v>
      </x:c>
      <x:c r="S260" s="115" t="str">
        <x:v>Azure Maps</x:v>
      </x:c>
      <x:c r="T260" s="115" t="str">
        <x:v>Google Maps Platform</x:v>
      </x:c>
      <x:c r="U260" s="115" t="n">
        <x:v>3.94</x:v>
      </x:c>
      <x:c r="V260" s="115" t="n">
        <x:v>3.84</x:v>
      </x:c>
      <x:c r="W260" s="115" t="n">
        <x:v>3.81</x:v>
      </x:c>
      <x:c r="X260" s="118" t="str">
        <x:v>Context-dependent tie</x:v>
      </x:c>
      <x:c r="Y260" s="115" t="str">
        <x:v>Scores are close: use ecosystem, data gravity, region, skills, commercials and proof-of-value results to decide.</x:v>
      </x:c>
      <x:c r="Z260" s="115" t="str">
        <x:v>Close</x:v>
      </x:c>
      <x:c r="AA260" s="115"/>
      <x:c r="AB260" s="115" t="str">
        <x:v>2026-07-12</x:v>
      </x:c>
      <x:c r="AC260" s="115" t="str">
        <x:v>Scored and mapped</x:v>
      </x:c>
      <x:c r="AD260" s="115" t="str">
        <x:v>https://docs.aws.amazon.com/whitepapers/latest/aws-overview/amazon-web-services-cloud-platform.html</x:v>
      </x:c>
    </x:row>
    <x:row r="261">
      <x:c r="A261" s="115" t="str">
        <x:v>6. Edge, Industry &amp; Specialist</x:v>
      </x:c>
      <x:c r="B261" s="115" t="str">
        <x:v>22. Media, Communications, Gaming, Geospatial &amp; Spatial Computing</x:v>
      </x:c>
      <x:c r="C261" s="115" t="str">
        <x:v>Media, Communications &amp; Location</x:v>
      </x:c>
      <x:c r="D261" s="115" t="str">
        <x:v>Adopt &amp; Build</x:v>
      </x:c>
      <x:c r="E261" s="115" t="str">
        <x:v>Security, Privacy &amp; Compliance
Cost &amp; FinOps
Operations &amp; Support
Reliability &amp; Resilience
Performance &amp; Scalability</x:v>
      </x:c>
      <x:c r="F261" s="115" t="str">
        <x:v>10 Edge, IoT &amp; Industry</x:v>
      </x:c>
      <x:c r="G261" s="115" t="str">
        <x:v>Media &amp; Communications</x:v>
      </x:c>
      <x:c r="H261" s="115" t="str">
        <x:v>Game servers</x:v>
      </x:c>
      <x:c r="I261" s="115" t="str">
        <x:v>Managed multiplayer game servers</x:v>
      </x:c>
      <x:c r="J261" s="115" t="str">
        <x:v>Deploy, scale and operate session-based multiplayer game server fleets.</x:v>
      </x:c>
      <x:c r="K261" s="115" t="str">
        <x:v>Choose this capability when you need to deploy, scale and operate session-based multiplayer game server fleets.</x:v>
      </x:c>
      <x:c r="L261" s="115" t="str">
        <x:v>What business outcome, scale, control, integration and operating model justify choosing managed multiplayer game servers?</x:v>
      </x:c>
      <x:c r="M261" s="115" t="str">
        <x:v>Native integration and speed versus portability, governance effort and total cost.</x:v>
      </x:c>
      <x:c r="N261" s="115" t="n">
        <x:v>3</x:v>
      </x:c>
      <x:c r="O261" s="115" t="str">
        <x:v>Moderate</x:v>
      </x:c>
      <x:c r="P261" s="115" t="str">
        <x:v>1–3 weeks</x:v>
      </x:c>
      <x:c r="Q261" s="115" t="str">
        <x:v>Medium</x:v>
      </x:c>
      <x:c r="R261" s="115" t="str">
        <x:v>Amazon GameLift Servers</x:v>
      </x:c>
      <x:c r="S261" s="115" t="str">
        <x:v>PlayFab Multiplayer Servers</x:v>
      </x:c>
      <x:c r="T261" s="115" t="str">
        <x:v>Agones on Google Kubernetes Engine</x:v>
      </x:c>
      <x:c r="U261" s="115" t="n">
        <x:v>3.94</x:v>
      </x:c>
      <x:c r="V261" s="115" t="n">
        <x:v>3.84</x:v>
      </x:c>
      <x:c r="W261" s="115" t="n">
        <x:v>3.81</x:v>
      </x:c>
      <x:c r="X261" s="118" t="str">
        <x:v>Context-dependent tie</x:v>
      </x:c>
      <x:c r="Y261" s="115" t="str">
        <x:v>Scores are close: use ecosystem, data gravity, region, skills, commercials and proof-of-value results to decide.</x:v>
      </x:c>
      <x:c r="Z261" s="115" t="str">
        <x:v>Close</x:v>
      </x:c>
      <x:c r="AA261" s="115"/>
      <x:c r="AB261" s="115" t="str">
        <x:v>2026-07-12</x:v>
      </x:c>
      <x:c r="AC261" s="115" t="str">
        <x:v>Scored and mapped</x:v>
      </x:c>
      <x:c r="AD261" s="115" t="str">
        <x:v>https://docs.aws.amazon.com/whitepapers/latest/aws-overview/amazon-web-services-cloud-platform.html</x:v>
      </x:c>
    </x:row>
    <x:row r="262">
      <x:c r="A262" s="115" t="str">
        <x:v>4. Applications &amp; Experience</x:v>
      </x:c>
      <x:c r="B262" s="115" t="str">
        <x:v>17. End-User Computing, Collaboration, Contact Centre &amp; Business Applications</x:v>
      </x:c>
      <x:c r="C262" s="115" t="str">
        <x:v>End-User, Collaboration &amp; Contact Centre</x:v>
      </x:c>
      <x:c r="D262" s="115" t="str">
        <x:v>Adopt &amp; Build</x:v>
      </x:c>
      <x:c r="E262" s="115" t="str">
        <x:v>Security, Privacy &amp; Compliance
Cost &amp; FinOps
Operations &amp; Support</x:v>
      </x:c>
      <x:c r="F262" s="115" t="str">
        <x:v>08 Applications, APIs &amp; Integration</x:v>
      </x:c>
      <x:c r="G262" s="115" t="str">
        <x:v>End-User Computing &amp; Business Apps</x:v>
      </x:c>
      <x:c r="H262" s="115" t="str">
        <x:v>Virtual desktops</x:v>
      </x:c>
      <x:c r="I262" s="115" t="str">
        <x:v>Managed virtual desktop</x:v>
      </x:c>
      <x:c r="J262" s="115" t="str">
        <x:v>Deliver cloud-hosted desktops and applications to end users.</x:v>
      </x:c>
      <x:c r="K262" s="115" t="str">
        <x:v>Choose this capability when you need to deliver cloud-hosted desktops and applications to end users.</x:v>
      </x:c>
      <x:c r="L262" s="115" t="str">
        <x:v>What business outcome, scale, control, integration and operating model justify choosing managed virtual desktop?</x:v>
      </x:c>
      <x:c r="M262" s="115" t="str">
        <x:v>Time to market versus platform constraints and vendor lock-in.</x:v>
      </x:c>
      <x:c r="N262" s="115" t="n">
        <x:v>3</x:v>
      </x:c>
      <x:c r="O262" s="115" t="str">
        <x:v>Moderate</x:v>
      </x:c>
      <x:c r="P262" s="115" t="str">
        <x:v>1–3 weeks</x:v>
      </x:c>
      <x:c r="Q262" s="115" t="str">
        <x:v>High</x:v>
      </x:c>
      <x:c r="R262" s="115" t="str">
        <x:v>Amazon WorkSpaces</x:v>
      </x:c>
      <x:c r="S262" s="115" t="str">
        <x:v>Azure Virtual Desktop
Windows 365</x:v>
      </x:c>
      <x:c r="T262" s="115" t="str">
        <x:v>partner virtual desktop solutions on Google Cloud</x:v>
      </x:c>
      <x:c r="U262" s="115" t="n">
        <x:v>3.6</x:v>
      </x:c>
      <x:c r="V262" s="115" t="n">
        <x:v>3.79</x:v>
      </x:c>
      <x:c r="W262" s="115" t="n">
        <x:v>3.12</x:v>
      </x:c>
      <x:c r="X262" s="118" t="str">
        <x:v>Azure</x:v>
      </x:c>
      <x:c r="Y262" s="115" t="str">
        <x:v>Start with Azure when Microsoft identity, security, data, productivity or hybrid integration reduces delivery effort.</x:v>
      </x:c>
      <x:c r="Z262" s="115" t="str">
        <x:v>Partial</x:v>
      </x:c>
      <x:c r="AA262" s="115"/>
      <x:c r="AB262" s="115" t="str">
        <x:v>2026-07-12</x:v>
      </x:c>
      <x:c r="AC262" s="115" t="str">
        <x:v>Scored and mapped</x:v>
      </x:c>
      <x:c r="AD262" s="115" t="str">
        <x:v>https://docs.aws.amazon.com/whitepapers/latest/aws-overview/amazon-web-services-cloud-platform.html</x:v>
      </x:c>
    </x:row>
    <x:row r="263">
      <x:c r="A263" s="115" t="str">
        <x:v>4. Applications &amp; Experience</x:v>
      </x:c>
      <x:c r="B263" s="115" t="str">
        <x:v>17. End-User Computing, Collaboration, Contact Centre &amp; Business Applications</x:v>
      </x:c>
      <x:c r="C263" s="115" t="str">
        <x:v>End-User, Collaboration &amp; Contact Centre</x:v>
      </x:c>
      <x:c r="D263" s="115" t="str">
        <x:v>Adopt &amp; Build</x:v>
      </x:c>
      <x:c r="E263" s="115" t="str">
        <x:v>Security, Privacy &amp; Compliance
Cost &amp; FinOps
Operations &amp; Support</x:v>
      </x:c>
      <x:c r="F263" s="115" t="str">
        <x:v>08 Applications, APIs &amp; Integration</x:v>
      </x:c>
      <x:c r="G263" s="115" t="str">
        <x:v>End-User Computing &amp; Business Apps</x:v>
      </x:c>
      <x:c r="H263" s="115" t="str">
        <x:v>Application streaming</x:v>
      </x:c>
      <x:c r="I263" s="115" t="str">
        <x:v>Application streaming</x:v>
      </x:c>
      <x:c r="J263" s="115" t="str">
        <x:v>Stream centrally managed desktop applications to users without full local installation.</x:v>
      </x:c>
      <x:c r="K263" s="115" t="str">
        <x:v>Choose this capability when you need to stream centrally managed desktop applications to users without full local installation.</x:v>
      </x:c>
      <x:c r="L263" s="115" t="str">
        <x:v>What business outcome, scale, control, integration and operating model justify choosing application streaming?</x:v>
      </x:c>
      <x:c r="M263" s="115" t="str">
        <x:v>Time to market versus platform constraints and vendor lock-in.</x:v>
      </x:c>
      <x:c r="N263" s="115" t="n">
        <x:v>3</x:v>
      </x:c>
      <x:c r="O263" s="115" t="str">
        <x:v>Moderate</x:v>
      </x:c>
      <x:c r="P263" s="115" t="str">
        <x:v>1–3 weeks</x:v>
      </x:c>
      <x:c r="Q263" s="115" t="str">
        <x:v>High</x:v>
      </x:c>
      <x:c r="R263" s="115" t="str">
        <x:v>Amazon WorkSpaces Applications</x:v>
      </x:c>
      <x:c r="S263" s="115" t="str">
        <x:v>Azure Virtual Desktop RemoteApp</x:v>
      </x:c>
      <x:c r="T263" s="115" t="str">
        <x:v>partner application streaming on Google Cloud</x:v>
      </x:c>
      <x:c r="U263" s="115" t="n">
        <x:v>3.78</x:v>
      </x:c>
      <x:c r="V263" s="115" t="n">
        <x:v>4.07</x:v>
      </x:c>
      <x:c r="W263" s="115" t="n">
        <x:v>3.43</x:v>
      </x:c>
      <x:c r="X263" s="118" t="str">
        <x:v>Azure</x:v>
      </x:c>
      <x:c r="Y263" s="115" t="str">
        <x:v>Start with Azure when Microsoft identity, security, data, productivity or hybrid integration reduces delivery effort.</x:v>
      </x:c>
      <x:c r="Z263" s="115" t="str">
        <x:v>Close</x:v>
      </x:c>
      <x:c r="AA263" s="115"/>
      <x:c r="AB263" s="115" t="str">
        <x:v>2026-07-12</x:v>
      </x:c>
      <x:c r="AC263" s="115" t="str">
        <x:v>Scored and mapped</x:v>
      </x:c>
      <x:c r="AD263" s="115" t="str">
        <x:v>https://docs.aws.amazon.com/whitepapers/latest/aws-overview/amazon-web-services-cloud-platform.html</x:v>
      </x:c>
    </x:row>
    <x:row r="264">
      <x:c r="A264" s="115" t="str">
        <x:v>4. Applications &amp; Experience</x:v>
      </x:c>
      <x:c r="B264" s="115" t="str">
        <x:v>17. End-User Computing, Collaboration, Contact Centre &amp; Business Applications</x:v>
      </x:c>
      <x:c r="C264" s="115" t="str">
        <x:v>End-User, Collaboration &amp; Contact Centre</x:v>
      </x:c>
      <x:c r="D264" s="115" t="str">
        <x:v>Adopt &amp; Build</x:v>
      </x:c>
      <x:c r="E264" s="115" t="str">
        <x:v>Security, Privacy &amp; Compliance
Cost &amp; FinOps
Operations &amp; Support</x:v>
      </x:c>
      <x:c r="F264" s="115" t="str">
        <x:v>08 Applications, APIs &amp; Integration</x:v>
      </x:c>
      <x:c r="G264" s="115" t="str">
        <x:v>End-User Computing &amp; Business Apps</x:v>
      </x:c>
      <x:c r="H264" s="115" t="str">
        <x:v>Contact centre</x:v>
      </x:c>
      <x:c r="I264" s="115" t="str">
        <x:v>Cloud contact centre</x:v>
      </x:c>
      <x:c r="J264" s="115" t="str">
        <x:v>Provide omnichannel routing, agent desktops, analytics and automation for customer service.</x:v>
      </x:c>
      <x:c r="K264" s="115" t="str">
        <x:v>Choose this capability when you need to provide omnichannel routing, agent desktops, analytics and automation for customer service.</x:v>
      </x:c>
      <x:c r="L264" s="115" t="str">
        <x:v>What business outcome, scale, control, integration and operating model justify choosing cloud contact centre?</x:v>
      </x:c>
      <x:c r="M264" s="115" t="str">
        <x:v>Time to market versus platform constraints and vendor lock-in.</x:v>
      </x:c>
      <x:c r="N264" s="115" t="n">
        <x:v>3</x:v>
      </x:c>
      <x:c r="O264" s="115" t="str">
        <x:v>Moderate</x:v>
      </x:c>
      <x:c r="P264" s="115" t="str">
        <x:v>1–3 weeks</x:v>
      </x:c>
      <x:c r="Q264" s="115" t="str">
        <x:v>High</x:v>
      </x:c>
      <x:c r="R264" s="115" t="str">
        <x:v>Amazon Connect</x:v>
      </x:c>
      <x:c r="S264" s="115" t="str">
        <x:v>Dynamics 365 Contact Center
Azure Communication Services</x:v>
      </x:c>
      <x:c r="T264" s="115" t="str">
        <x:v>Google Cloud CCaaS</x:v>
      </x:c>
      <x:c r="U264" s="115" t="n">
        <x:v>3.78</x:v>
      </x:c>
      <x:c r="V264" s="115" t="n">
        <x:v>3.96</x:v>
      </x:c>
      <x:c r="W264" s="115" t="n">
        <x:v>3.77</x:v>
      </x:c>
      <x:c r="X264" s="118" t="str">
        <x:v>Azure</x:v>
      </x:c>
      <x:c r="Y264" s="115" t="str">
        <x:v>Start with Azure when Microsoft identity, security, data, productivity or hybrid integration reduces delivery effort.</x:v>
      </x:c>
      <x:c r="Z264" s="115" t="str">
        <x:v>Close</x:v>
      </x:c>
      <x:c r="AA264" s="115"/>
      <x:c r="AB264" s="115" t="str">
        <x:v>2026-07-12</x:v>
      </x:c>
      <x:c r="AC264" s="115" t="str">
        <x:v>Scored and mapped</x:v>
      </x:c>
      <x:c r="AD264" s="115" t="str">
        <x:v>https://docs.aws.amazon.com/whitepapers/latest/aws-overview/amazon-web-services-cloud-platform.html</x:v>
      </x:c>
    </x:row>
    <x:row r="265">
      <x:c r="A265" s="115" t="str">
        <x:v>4. Applications &amp; Experience</x:v>
      </x:c>
      <x:c r="B265" s="115" t="str">
        <x:v>17. End-User Computing, Collaboration, Contact Centre &amp; Business Applications</x:v>
      </x:c>
      <x:c r="C265" s="115" t="str">
        <x:v>End-User, Collaboration &amp; Contact Centre</x:v>
      </x:c>
      <x:c r="D265" s="115" t="str">
        <x:v>Adopt &amp; Build</x:v>
      </x:c>
      <x:c r="E265" s="115" t="str">
        <x:v>Security, Privacy &amp; Compliance
Cost &amp; FinOps
Operations &amp; Support</x:v>
      </x:c>
      <x:c r="F265" s="115" t="str">
        <x:v>08 Applications, APIs &amp; Integration</x:v>
      </x:c>
      <x:c r="G265" s="115" t="str">
        <x:v>End-User Computing &amp; Business Apps</x:v>
      </x:c>
      <x:c r="H265" s="115" t="str">
        <x:v>Business email</x:v>
      </x:c>
      <x:c r="I265" s="115" t="str">
        <x:v>Managed business email</x:v>
      </x:c>
      <x:c r="J265" s="115" t="str">
        <x:v>Host managed organisational email and calendaring.</x:v>
      </x:c>
      <x:c r="K265" s="115" t="str">
        <x:v>Choose this capability when you need to host managed organisational email and calendaring.</x:v>
      </x:c>
      <x:c r="L265" s="115" t="str">
        <x:v>What business outcome, scale, control, integration and operating model justify choosing managed business email?</x:v>
      </x:c>
      <x:c r="M265" s="115" t="str">
        <x:v>Time to market versus platform constraints and vendor lock-in.</x:v>
      </x:c>
      <x:c r="N265" s="115" t="n">
        <x:v>3</x:v>
      </x:c>
      <x:c r="O265" s="115" t="str">
        <x:v>Moderate</x:v>
      </x:c>
      <x:c r="P265" s="115" t="str">
        <x:v>1–3 weeks</x:v>
      </x:c>
      <x:c r="Q265" s="115" t="str">
        <x:v>High</x:v>
      </x:c>
      <x:c r="R265" s="115" t="str">
        <x:v>Amazon WorkMail</x:v>
      </x:c>
      <x:c r="S265" s="115" t="str">
        <x:v>Microsoft Exchange Online</x:v>
      </x:c>
      <x:c r="T265" s="115" t="str">
        <x:v>Google Workspace Gmail</x:v>
      </x:c>
      <x:c r="U265" s="115" t="n">
        <x:v>3.85</x:v>
      </x:c>
      <x:c r="V265" s="115" t="n">
        <x:v>4.13</x:v>
      </x:c>
      <x:c r="W265" s="115" t="n">
        <x:v>3.87</x:v>
      </x:c>
      <x:c r="X265" s="118" t="str">
        <x:v>Azure</x:v>
      </x:c>
      <x:c r="Y265" s="115" t="str">
        <x:v>Start with Azure when Microsoft identity, security, data, productivity or hybrid integration reduces delivery effort.</x:v>
      </x:c>
      <x:c r="Z265" s="115" t="str">
        <x:v>Exact</x:v>
      </x:c>
      <x:c r="AA265" s="115" t="str">
        <x:v>Microsoft 365 and Google Workspace sit outside the core Azure/GCP infrastructure catalogues but are the closest provider alternatives.</x:v>
      </x:c>
      <x:c r="AB265" s="115" t="str">
        <x:v>2026-07-12</x:v>
      </x:c>
      <x:c r="AC265" s="115" t="str">
        <x:v>Scored and mapped</x:v>
      </x:c>
      <x:c r="AD265" s="115" t="str">
        <x:v>https://docs.aws.amazon.com/whitepapers/latest/aws-overview/amazon-web-services-cloud-platform.html</x:v>
      </x:c>
    </x:row>
    <x:row r="266">
      <x:c r="A266" s="115" t="str">
        <x:v>4. Applications &amp; Experience</x:v>
      </x:c>
      <x:c r="B266" s="115" t="str">
        <x:v>17. End-User Computing, Collaboration, Contact Centre &amp; Business Applications</x:v>
      </x:c>
      <x:c r="C266" s="115" t="str">
        <x:v>End-User, Collaboration &amp; Contact Centre</x:v>
      </x:c>
      <x:c r="D266" s="115" t="str">
        <x:v>Adopt &amp; Build</x:v>
      </x:c>
      <x:c r="E266" s="115" t="str">
        <x:v>Security, Privacy &amp; Compliance
Cost &amp; FinOps
Operations &amp; Support</x:v>
      </x:c>
      <x:c r="F266" s="115" t="str">
        <x:v>08 Applications, APIs &amp; Integration</x:v>
      </x:c>
      <x:c r="G266" s="115" t="str">
        <x:v>End-User Computing &amp; Business Apps</x:v>
      </x:c>
      <x:c r="H266" s="115" t="str">
        <x:v>Collaboration</x:v>
      </x:c>
      <x:c r="I266" s="115" t="str">
        <x:v>Business collaboration</x:v>
      </x:c>
      <x:c r="J266" s="115" t="str">
        <x:v>Provide meetings, chat, content collaboration and productivity capabilities.</x:v>
      </x:c>
      <x:c r="K266" s="115" t="str">
        <x:v>Choose this capability when you need to provide meetings, chat, content collaboration and productivity capabilities.</x:v>
      </x:c>
      <x:c r="L266" s="115" t="str">
        <x:v>What business outcome, scale, control, integration and operating model justify choosing business collaboration?</x:v>
      </x:c>
      <x:c r="M266" s="115" t="str">
        <x:v>Time to market versus platform constraints and vendor lock-in.</x:v>
      </x:c>
      <x:c r="N266" s="115" t="n">
        <x:v>3</x:v>
      </x:c>
      <x:c r="O266" s="115" t="str">
        <x:v>Moderate</x:v>
      </x:c>
      <x:c r="P266" s="115" t="str">
        <x:v>1–3 weeks</x:v>
      </x:c>
      <x:c r="Q266" s="115" t="str">
        <x:v>High</x:v>
      </x:c>
      <x:c r="R266" s="115" t="str">
        <x:v>Amazon Chime
Amazon WorkDocs</x:v>
      </x:c>
      <x:c r="S266" s="115" t="str">
        <x:v>Microsoft Teams
SharePoint Online</x:v>
      </x:c>
      <x:c r="T266" s="115" t="str">
        <x:v>Google Workspace</x:v>
      </x:c>
      <x:c r="U266" s="115" t="n">
        <x:v>3.51</x:v>
      </x:c>
      <x:c r="V266" s="115" t="n">
        <x:v>3.79</x:v>
      </x:c>
      <x:c r="W266" s="115" t="n">
        <x:v>3.58</x:v>
      </x:c>
      <x:c r="X266" s="118" t="str">
        <x:v>Azure</x:v>
      </x:c>
      <x:c r="Y266" s="115" t="str">
        <x:v>Start with Azure when Microsoft identity, security, data, productivity or hybrid integration reduces delivery effort.</x:v>
      </x:c>
      <x:c r="Z266" s="115" t="str">
        <x:v>Partial</x:v>
      </x:c>
      <x:c r="AA266" s="115"/>
      <x:c r="AB266" s="115" t="str">
        <x:v>2026-07-12</x:v>
      </x:c>
      <x:c r="AC266" s="115" t="str">
        <x:v>Scored and mapped</x:v>
      </x:c>
      <x:c r="AD266" s="115" t="str">
        <x:v>https://docs.aws.amazon.com/whitepapers/latest/aws-overview/amazon-web-services-cloud-platform.html</x:v>
      </x:c>
    </x:row>
    <x:row r="267">
      <x:c r="A267" s="115" t="str">
        <x:v>6. Edge, Industry &amp; Specialist</x:v>
      </x:c>
      <x:c r="B267" s="115" t="str">
        <x:v>24. Emerging Technologies: Quantum, Blockchain &amp; Satellite</x:v>
      </x:c>
      <x:c r="C267" s="115" t="str">
        <x:v>Industry &amp; Sovereign Solutions</x:v>
      </x:c>
      <x:c r="D267" s="115" t="str">
        <x:v>Adopt &amp; Build</x:v>
      </x:c>
      <x:c r="E267" s="115" t="str">
        <x:v>Security, Privacy &amp; Compliance
Cost &amp; FinOps
Operations &amp; Support</x:v>
      </x:c>
      <x:c r="F267" s="115" t="str">
        <x:v>10 Edge, IoT &amp; Industry</x:v>
      </x:c>
      <x:c r="G267" s="115" t="str">
        <x:v>Industry &amp; Specialist</x:v>
      </x:c>
      <x:c r="H267" s="115" t="str">
        <x:v>Satellite</x:v>
      </x:c>
      <x:c r="I267" s="115" t="str">
        <x:v>Ground-station as a service</x:v>
      </x:c>
      <x:c r="J267" s="115" t="str">
        <x:v>Schedule satellite contacts and downlink data through managed ground-station infrastructure.</x:v>
      </x:c>
      <x:c r="K267" s="115" t="str">
        <x:v>Choose this capability when you need to schedule satellite contacts and downlink data through managed ground-station infrastructure.</x:v>
      </x:c>
      <x:c r="L267" s="115" t="str">
        <x:v>What business outcome, scale, control, integration and operating model justify choosing ground-station as a service?</x:v>
      </x:c>
      <x:c r="M267" s="115" t="str">
        <x:v>Native integration and speed versus portability, governance effort and total cost.</x:v>
      </x:c>
      <x:c r="N267" s="115" t="n">
        <x:v>3</x:v>
      </x:c>
      <x:c r="O267" s="115" t="str">
        <x:v>Moderate</x:v>
      </x:c>
      <x:c r="P267" s="115" t="str">
        <x:v>1–3 weeks</x:v>
      </x:c>
      <x:c r="Q267" s="115" t="str">
        <x:v>Medium</x:v>
      </x:c>
      <x:c r="R267" s="115" t="str">
        <x:v>AWS Ground Station</x:v>
      </x:c>
      <x:c r="S267" s="115" t="str">
        <x:v>Azure Orbital Ground Station</x:v>
      </x:c>
      <x:c r="T267" s="115" t="str">
        <x:v>Google Cloud Ground Station partner ecosystem</x:v>
      </x:c>
      <x:c r="U267" s="115" t="n">
        <x:v>3.94</x:v>
      </x:c>
      <x:c r="V267" s="115" t="n">
        <x:v>3.84</x:v>
      </x:c>
      <x:c r="W267" s="115" t="n">
        <x:v>3.34</x:v>
      </x:c>
      <x:c r="X267" s="118" t="str">
        <x:v>Context-dependent tie</x:v>
      </x:c>
      <x:c r="Y267" s="115" t="str">
        <x:v>Scores are close: use ecosystem, data gravity, region, skills, commercials and proof-of-value results to decide.</x:v>
      </x:c>
      <x:c r="Z267" s="115" t="str">
        <x:v>Close</x:v>
      </x:c>
      <x:c r="AA267" s="115"/>
      <x:c r="AB267" s="115" t="str">
        <x:v>2026-07-12</x:v>
      </x:c>
      <x:c r="AC267" s="115" t="str">
        <x:v>Scored and mapped</x:v>
      </x:c>
      <x:c r="AD267" s="115" t="str">
        <x:v>https://docs.aws.amazon.com/whitepapers/latest/aws-overview/amazon-web-services-cloud-platform.html</x:v>
      </x:c>
    </x:row>
    <x:row r="268">
      <x:c r="A268" s="115" t="str">
        <x:v>6. Edge, Industry &amp; Specialist</x:v>
      </x:c>
      <x:c r="B268" s="115" t="str">
        <x:v>23. Industry Clouds, Sovereign, Enterprise Apps &amp; Regulated Workloads</x:v>
      </x:c>
      <x:c r="C268" s="115" t="str">
        <x:v>Industry &amp; Sovereign Solutions</x:v>
      </x:c>
      <x:c r="D268" s="115" t="str">
        <x:v>Adopt &amp; Build</x:v>
      </x:c>
      <x:c r="E268" s="115" t="str">
        <x:v>Security, Privacy &amp; Compliance
Cost &amp; FinOps
Operations &amp; Support
Data Residency &amp; Sovereignty</x:v>
      </x:c>
      <x:c r="F268" s="115" t="str">
        <x:v>10 Edge, IoT &amp; Industry</x:v>
      </x:c>
      <x:c r="G268" s="115" t="str">
        <x:v>Industry &amp; Specialist</x:v>
      </x:c>
      <x:c r="H268" s="115" t="str">
        <x:v>Financial crime</x:v>
      </x:c>
      <x:c r="I268" s="115" t="str">
        <x:v>Anti-money-laundering AI</x:v>
      </x:c>
      <x:c r="J268" s="115" t="str">
        <x:v>Detect suspicious financial activity using specialised data and AI capabilities.</x:v>
      </x:c>
      <x:c r="K268" s="115" t="str">
        <x:v>Choose this capability when you need to detect suspicious financial activity using specialised data and ai capabilities.</x:v>
      </x:c>
      <x:c r="L268" s="115" t="str">
        <x:v>What business outcome, scale, control, integration and operating model justify choosing anti-money-laundering ai?</x:v>
      </x:c>
      <x:c r="M268" s="115" t="str">
        <x:v>Native integration and speed versus portability, governance effort and total cost.</x:v>
      </x:c>
      <x:c r="N268" s="115" t="n">
        <x:v>3</x:v>
      </x:c>
      <x:c r="O268" s="115" t="str">
        <x:v>Moderate</x:v>
      </x:c>
      <x:c r="P268" s="115" t="str">
        <x:v>1–3 weeks</x:v>
      </x:c>
      <x:c r="Q268" s="115" t="str">
        <x:v>Medium</x:v>
      </x:c>
      <x:c r="R268" s="115" t="str">
        <x:v>Amazon Fraud Detector
SageMaker AI</x:v>
      </x:c>
      <x:c r="S268" s="115" t="str">
        <x:v>Microsoft Cloud for Financial Services
Azure Machine Learning</x:v>
      </x:c>
      <x:c r="T268" s="115" t="str">
        <x:v>Anti Money Laundering AI</x:v>
      </x:c>
      <x:c r="U268" s="115" t="n">
        <x:v>3.68</x:v>
      </x:c>
      <x:c r="V268" s="115" t="n">
        <x:v>3.56</x:v>
      </x:c>
      <x:c r="W268" s="115" t="n">
        <x:v>3.66</x:v>
      </x:c>
      <x:c r="X268" s="118" t="str">
        <x:v>Context-dependent tie</x:v>
      </x:c>
      <x:c r="Y268" s="115" t="str">
        <x:v>Scores are close: use ecosystem, data gravity, region, skills, commercials and proof-of-value results to decide.</x:v>
      </x:c>
      <x:c r="Z268" s="115" t="str">
        <x:v>Partial</x:v>
      </x:c>
      <x:c r="AA268" s="115"/>
      <x:c r="AB268" s="115" t="str">
        <x:v>2026-07-12</x:v>
      </x:c>
      <x:c r="AC268" s="115" t="str">
        <x:v>Scored and mapped</x:v>
      </x:c>
      <x:c r="AD268" s="115" t="str">
        <x:v>https://docs.cloud.google.com/docs/product-list</x:v>
      </x:c>
    </x:row>
    <x:row r="269">
      <x:c r="A269" s="115" t="str">
        <x:v>6. Edge, Industry &amp; Specialist</x:v>
      </x:c>
      <x:c r="B269" s="115" t="str">
        <x:v>23. Industry Clouds, Sovereign, Enterprise Apps &amp; Regulated Workloads</x:v>
      </x:c>
      <x:c r="C269" s="115" t="str">
        <x:v>Industry &amp; Sovereign Solutions</x:v>
      </x:c>
      <x:c r="D269" s="115" t="str">
        <x:v>Adopt &amp; Build</x:v>
      </x:c>
      <x:c r="E269" s="115" t="str">
        <x:v>Security, Privacy &amp; Compliance
Cost &amp; FinOps
Operations &amp; Support
Data Residency &amp; Sovereignty</x:v>
      </x:c>
      <x:c r="F269" s="115" t="str">
        <x:v>10 Edge, IoT &amp; Industry</x:v>
      </x:c>
      <x:c r="G269" s="115" t="str">
        <x:v>Industry &amp; Specialist</x:v>
      </x:c>
      <x:c r="H269" s="115" t="str">
        <x:v>Retail search</x:v>
      </x:c>
      <x:c r="I269" s="115" t="str">
        <x:v>Retail product search and discovery</x:v>
      </x:c>
      <x:c r="J269" s="115" t="str">
        <x:v>Provide semantic product search, recommendations and retail discovery.</x:v>
      </x:c>
      <x:c r="K269" s="115" t="str">
        <x:v>Choose this capability when you need to provide semantic product search, recommendations and retail discovery.</x:v>
      </x:c>
      <x:c r="L269" s="115" t="str">
        <x:v>What business outcome, scale, control, integration and operating model justify choosing retail product search and discovery?</x:v>
      </x:c>
      <x:c r="M269" s="115" t="str">
        <x:v>Native integration and speed versus portability, governance effort and total cost.</x:v>
      </x:c>
      <x:c r="N269" s="115" t="n">
        <x:v>3</x:v>
      </x:c>
      <x:c r="O269" s="115" t="str">
        <x:v>Moderate</x:v>
      </x:c>
      <x:c r="P269" s="115" t="str">
        <x:v>1–3 weeks</x:v>
      </x:c>
      <x:c r="Q269" s="115" t="str">
        <x:v>Medium</x:v>
      </x:c>
      <x:c r="R269" s="115" t="str">
        <x:v>Amazon Personalize
Amazon OpenSearch Service</x:v>
      </x:c>
      <x:c r="S269" s="115" t="str">
        <x:v>Azure AI Search
Dynamics 365 Commerce</x:v>
      </x:c>
      <x:c r="T269" s="115" t="str">
        <x:v>AI Commerce Search
Vision API Product Search</x:v>
      </x:c>
      <x:c r="U269" s="115" t="n">
        <x:v>3.83</x:v>
      </x:c>
      <x:c r="V269" s="115" t="n">
        <x:v>3.75</x:v>
      </x:c>
      <x:c r="W269" s="115" t="n">
        <x:v>3.74</x:v>
      </x:c>
      <x:c r="X269" s="118" t="str">
        <x:v>Context-dependent tie</x:v>
      </x:c>
      <x:c r="Y269" s="115" t="str">
        <x:v>Scores are close: use ecosystem, data gravity, region, skills, commercials and proof-of-value results to decide.</x:v>
      </x:c>
      <x:c r="Z269" s="115" t="str">
        <x:v>Close</x:v>
      </x:c>
      <x:c r="AA269" s="115"/>
      <x:c r="AB269" s="115" t="str">
        <x:v>2026-07-12</x:v>
      </x:c>
      <x:c r="AC269" s="115" t="str">
        <x:v>Scored and mapped</x:v>
      </x:c>
      <x:c r="AD269" s="115" t="str">
        <x:v>https://docs.cloud.google.com/docs/product-list</x:v>
      </x:c>
    </x:row>
    <x:row r="270">
      <x:c r="A270" s="115" t="str">
        <x:v>6. Edge, Industry &amp; Specialist</x:v>
      </x:c>
      <x:c r="B270" s="115" t="str">
        <x:v>23. Industry Clouds, Sovereign, Enterprise Apps &amp; Regulated Workloads</x:v>
      </x:c>
      <x:c r="C270" s="115" t="str">
        <x:v>Industry &amp; Sovereign Solutions</x:v>
      </x:c>
      <x:c r="D270" s="115" t="str">
        <x:v>Adopt &amp; Build</x:v>
      </x:c>
      <x:c r="E270" s="115" t="str">
        <x:v>Security, Privacy &amp; Compliance
Cost &amp; FinOps
Operations &amp; Support
Data Residency &amp; Sovereignty</x:v>
      </x:c>
      <x:c r="F270" s="115" t="str">
        <x:v>10 Edge, IoT &amp; Industry</x:v>
      </x:c>
      <x:c r="G270" s="115" t="str">
        <x:v>Industry &amp; Specialist</x:v>
      </x:c>
      <x:c r="H270" s="115" t="str">
        <x:v>Talent matching</x:v>
      </x:c>
      <x:c r="I270" s="115" t="str">
        <x:v>Talent and job matching</x:v>
      </x:c>
      <x:c r="J270" s="115" t="str">
        <x:v>Match candidates and jobs using specialised search and machine learning.</x:v>
      </x:c>
      <x:c r="K270" s="115" t="str">
        <x:v>Choose this capability when you need to match candidates and jobs using specialised search and machine learning.</x:v>
      </x:c>
      <x:c r="L270" s="115" t="str">
        <x:v>What business outcome, scale, control, integration and operating model justify choosing talent and job matching?</x:v>
      </x:c>
      <x:c r="M270" s="115" t="str">
        <x:v>Native integration and speed versus portability, governance effort and total cost.</x:v>
      </x:c>
      <x:c r="N270" s="115" t="n">
        <x:v>3</x:v>
      </x:c>
      <x:c r="O270" s="115" t="str">
        <x:v>Moderate</x:v>
      </x:c>
      <x:c r="P270" s="115" t="str">
        <x:v>1–3 weeks</x:v>
      </x:c>
      <x:c r="Q270" s="115" t="str">
        <x:v>Medium</x:v>
      </x:c>
      <x:c r="R270" s="115" t="str">
        <x:v>Amazon Kendra
SageMaker AI</x:v>
      </x:c>
      <x:c r="S270" s="115" t="str">
        <x:v>Azure AI Search
Azure Machine Learning</x:v>
      </x:c>
      <x:c r="T270" s="115" t="str">
        <x:v>Cloud Talent Solution</x:v>
      </x:c>
      <x:c r="U270" s="115" t="n">
        <x:v>3.68</x:v>
      </x:c>
      <x:c r="V270" s="115" t="n">
        <x:v>3.56</x:v>
      </x:c>
      <x:c r="W270" s="115" t="n">
        <x:v>3.62</x:v>
      </x:c>
      <x:c r="X270" s="118" t="str">
        <x:v>Context-dependent tie</x:v>
      </x:c>
      <x:c r="Y270" s="115" t="str">
        <x:v>Scores are close: use ecosystem, data gravity, region, skills, commercials and proof-of-value results to decide.</x:v>
      </x:c>
      <x:c r="Z270" s="115" t="str">
        <x:v>Partial</x:v>
      </x:c>
      <x:c r="AA270" s="115"/>
      <x:c r="AB270" s="115" t="str">
        <x:v>2026-07-12</x:v>
      </x:c>
      <x:c r="AC270" s="115" t="str">
        <x:v>Scored and mapped</x:v>
      </x:c>
      <x:c r="AD270" s="115" t="str">
        <x:v>https://docs.cloud.google.com/docs/product-list</x:v>
      </x:c>
    </x:row>
    <x:row r="271">
      <x:c r="A271" s="115" t="str">
        <x:v>6. Edge, Industry &amp; Specialist</x:v>
      </x:c>
      <x:c r="B271" s="115" t="str">
        <x:v>23. Industry Clouds, Sovereign, Enterprise Apps &amp; Regulated Workloads</x:v>
      </x:c>
      <x:c r="C271" s="115" t="str">
        <x:v>Industry &amp; Sovereign Solutions</x:v>
      </x:c>
      <x:c r="D271" s="115" t="str">
        <x:v>Adopt &amp; Build</x:v>
      </x:c>
      <x:c r="E271" s="115" t="str">
        <x:v>Security, Privacy &amp; Compliance
Cost &amp; FinOps
Operations &amp; Support
Data Residency &amp; Sovereignty</x:v>
      </x:c>
      <x:c r="F271" s="115" t="str">
        <x:v>10 Edge, IoT &amp; Industry</x:v>
      </x:c>
      <x:c r="G271" s="115" t="str">
        <x:v>Industry &amp; Specialist</x:v>
      </x:c>
      <x:c r="H271" s="115" t="str">
        <x:v>Telecommunications</x:v>
      </x:c>
      <x:c r="I271" s="115" t="str">
        <x:v>Telecom network automation</x:v>
      </x:c>
      <x:c r="J271" s="115" t="str">
        <x:v>Automate and optimise telecom network operations using cloud-native capabilities.</x:v>
      </x:c>
      <x:c r="K271" s="115" t="str">
        <x:v>Choose this capability when you need to automate and optimise telecom network operations using cloud-native capabilities.</x:v>
      </x:c>
      <x:c r="L271" s="115" t="str">
        <x:v>What business outcome, scale, control, integration and operating model justify choosing telecom network automation?</x:v>
      </x:c>
      <x:c r="M271" s="115" t="str">
        <x:v>Native integration and speed versus portability, governance effort and total cost.</x:v>
      </x:c>
      <x:c r="N271" s="115" t="n">
        <x:v>3</x:v>
      </x:c>
      <x:c r="O271" s="115" t="str">
        <x:v>Moderate</x:v>
      </x:c>
      <x:c r="P271" s="115" t="str">
        <x:v>1–3 weeks</x:v>
      </x:c>
      <x:c r="Q271" s="115" t="str">
        <x:v>Medium</x:v>
      </x:c>
      <x:c r="R271" s="115" t="str">
        <x:v>AWS Telco Network Builder
AWS Wavelength</x:v>
      </x:c>
      <x:c r="S271" s="115" t="str">
        <x:v>Azure Operator Nexus
Azure Operator Service Manager</x:v>
      </x:c>
      <x:c r="T271" s="115" t="str">
        <x:v>Telecom Network Automation</x:v>
      </x:c>
      <x:c r="U271" s="115" t="n">
        <x:v>3.87</x:v>
      </x:c>
      <x:c r="V271" s="115" t="n">
        <x:v>3.75</x:v>
      </x:c>
      <x:c r="W271" s="115" t="n">
        <x:v>3.84</x:v>
      </x:c>
      <x:c r="X271" s="118" t="str">
        <x:v>Context-dependent tie</x:v>
      </x:c>
      <x:c r="Y271" s="115" t="str">
        <x:v>Scores are close: use ecosystem, data gravity, region, skills, commercials and proof-of-value results to decide.</x:v>
      </x:c>
      <x:c r="Z271" s="115" t="str">
        <x:v>Close</x:v>
      </x:c>
      <x:c r="AA271" s="115"/>
      <x:c r="AB271" s="115" t="str">
        <x:v>2026-07-12</x:v>
      </x:c>
      <x:c r="AC271" s="115" t="str">
        <x:v>Scored and mapped</x:v>
      </x:c>
      <x:c r="AD271" s="115" t="str">
        <x:v>https://docs.cloud.google.com/docs/product-list</x:v>
      </x:c>
    </x:row>
    <x:row r="272">
      <x:c r="A272" s="115" t="str">
        <x:v>6. Edge, Industry &amp; Specialist</x:v>
      </x:c>
      <x:c r="B272" s="115" t="str">
        <x:v>23. Industry Clouds, Sovereign, Enterprise Apps &amp; Regulated Workloads</x:v>
      </x:c>
      <x:c r="C272" s="115" t="str">
        <x:v>Industry &amp; Sovereign Solutions</x:v>
      </x:c>
      <x:c r="D272" s="115" t="str">
        <x:v>Adopt &amp; Build</x:v>
      </x:c>
      <x:c r="E272" s="115" t="str">
        <x:v>Security, Privacy &amp; Compliance
Cost &amp; FinOps
Operations &amp; Support
Data Residency &amp; Sovereignty</x:v>
      </x:c>
      <x:c r="F272" s="115" t="str">
        <x:v>10 Edge, IoT &amp; Industry</x:v>
      </x:c>
      <x:c r="G272" s="115" t="str">
        <x:v>Industry &amp; Specialist</x:v>
      </x:c>
      <x:c r="H272" s="115" t="str">
        <x:v>Sovereign cloud</x:v>
      </x:c>
      <x:c r="I272" s="115" t="str">
        <x:v>Sovereign and regulated cloud controls</x:v>
      </x:c>
      <x:c r="J272" s="115" t="str">
        <x:v>Meet residency, operational sovereignty and regulated-industry control requirements.</x:v>
      </x:c>
      <x:c r="K272" s="115" t="str">
        <x:v>Choose this capability when you need to meet residency, operational sovereignty and regulated-industry control requirements.</x:v>
      </x:c>
      <x:c r="L272" s="115" t="str">
        <x:v>What business outcome, scale, control, integration and operating model justify choosing sovereign and regulated cloud controls?</x:v>
      </x:c>
      <x:c r="M272" s="115" t="str">
        <x:v>Native integration and speed versus portability, governance effort and total cost.</x:v>
      </x:c>
      <x:c r="N272" s="115" t="n">
        <x:v>3</x:v>
      </x:c>
      <x:c r="O272" s="115" t="str">
        <x:v>Moderate</x:v>
      </x:c>
      <x:c r="P272" s="115" t="str">
        <x:v>1–3 weeks</x:v>
      </x:c>
      <x:c r="Q272" s="115" t="str">
        <x:v>Medium</x:v>
      </x:c>
      <x:c r="R272" s="115" t="str">
        <x:v>AWS European Sovereign Cloud / AWS Dedicated Local Zones</x:v>
      </x:c>
      <x:c r="S272" s="115" t="str">
        <x:v>Microsoft Cloud for Sovereignty</x:v>
      </x:c>
      <x:c r="T272" s="115" t="str">
        <x:v>Assured Workloads
Sovereign Controls by Partners</x:v>
      </x:c>
      <x:c r="U272" s="115" t="n">
        <x:v>3.83</x:v>
      </x:c>
      <x:c r="V272" s="115" t="n">
        <x:v>3.84</x:v>
      </x:c>
      <x:c r="W272" s="115" t="n">
        <x:v>3.34</x:v>
      </x:c>
      <x:c r="X272" s="118" t="str">
        <x:v>Context-dependent tie</x:v>
      </x:c>
      <x:c r="Y272" s="115" t="str">
        <x:v>Scores are close: use ecosystem, data gravity, region, skills, commercials and proof-of-value results to decide.</x:v>
      </x:c>
      <x:c r="Z272" s="115" t="str">
        <x:v>Close</x:v>
      </x:c>
      <x:c r="AA272" s="115"/>
      <x:c r="AB272" s="115" t="str">
        <x:v>2026-07-12</x:v>
      </x:c>
      <x:c r="AC272" s="115" t="str">
        <x:v>Scored and mapped</x:v>
      </x:c>
      <x:c r="AD272" s="115" t="str">
        <x:v>https://docs.cloud.google.com/docs/product-list</x:v>
      </x:c>
    </x:row>
  </x:sheetData>
  <x:mergeCells>
    <x:mergeCell ref="A1:AD1"/>
    <x:mergeCell ref="A2:AD2"/>
  </x:mergeCells>
  <x:conditionalFormatting sqref="N5:N272">
    <x:cfRule type="colorScale" priority="1">
      <x:colorScale>
        <x:cfvo type="min"/>
        <x:cfvo type="percentile" val="50"/>
        <x:cfvo type="max"/>
        <x:color rgb="FFFCE4D6"/>
        <x:color rgb="FFFFF2CC"/>
        <x:color rgb="FFE2F0D9"/>
      </x:colorScale>
    </x:cfRule>
  </x:conditionalFormatting>
  <x:conditionalFormatting sqref="U5:W272">
    <x:cfRule type="colorScale" priority="2">
      <x:colorScale>
        <x:cfvo type="min"/>
        <x:cfvo type="percentile" val="50"/>
        <x:cfvo type="max"/>
        <x:color rgb="FFFCE4D6"/>
        <x:color rgb="FFFFF2CC"/>
        <x:color rgb="FFE2F0D9"/>
      </x:colorScale>
    </x:cfRule>
  </x:conditionalFormatting>
  <x:conditionalFormatting sqref="Z5:Z272">
    <x:cfRule type="expression" dxfId="8" priority="3">
      <x:formula>Z5="Partial"</x:formula>
    </x:cfRule>
  </x:conditionalFormatting>
  <x:pageMargins left="0.7" right="0.7" top="0.75" bottom="0.75" header="0.3" footer="0.3"/>
  <x:tableParts count="1">
    <x:tablePart xmlns:r="http://schemas.openxmlformats.org/officeDocument/2006/relationships" r:id="R316d51b70b4e4a47"/>
  </x:tableParts>
</x:worksheet>
</file>

<file path=xl/worksheets/sheet16.xml><?xml version="1.0" encoding="utf-8"?>
<x:worksheet xmlns:x="http://schemas.openxmlformats.org/spreadsheetml/2006/main">
  <x:sheetFormatPr defaultRowHeight="15"/>
  <x:cols>
    <x:col min="1" max="1" width="36" hidden="0" customWidth="1"/>
    <x:col min="2" max="2" width="46" hidden="0" customWidth="1"/>
    <x:col min="3" max="3" width="18" hidden="0" customWidth="1"/>
    <x:col min="4" max="4" width="18" hidden="0" customWidth="1"/>
    <x:col min="5" max="5" width="16" hidden="0" customWidth="1"/>
    <x:col min="6" max="6" width="18" hidden="0" customWidth="1"/>
    <x:col min="7" max="7" width="58" hidden="0" customWidth="1"/>
    <x:col min="8" max="8" width="70" hidden="0" customWidth="1"/>
    <x:col min="9" max="9" width="58" hidden="0" customWidth="1"/>
    <x:col min="10" max="10" width="38" hidden="0" customWidth="1"/>
    <x:col min="11" max="11" width="42" hidden="0" customWidth="1"/>
    <x:col min="12" max="12" width="42" hidden="0" customWidth="1"/>
  </x:cols>
  <x:sheetData>
    <x:row r="1" ht="30" customHeight="1">
      <x:c r="A1" s="102" t="str">
        <x:v>Taxonomy Coverage Audit</x:v>
      </x:c>
      <x:c r="B1" s="102"/>
      <x:c r="C1" s="102"/>
      <x:c r="D1" s="102"/>
      <x:c r="E1" s="102"/>
      <x:c r="F1" s="102"/>
      <x:c r="G1" s="102"/>
      <x:c r="H1" s="102"/>
      <x:c r="I1" s="102"/>
      <x:c r="J1" s="102"/>
      <x:c r="K1" s="102"/>
      <x:c r="L1" s="102"/>
    </x:row>
    <x:row r="2" ht="36" customHeight="1">
      <x:c r="A2" s="106" t="str">
        <x:v>Shows where the current 268 scored service decisions are strong and where additional service decisions are still required.</x:v>
      </x:c>
      <x:c r="B2" s="106"/>
      <x:c r="C2" s="106"/>
      <x:c r="D2" s="106"/>
      <x:c r="E2" s="106"/>
      <x:c r="F2" s="106"/>
      <x:c r="G2" s="106"/>
      <x:c r="H2" s="106"/>
      <x:c r="I2" s="106"/>
      <x:c r="J2" s="106"/>
      <x:c r="K2" s="106"/>
      <x:c r="L2" s="106"/>
    </x:row>
    <x:row r="4" ht="34" customHeight="1">
      <x:c r="A4" s="112" t="str">
        <x:v>Super-domain</x:v>
      </x:c>
      <x:c r="B4" s="112" t="str">
        <x:v>Architecture domain</x:v>
      </x:c>
      <x:c r="C4" s="112" t="str">
        <x:v>Capability families in taxonomy</x:v>
      </x:c>
      <x:c r="D4" s="112" t="str">
        <x:v>Current scored capabilities</x:v>
      </x:c>
      <x:c r="E4" s="112" t="str">
        <x:v>Coverage status</x:v>
      </x:c>
      <x:c r="F4" s="112" t="str">
        <x:v>Expansion priority</x:v>
      </x:c>
      <x:c r="G4" s="112" t="str">
        <x:v>Domain purpose</x:v>
      </x:c>
      <x:c r="H4" s="112" t="str">
        <x:v>Known gaps</x:v>
      </x:c>
      <x:c r="I4" s="112" t="str">
        <x:v>Next action</x:v>
      </x:c>
      <x:c r="J4" s="112" t="str">
        <x:v>AWS category</x:v>
      </x:c>
      <x:c r="K4" s="112" t="str">
        <x:v>Azure category</x:v>
      </x:c>
      <x:c r="L4" s="112" t="str">
        <x:v>Google Cloud category</x:v>
      </x:c>
    </x:row>
    <x:row r="5">
      <x:c r="A5" s="115" t="str">
        <x:v>1. Strategy, Governance &amp; Commercial</x:v>
      </x:c>
      <x:c r="B5" s="115" t="str">
        <x:v>01. Cloud Strategy, Operating Model &amp; Adoption</x:v>
      </x:c>
      <x:c r="C5" s="115" t="n">
        <x:v>8</x:v>
      </x:c>
      <x:c r="D5" s="115" t="n">
        <x:v>0</x:v>
      </x:c>
      <x:c r="E5" s="115" t="str">
        <x:v>Missing</x:v>
      </x:c>
      <x:c r="F5" s="115" t="str">
        <x:v>Critical</x:v>
      </x:c>
      <x:c r="G5" s="115" t="str">
        <x:v>Define why cloud is being adopted, how value will be measured, and how people, process and technology will operate.</x:v>
      </x:c>
      <x:c r="H5" s="115" t="str">
        <x:v>No scored rows yet for business case, adoption roadmap, operating model, CCoE, skills and architecture decision governance.</x:v>
      </x:c>
      <x:c r="I5" s="115" t="str">
        <x:v>Create provider mappings and ratings before treating this domain as decision-complete.</x:v>
      </x:c>
      <x:c r="J5" s="115" t="str">
        <x:v>Customer enablement / Management and governance</x:v>
      </x:c>
      <x:c r="K5" s="115" t="str">
        <x:v>Cloud Adoption Framework / Management and Governance</x:v>
      </x:c>
      <x:c r="L5" s="115" t="str">
        <x:v>Cross-product tools / Architecture Framework</x:v>
      </x:c>
    </x:row>
    <x:row r="6">
      <x:c r="A6" s="115" t="str">
        <x:v>1. Strategy, Governance &amp; Commercial</x:v>
      </x:c>
      <x:c r="B6" s="115" t="str">
        <x:v>02. Governance, Organisation, Landing Zones &amp; Policy</x:v>
      </x:c>
      <x:c r="C6" s="115" t="n">
        <x:v>9</x:v>
      </x:c>
      <x:c r="D6" s="115" t="n">
        <x:v>9</x:v>
      </x:c>
      <x:c r="E6" s="115" t="str">
        <x:v>Partial</x:v>
      </x:c>
      <x:c r="F6" s="115" t="str">
        <x:v>Medium</x:v>
      </x:c>
      <x:c r="G6" s="115" t="str">
        <x:v>Create a controlled enterprise cloud foundation before workload deployment.</x:v>
      </x:c>
      <x:c r="H6" s="115" t="str">
        <x:v>Add account/subscription vending, exception workflows, tagging enforcement and policy lifecycle guidance.</x:v>
      </x:c>
      <x:c r="I6" s="115" t="str">
        <x:v>Add the named gaps and validate region, lifecycle and service maturity.</x:v>
      </x:c>
      <x:c r="J6" s="115" t="str">
        <x:v>Management and governance</x:v>
      </x:c>
      <x:c r="K6" s="115" t="str">
        <x:v>Management and Governance</x:v>
      </x:c>
      <x:c r="L6" s="115" t="str">
        <x:v>Access and resource management / Infrastructure as code</x:v>
      </x:c>
    </x:row>
    <x:row r="7">
      <x:c r="A7" s="115" t="str">
        <x:v>1. Strategy, Governance &amp; Commercial</x:v>
      </x:c>
      <x:c r="B7" s="115" t="str">
        <x:v>03. FinOps, Procurement, Licensing, Marketplace &amp; Sustainability</x:v>
      </x:c>
      <x:c r="C7" s="115" t="n">
        <x:v>9</x:v>
      </x:c>
      <x:c r="D7" s="115" t="n">
        <x:v>6</x:v>
      </x:c>
      <x:c r="E7" s="115" t="str">
        <x:v>Partial</x:v>
      </x:c>
      <x:c r="F7" s="115" t="str">
        <x:v>High</x:v>
      </x:c>
      <x:c r="G7" s="115" t="str">
        <x:v>Control cloud economics, commercial commitments, procurement and environmental impact.</x:v>
      </x:c>
      <x:c r="H7" s="115" t="str">
        <x:v>Add marketplace procurement, private offers, support plans, contract/SLA lifecycle and unit-economics guidance.</x:v>
      </x:c>
      <x:c r="I7" s="115" t="str">
        <x:v>Add the named gaps and validate region, lifecycle and service maturity.</x:v>
      </x:c>
      <x:c r="J7" s="115" t="str">
        <x:v>Cloud Financial Management / Customer enablement</x:v>
      </x:c>
      <x:c r="K7" s="115" t="str">
        <x:v>Management and Governance / FinOps</x:v>
      </x:c>
      <x:c r="L7" s="115" t="str">
        <x:v>Costs and usage management</x:v>
      </x:c>
    </x:row>
    <x:row r="8">
      <x:c r="A8" s="115" t="str">
        <x:v>2. Foundation, Infrastructure &amp; Security</x:v>
      </x:c>
      <x:c r="B8" s="115" t="str">
        <x:v>04. Identity, Security, Privacy, Risk &amp; Compliance</x:v>
      </x:c>
      <x:c r="C8" s="115" t="n">
        <x:v>15</x:v>
      </x:c>
      <x:c r="D8" s="115" t="n">
        <x:v>28</x:v>
      </x:c>
      <x:c r="E8" s="115" t="str">
        <x:v>Strong</x:v>
      </x:c>
      <x:c r="F8" s="115" t="str">
        <x:v>High</x:v>
      </x:c>
      <x:c r="G8" s="115" t="str">
        <x:v>Protect identities, workloads, networks and data while producing verifiable risk and compliance evidence.</x:v>
      </x:c>
      <x:c r="H8" s="115" t="str">
        <x:v>Add privileged access management, privacy operations, consent, external attack surface and security architecture patterns.</x:v>
      </x:c>
      <x:c r="I8" s="115" t="str">
        <x:v>Add the named gaps and validate region, lifecycle and service maturity.</x:v>
      </x:c>
      <x:c r="J8" s="115" t="str">
        <x:v>Security, identity, and compliance</x:v>
      </x:c>
      <x:c r="K8" s="115" t="str">
        <x:v>Identity / Security</x:v>
      </x:c>
      <x:c r="L8" s="115" t="str">
        <x:v>Security / Access and resource management</x:v>
      </x:c>
    </x:row>
    <x:row r="9">
      <x:c r="A9" s="115" t="str">
        <x:v>2. Foundation, Infrastructure &amp; Security</x:v>
      </x:c>
      <x:c r="B9" s="115" t="str">
        <x:v>05. Networking, Connectivity, DNS, Traffic &amp; Edge Delivery</x:v>
      </x:c>
      <x:c r="C9" s="115" t="n">
        <x:v>16</x:v>
      </x:c>
      <x:c r="D9" s="115" t="n">
        <x:v>22</x:v>
      </x:c>
      <x:c r="E9" s="115" t="str">
        <x:v>Strong</x:v>
      </x:c>
      <x:c r="F9" s="115" t="str">
        <x:v>Low</x:v>
      </x:c>
      <x:c r="G9" s="115" t="str">
        <x:v>Connect users, workloads, clouds and data centres through secure and resilient traffic paths.</x:v>
      </x:c>
      <x:c r="H9" s="115" t="str">
        <x:v>Add IP address management, secure web gateway/SASE, client VPN, IPv6 strategy and network cost modelling.</x:v>
      </x:c>
      <x:c r="I9" s="115" t="str">
        <x:v>Add the named gaps and validate region, lifecycle and service maturity.</x:v>
      </x:c>
      <x:c r="J9" s="115" t="str">
        <x:v>Networking and content delivery</x:v>
      </x:c>
      <x:c r="K9" s="115" t="str">
        <x:v>Networking</x:v>
      </x:c>
      <x:c r="L9" s="115" t="str">
        <x:v>Networking</x:v>
      </x:c>
    </x:row>
    <x:row r="10">
      <x:c r="A10" s="115" t="str">
        <x:v>2. Foundation, Infrastructure &amp; Security</x:v>
      </x:c>
      <x:c r="B10" s="115" t="str">
        <x:v>06. Compute, Virtualisation, HPC &amp; Accelerators</x:v>
      </x:c>
      <x:c r="C10" s="115" t="n">
        <x:v>12</x:v>
      </x:c>
      <x:c r="D10" s="115" t="n">
        <x:v>11</x:v>
      </x:c>
      <x:c r="E10" s="115" t="str">
        <x:v>Good</x:v>
      </x:c>
      <x:c r="F10" s="115" t="str">
        <x:v>Low</x:v>
      </x:c>
      <x:c r="G10" s="115" t="str">
        <x:v>Provide infrastructure-level processing capacity where operating-system or hardware control is required.</x:v>
      </x:c>
      <x:c r="H10" s="115" t="str">
        <x:v>Add bare metal, capacity reservations, placement strategy, accelerator scheduling and licence-aware compute selection.</x:v>
      </x:c>
      <x:c r="I10" s="115" t="str">
        <x:v>Add the named gaps and validate region, lifecycle and service maturity.</x:v>
      </x:c>
      <x:c r="J10" s="115" t="str">
        <x:v>Compute</x:v>
      </x:c>
      <x:c r="K10" s="115" t="str">
        <x:v>Compute</x:v>
      </x:c>
      <x:c r="L10" s="115" t="str">
        <x:v>Compute</x:v>
      </x:c>
    </x:row>
    <x:row r="11">
      <x:c r="A11" s="115" t="str">
        <x:v>2. Foundation, Infrastructure &amp; Security</x:v>
      </x:c>
      <x:c r="B11" s="115" t="str">
        <x:v>07. Containers, Kubernetes, Serverless &amp; Application Runtime</x:v>
      </x:c>
      <x:c r="C11" s="115" t="n">
        <x:v>12</x:v>
      </x:c>
      <x:c r="D11" s="115" t="n">
        <x:v>6</x:v>
      </x:c>
      <x:c r="E11" s="115" t="str">
        <x:v>Partial</x:v>
      </x:c>
      <x:c r="F11" s="115" t="str">
        <x:v>Medium</x:v>
      </x:c>
      <x:c r="G11" s="115" t="str">
        <x:v>Run applications on managed execution platforms with the minimum necessary operational burden.</x:v>
      </x:c>
      <x:c r="H11" s="115" t="str">
        <x:v>Add OpenShift, buildpacks, runtime policy, sidecar/service-mesh decisions and platform-runtime golden paths.</x:v>
      </x:c>
      <x:c r="I11" s="115" t="str">
        <x:v>Add the named gaps and validate region, lifecycle and service maturity.</x:v>
      </x:c>
      <x:c r="J11" s="115" t="str">
        <x:v>Containers / Compute / Front-end web and mobile</x:v>
      </x:c>
      <x:c r="K11" s="115" t="str">
        <x:v>Containers / Web / Compute</x:v>
      </x:c>
      <x:c r="L11" s="115" t="str">
        <x:v>Application hosting / Compute</x:v>
      </x:c>
    </x:row>
    <x:row r="12">
      <x:c r="A12" s="115" t="str">
        <x:v>2. Foundation, Infrastructure &amp; Security</x:v>
      </x:c>
      <x:c r="B12" s="115" t="str">
        <x:v>08. Storage, Backup, Archive, DR &amp; Data Transfer</x:v>
      </x:c>
      <x:c r="C12" s="115" t="n">
        <x:v>13</x:v>
      </x:c>
      <x:c r="D12" s="115" t="n">
        <x:v>15</x:v>
      </x:c>
      <x:c r="E12" s="115" t="str">
        <x:v>Good</x:v>
      </x:c>
      <x:c r="F12" s="115" t="str">
        <x:v>Low</x:v>
      </x:c>
      <x:c r="G12" s="115" t="str">
        <x:v>Persist and protect data with the required durability, performance, lifecycle and recovery characteristics.</x:v>
      </x:c>
      <x:c r="H12" s="115" t="str">
        <x:v>Add immutable backup, cyber recovery vaults, storage security posture, legal hold and ransomware recovery patterns.</x:v>
      </x:c>
      <x:c r="I12" s="115" t="str">
        <x:v>Add the named gaps and validate region, lifecycle and service maturity.</x:v>
      </x:c>
      <x:c r="J12" s="115" t="str">
        <x:v>Storage / Migration and transfer</x:v>
      </x:c>
      <x:c r="K12" s="115" t="str">
        <x:v>Storage / Migration</x:v>
      </x:c>
      <x:c r="L12" s="115" t="str">
        <x:v>Storage / Migration</x:v>
      </x:c>
    </x:row>
    <x:row r="13">
      <x:c r="A13" s="115" t="str">
        <x:v>2. Foundation, Infrastructure &amp; Security</x:v>
      </x:c>
      <x:c r="B13" s="115" t="str">
        <x:v>09. Databases, Caching, Search &amp; Ledger</x:v>
      </x:c>
      <x:c r="C13" s="115" t="n">
        <x:v>14</x:v>
      </x:c>
      <x:c r="D13" s="115" t="n">
        <x:v>17</x:v>
      </x:c>
      <x:c r="E13" s="115" t="str">
        <x:v>Good</x:v>
      </x:c>
      <x:c r="F13" s="115" t="str">
        <x:v>Low</x:v>
      </x:c>
      <x:c r="G13" s="115" t="str">
        <x:v>Select operational data stores from access patterns, consistency, latency, engine and scale requirements.</x:v>
      </x:c>
      <x:c r="H13" s="115" t="str">
        <x:v>Add dedicated search, vector database selection, data-store decision trees, multi-model databases and database observability.</x:v>
      </x:c>
      <x:c r="I13" s="115" t="str">
        <x:v>Add the named gaps and validate region, lifecycle and service maturity.</x:v>
      </x:c>
      <x:c r="J13" s="115" t="str">
        <x:v>Databases / Blockchain</x:v>
      </x:c>
      <x:c r="K13" s="115" t="str">
        <x:v>Databases</x:v>
      </x:c>
      <x:c r="L13" s="115" t="str">
        <x:v>Databases / App hosting</x:v>
      </x:c>
    </x:row>
    <x:row r="14">
      <x:c r="A14" s="115" t="str">
        <x:v>3. Data &amp; Intelligence</x:v>
      </x:c>
      <x:c r="B14" s="115" t="str">
        <x:v>10. Data Integration, ETL/ELT, Messaging &amp; Streaming</x:v>
      </x:c>
      <x:c r="C14" s="115" t="n">
        <x:v>14</x:v>
      </x:c>
      <x:c r="D14" s="115" t="n">
        <x:v>8</x:v>
      </x:c>
      <x:c r="E14" s="115" t="str">
        <x:v>Partial</x:v>
      </x:c>
      <x:c r="F14" s="115" t="str">
        <x:v>Medium</x:v>
      </x:c>
      <x:c r="G14" s="115" t="str">
        <x:v>Move, transform and distribute data and events reliably across systems.</x:v>
      </x:c>
      <x:c r="H14" s="115" t="str">
        <x:v>Add schema registry, data contracts, dead-letter/replay patterns, event governance and integration testing.</x:v>
      </x:c>
      <x:c r="I14" s="115" t="str">
        <x:v>Add the named gaps and validate region, lifecycle and service maturity.</x:v>
      </x:c>
      <x:c r="J14" s="115" t="str">
        <x:v>Analytics / Application integration</x:v>
      </x:c>
      <x:c r="K14" s="115" t="str">
        <x:v>Analytics / Integration</x:v>
      </x:c>
      <x:c r="L14" s="115" t="str">
        <x:v>Data analytics and pipelines / App development</x:v>
      </x:c>
    </x:row>
    <x:row r="15">
      <x:c r="A15" s="115" t="str">
        <x:v>3. Data &amp; Intelligence</x:v>
      </x:c>
      <x:c r="B15" s="115" t="str">
        <x:v>11. Data Lake, Warehouse, Lakehouse, Analytics &amp; BI</x:v>
      </x:c>
      <x:c r="C15" s="115" t="n">
        <x:v>13</x:v>
      </x:c>
      <x:c r="D15" s="115" t="n">
        <x:v>7</x:v>
      </x:c>
      <x:c r="E15" s="115" t="str">
        <x:v>Partial</x:v>
      </x:c>
      <x:c r="F15" s="115" t="str">
        <x:v>Medium</x:v>
      </x:c>
      <x:c r="G15" s="115" t="str">
        <x:v>Convert governed data into analytical products, insight and business decisions.</x:v>
      </x:c>
      <x:c r="H15" s="115" t="str">
        <x:v>Add semantic layers, metrics stores, embedded analytics, geospatial analytics and workload-management decisions.</x:v>
      </x:c>
      <x:c r="I15" s="115" t="str">
        <x:v>Add the named gaps and validate region, lifecycle and service maturity.</x:v>
      </x:c>
      <x:c r="J15" s="115" t="str">
        <x:v>Analytics</x:v>
      </x:c>
      <x:c r="K15" s="115" t="str">
        <x:v>Analytics</x:v>
      </x:c>
      <x:c r="L15" s="115" t="str">
        <x:v>Data analytics and pipelines</x:v>
      </x:c>
    </x:row>
    <x:row r="16">
      <x:c r="A16" s="115" t="str">
        <x:v>3. Data &amp; Intelligence</x:v>
      </x:c>
      <x:c r="B16" s="115" t="str">
        <x:v>12. Data Governance, Quality, Catalogue, MDM, Sharing &amp; Clean Rooms</x:v>
      </x:c>
      <x:c r="C16" s="115" t="n">
        <x:v>13</x:v>
      </x:c>
      <x:c r="D16" s="115" t="n">
        <x:v>5</x:v>
      </x:c>
      <x:c r="E16" s="115" t="str">
        <x:v>Partial</x:v>
      </x:c>
      <x:c r="F16" s="115" t="str">
        <x:v>Critical</x:v>
      </x:c>
      <x:c r="G16" s="115" t="str">
        <x:v>Make data discoverable, trustworthy, owned, protected and reusable.</x:v>
      </x:c>
      <x:c r="H16" s="115" t="str">
        <x:v>Major gaps: data quality, data observability, master/reference data, stewardship, consent and data-product operating model.</x:v>
      </x:c>
      <x:c r="I16" s="115" t="str">
        <x:v>Add the named gaps and validate region, lifecycle and service maturity.</x:v>
      </x:c>
      <x:c r="J16" s="115" t="str">
        <x:v>Analytics / Security, identity, and compliance</x:v>
      </x:c>
      <x:c r="K16" s="115" t="str">
        <x:v>Analytics / Management and Governance / Security</x:v>
      </x:c>
      <x:c r="L16" s="115" t="str">
        <x:v>Data analytics and pipelines / Security</x:v>
      </x:c>
    </x:row>
    <x:row r="17">
      <x:c r="A17" s="115" t="str">
        <x:v>3. Data &amp; Intelligence</x:v>
      </x:c>
      <x:c r="B17" s="115" t="str">
        <x:v>13. Traditional AI/ML, MLOps &amp; Cognitive APIs</x:v>
      </x:c>
      <x:c r="C17" s="115" t="n">
        <x:v>16</x:v>
      </x:c>
      <x:c r="D17" s="115" t="n">
        <x:v>25</x:v>
      </x:c>
      <x:c r="E17" s="115" t="str">
        <x:v>Strong</x:v>
      </x:c>
      <x:c r="F17" s="115" t="str">
        <x:v>Low</x:v>
      </x:c>
      <x:c r="G17" s="115" t="str">
        <x:v>Build, deploy and operate predictive models and consume prebuilt AI capabilities.</x:v>
      </x:c>
      <x:c r="H17" s="115" t="str">
        <x:v>Add experiment tracking, human labelling, synthetic training data, ML security and model-serving economics.</x:v>
      </x:c>
      <x:c r="I17" s="115" t="str">
        <x:v>Add the named gaps and validate region, lifecycle and service maturity.</x:v>
      </x:c>
      <x:c r="J17" s="115" t="str">
        <x:v>Machine Learning and Artificial Intelligence</x:v>
      </x:c>
      <x:c r="K17" s="115" t="str">
        <x:v>AI + Machine Learning</x:v>
      </x:c>
      <x:c r="L17" s="115" t="str">
        <x:v>AI and ML</x:v>
      </x:c>
    </x:row>
    <x:row r="18">
      <x:c r="A18" s="115" t="str">
        <x:v>3. Data &amp; Intelligence</x:v>
      </x:c>
      <x:c r="B18" s="115" t="str">
        <x:v>14. Generative AI, Agents, RAG, AI Safety &amp; Governance</x:v>
      </x:c>
      <x:c r="C18" s="115" t="n">
        <x:v>19</x:v>
      </x:c>
      <x:c r="D18" s="115" t="n">
        <x:v>20</x:v>
      </x:c>
      <x:c r="E18" s="115" t="str">
        <x:v>Strong</x:v>
      </x:c>
      <x:c r="F18" s="115" t="str">
        <x:v>High</x:v>
      </x:c>
      <x:c r="G18" s="115" t="str">
        <x:v>Build grounded and governed generative-AI systems, agents and intelligent enterprise experiences.</x:v>
      </x:c>
      <x:c r="H18" s="115" t="str">
        <x:v>Add agent identity, memory, MCP/tool governance, red teaming, model routing, inference optimisation and AI incident response.</x:v>
      </x:c>
      <x:c r="I18" s="115" t="str">
        <x:v>Add the named gaps and validate region, lifecycle and service maturity.</x:v>
      </x:c>
      <x:c r="J18" s="115" t="str">
        <x:v>Machine Learning and Artificial Intelligence</x:v>
      </x:c>
      <x:c r="K18" s="115" t="str">
        <x:v>AI + Machine Learning</x:v>
      </x:c>
      <x:c r="L18" s="115" t="str">
        <x:v>AI and ML</x:v>
      </x:c>
    </x:row>
    <x:row r="19">
      <x:c r="A19" s="115" t="str">
        <x:v>4. Applications &amp; Experience</x:v>
      </x:c>
      <x:c r="B19" s="115" t="str">
        <x:v>15. Application Development, Web, Mobile, Frontend &amp; Low-Code</x:v>
      </x:c>
      <x:c r="C19" s="115" t="n">
        <x:v>12</x:v>
      </x:c>
      <x:c r="D19" s="115" t="n">
        <x:v>2</x:v>
      </x:c>
      <x:c r="E19" s="115" t="str">
        <x:v>Limited</x:v>
      </x:c>
      <x:c r="F19" s="115" t="str">
        <x:v>Critical</x:v>
      </x:c>
      <x:c r="G19" s="115" t="str">
        <x:v>Create user-facing and internal applications with suitable developer control and delivery speed.</x:v>
      </x:c>
      <x:c r="H19" s="115" t="str">
        <x:v>Major gaps: mobile backend, low-code/no-code, backend-as-a-service, feature flags, digital experience and accessibility.</x:v>
      </x:c>
      <x:c r="I19" s="115" t="str">
        <x:v>Create provider mappings and ratings before treating this domain as decision-complete.</x:v>
      </x:c>
      <x:c r="J19" s="115" t="str">
        <x:v>Front-end web and mobile / Business applications</x:v>
      </x:c>
      <x:c r="K19" s="115" t="str">
        <x:v>Web / Mobile / Developer Tools</x:v>
      </x:c>
      <x:c r="L19" s="115" t="str">
        <x:v>Application development / Application hosting</x:v>
      </x:c>
    </x:row>
    <x:row r="20">
      <x:c r="A20" s="115" t="str">
        <x:v>4. Applications &amp; Experience</x:v>
      </x:c>
      <x:c r="B20" s="115" t="str">
        <x:v>16. APIs, Integration, Workflows, Eventing &amp; Process Automation</x:v>
      </x:c>
      <x:c r="C20" s="115" t="n">
        <x:v>13</x:v>
      </x:c>
      <x:c r="D20" s="115" t="n">
        <x:v>12</x:v>
      </x:c>
      <x:c r="E20" s="115" t="str">
        <x:v>Good</x:v>
      </x:c>
      <x:c r="F20" s="115" t="str">
        <x:v>Low</x:v>
      </x:c>
      <x:c r="G20" s="115" t="str">
        <x:v>Expose, connect and automate business capabilities across applications and organisations.</x:v>
      </x:c>
      <x:c r="H20" s="115" t="str">
        <x:v>Add API product management, monetisation, BPM, robotic process automation, integration governance and canonical data models.</x:v>
      </x:c>
      <x:c r="I20" s="115" t="str">
        <x:v>Add the named gaps and validate region, lifecycle and service maturity.</x:v>
      </x:c>
      <x:c r="J20" s="115" t="str">
        <x:v>Application integration / Front-end web and mobile</x:v>
      </x:c>
      <x:c r="K20" s="115" t="str">
        <x:v>Integration / Web</x:v>
      </x:c>
      <x:c r="L20" s="115" t="str">
        <x:v>Application development</x:v>
      </x:c>
    </x:row>
    <x:row r="21">
      <x:c r="A21" s="115" t="str">
        <x:v>4. Applications &amp; Experience</x:v>
      </x:c>
      <x:c r="B21" s="115" t="str">
        <x:v>17. End-User Computing, Collaboration, Contact Centre &amp; Business Applications</x:v>
      </x:c>
      <x:c r="C21" s="115" t="n">
        <x:v>11</x:v>
      </x:c>
      <x:c r="D21" s="115" t="n">
        <x:v>5</x:v>
      </x:c>
      <x:c r="E21" s="115" t="str">
        <x:v>Partial</x:v>
      </x:c>
      <x:c r="F21" s="115" t="str">
        <x:v>High</x:v>
      </x:c>
      <x:c r="G21" s="115" t="str">
        <x:v>Deliver secure digital workplaces, customer-service channels and enterprise business capabilities.</x:v>
      </x:c>
      <x:c r="H21" s="115" t="str">
        <x:v>Add secure browser, productivity suites, CRM/ERP/SCM, employee experience, commerce and workforce engagement.</x:v>
      </x:c>
      <x:c r="I21" s="115" t="str">
        <x:v>Add the named gaps and validate region, lifecycle and service maturity.</x:v>
      </x:c>
      <x:c r="J21" s="115" t="str">
        <x:v>End user computing / Business applications</x:v>
      </x:c>
      <x:c r="K21" s="115" t="str">
        <x:v>Virtual desktop infrastructure / Microsoft business cloud</x:v>
      </x:c>
      <x:c r="L21" s="115" t="str">
        <x:v>Industry solutions / Google Workspace</x:v>
      </x:c>
    </x:row>
    <x:row r="22">
      <x:c r="A22" s="115" t="str">
        <x:v>5. Engineering, Operations &amp; Transformation</x:v>
      </x:c>
      <x:c r="B22" s="115" t="str">
        <x:v>18. Developer Experience, DevOps, Platform Engineering &amp; Software Supply Chain</x:v>
      </x:c>
      <x:c r="C22" s="115" t="n">
        <x:v>13</x:v>
      </x:c>
      <x:c r="D22" s="115" t="n">
        <x:v>13</x:v>
      </x:c>
      <x:c r="E22" s="115" t="str">
        <x:v>Good</x:v>
      </x:c>
      <x:c r="F22" s="115" t="str">
        <x:v>High</x:v>
      </x:c>
      <x:c r="G22" s="115" t="str">
        <x:v>Create repeatable, secure and efficient paths from code to production.</x:v>
      </x:c>
      <x:c r="H22" s="115" t="str">
        <x:v>Add SBOM, provenance, licence compliance, secret scanning, developer portals, golden paths and release governance.</x:v>
      </x:c>
      <x:c r="I22" s="115" t="str">
        <x:v>Add the named gaps and validate region, lifecycle and service maturity.</x:v>
      </x:c>
      <x:c r="J22" s="115" t="str">
        <x:v>Developer tools / Containers</x:v>
      </x:c>
      <x:c r="K22" s="115" t="str">
        <x:v>Developer Tools / DevOps</x:v>
      </x:c>
      <x:c r="L22" s="115" t="str">
        <x:v>Application development / Infrastructure as code</x:v>
      </x:c>
    </x:row>
    <x:row r="23">
      <x:c r="A23" s="115" t="str">
        <x:v>5. Engineering, Operations &amp; Transformation</x:v>
      </x:c>
      <x:c r="B23" s="115" t="str">
        <x:v>19. Observability, Reliability, Performance, Operations, ITSM &amp; Support</x:v>
      </x:c>
      <x:c r="C23" s="115" t="n">
        <x:v>15</x:v>
      </x:c>
      <x:c r="D23" s="115" t="n">
        <x:v>14</x:v>
      </x:c>
      <x:c r="E23" s="115" t="str">
        <x:v>Good</x:v>
      </x:c>
      <x:c r="F23" s="115" t="str">
        <x:v>Critical</x:v>
      </x:c>
      <x:c r="G23" s="115" t="str">
        <x:v>Operate services safely through visibility, automation, resilience and effective support processes.</x:v>
      </x:c>
      <x:c r="H23" s="115" t="str">
        <x:v>Add SLO/error budgets, resilience management, capacity planning, RUM, ITSM/CMDB, support plans and problem management.</x:v>
      </x:c>
      <x:c r="I23" s="115" t="str">
        <x:v>Add the named gaps and validate region, lifecycle and service maturity.</x:v>
      </x:c>
      <x:c r="J23" s="115" t="str">
        <x:v>Management and governance / Customer enablement / Developer tools</x:v>
      </x:c>
      <x:c r="K23" s="115" t="str">
        <x:v>Management and Governance / DevOps</x:v>
      </x:c>
      <x:c r="L23" s="115" t="str">
        <x:v>Observability and monitoring / Cross-product tools</x:v>
      </x:c>
    </x:row>
    <x:row r="24">
      <x:c r="A24" s="115" t="str">
        <x:v>5. Engineering, Operations &amp; Transformation</x:v>
      </x:c>
      <x:c r="B24" s="115" t="str">
        <x:v>20. Migration, Modernisation, Hybrid, Multicloud &amp; Mainframe</x:v>
      </x:c>
      <x:c r="C24" s="115" t="n">
        <x:v>15</x:v>
      </x:c>
      <x:c r="D24" s="115" t="n">
        <x:v>13</x:v>
      </x:c>
      <x:c r="E24" s="115" t="str">
        <x:v>Good</x:v>
      </x:c>
      <x:c r="F24" s="115" t="str">
        <x:v>High</x:v>
      </x:c>
      <x:c r="G24" s="115" t="str">
        <x:v>Move and transform workloads while managing coexistence across data centres and clouds.</x:v>
      </x:c>
      <x:c r="H24" s="115" t="str">
        <x:v>Add cloud-exit planning, repatriation, multicloud data architecture, migration factory, licensing and post-migration optimisation.</x:v>
      </x:c>
      <x:c r="I24" s="115" t="str">
        <x:v>Add the named gaps and validate region, lifecycle and service maturity.</x:v>
      </x:c>
      <x:c r="J24" s="115" t="str">
        <x:v>Migration and transfer / Compute</x:v>
      </x:c>
      <x:c r="K24" s="115" t="str">
        <x:v>Migration / Hybrid + multicloud</x:v>
      </x:c>
      <x:c r="L24" s="115" t="str">
        <x:v>Migration / Distributed, hybrid, and multicloud</x:v>
      </x:c>
    </x:row>
    <x:row r="25">
      <x:c r="A25" s="115" t="str">
        <x:v>6. Edge, Industry &amp; Specialist</x:v>
      </x:c>
      <x:c r="B25" s="115" t="str">
        <x:v>21. IoT, Edge, OT, Digital Twins, Robotics &amp; Telecom</x:v>
      </x:c>
      <x:c r="C25" s="115" t="n">
        <x:v>13</x:v>
      </x:c>
      <x:c r="D25" s="115" t="n">
        <x:v>9</x:v>
      </x:c>
      <x:c r="E25" s="115" t="str">
        <x:v>Partial</x:v>
      </x:c>
      <x:c r="F25" s="115" t="str">
        <x:v>Medium</x:v>
      </x:c>
      <x:c r="G25" s="115" t="str">
        <x:v>Connect and manage physical assets, industrial environments and distributed edge systems.</x:v>
      </x:c>
      <x:c r="H25" s="115" t="str">
        <x:v>Add robotics, smart buildings/cities, agriculture, energy assets, OT historian patterns and disconnected operations.</x:v>
      </x:c>
      <x:c r="I25" s="115" t="str">
        <x:v>Add the named gaps and validate region, lifecycle and service maturity.</x:v>
      </x:c>
      <x:c r="J25" s="115" t="str">
        <x:v>Internet of Things / Networking and content delivery</x:v>
      </x:c>
      <x:c r="K25" s="115" t="str">
        <x:v>Internet of Things / Hybrid + multicloud</x:v>
      </x:c>
      <x:c r="L25" s="115" t="str">
        <x:v>Distributed, hybrid, and multicloud / Industry solutions</x:v>
      </x:c>
    </x:row>
    <x:row r="26">
      <x:c r="A26" s="115" t="str">
        <x:v>6. Edge, Industry &amp; Specialist</x:v>
      </x:c>
      <x:c r="B26" s="115" t="str">
        <x:v>22. Media, Communications, Gaming, Geospatial &amp; Spatial Computing</x:v>
      </x:c>
      <x:c r="C26" s="115" t="n">
        <x:v>13</x:v>
      </x:c>
      <x:c r="D26" s="115" t="n">
        <x:v>9</x:v>
      </x:c>
      <x:c r="E26" s="115" t="str">
        <x:v>Partial</x:v>
      </x:c>
      <x:c r="F26" s="115" t="str">
        <x:v>Medium</x:v>
      </x:c>
      <x:c r="G26" s="115" t="str">
        <x:v>Process and deliver rich media, interactive communication, location and immersive experiences.</x:v>
      </x:c>
      <x:c r="H26" s="115" t="str">
        <x:v>Add spatial computing, geospatial platforms, game backend services, DRM and communications compliance.</x:v>
      </x:c>
      <x:c r="I26" s="115" t="str">
        <x:v>Add the named gaps and validate region, lifecycle and service maturity.</x:v>
      </x:c>
      <x:c r="J26" s="115" t="str">
        <x:v>Media / Game tech / Satellite</x:v>
      </x:c>
      <x:c r="K26" s="115" t="str">
        <x:v>Media / Mixed reality</x:v>
      </x:c>
      <x:c r="L26" s="115" t="str">
        <x:v>Application hosting / Industry solutions</x:v>
      </x:c>
    </x:row>
    <x:row r="27">
      <x:c r="A27" s="115" t="str">
        <x:v>6. Edge, Industry &amp; Specialist</x:v>
      </x:c>
      <x:c r="B27" s="115" t="str">
        <x:v>23. Industry Clouds, Sovereign, Enterprise Apps &amp; Regulated Workloads</x:v>
      </x:c>
      <x:c r="C27" s="115" t="n">
        <x:v>12</x:v>
      </x:c>
      <x:c r="D27" s="115" t="n">
        <x:v>8</x:v>
      </x:c>
      <x:c r="E27" s="115" t="str">
        <x:v>Partial</x:v>
      </x:c>
      <x:c r="F27" s="115" t="str">
        <x:v>High</x:v>
      </x:c>
      <x:c r="G27" s="115" t="str">
        <x:v>Apply cloud capabilities to regulated sectors, packaged enterprise systems and sovereign requirements.</x:v>
      </x:c>
      <x:c r="H27" s="115" t="str">
        <x:v>Add public sector, defence, education, energy, automotive, insurance, industry data models and regulatory blueprints.</x:v>
      </x:c>
      <x:c r="I27" s="115" t="str">
        <x:v>Add the named gaps and validate region, lifecycle and service maturity.</x:v>
      </x:c>
      <x:c r="J27" s="115" t="str">
        <x:v>Business applications / Industry solutions</x:v>
      </x:c>
      <x:c r="K27" s="115" t="str">
        <x:v>Industry clouds / Hybrid + multicloud</x:v>
      </x:c>
      <x:c r="L27" s="115" t="str">
        <x:v>Industry solutions</x:v>
      </x:c>
    </x:row>
    <x:row r="28">
      <x:c r="A28" s="115" t="str">
        <x:v>6. Edge, Industry &amp; Specialist</x:v>
      </x:c>
      <x:c r="B28" s="115" t="str">
        <x:v>24. Emerging Technologies: Quantum, Blockchain &amp; Satellite</x:v>
      </x:c>
      <x:c r="C28" s="115" t="n">
        <x:v>7</x:v>
      </x:c>
      <x:c r="D28" s="115" t="n">
        <x:v>4</x:v>
      </x:c>
      <x:c r="E28" s="115" t="str">
        <x:v>Limited</x:v>
      </x:c>
      <x:c r="F28" s="115" t="str">
        <x:v>Medium</x:v>
      </x:c>
      <x:c r="G28" s="115" t="str">
        <x:v>Evaluate specialist platforms that are not part of most standard enterprise architectures.</x:v>
      </x:c>
      <x:c r="H28" s="115" t="str">
        <x:v>Add post-quantum readiness, blockchain governance, Web3 security, space-data analytics and commercial maturity criteria.</x:v>
      </x:c>
      <x:c r="I28" s="115" t="str">
        <x:v>Create provider mappings and ratings before treating this domain as decision-complete.</x:v>
      </x:c>
      <x:c r="J28" s="115" t="str">
        <x:v>Quantum technologies / Blockchain / Satellite</x:v>
      </x:c>
      <x:c r="K28" s="115" t="str">
        <x:v>Quantum / Partner blockchain and orbital services</x:v>
      </x:c>
      <x:c r="L28" s="115" t="str">
        <x:v>App hosting / Data analytics / Industry solutions</x:v>
      </x:c>
    </x:row>
  </x:sheetData>
  <x:mergeCells>
    <x:mergeCell ref="A1:L1"/>
    <x:mergeCell ref="A2:L2"/>
  </x:mergeCells>
  <x:conditionalFormatting sqref="E5:E28">
    <x:cfRule type="expression" dxfId="9" priority="1">
      <x:formula>E5="Strong"</x:formula>
    </x:cfRule>
    <x:cfRule type="expression" dxfId="10" priority="2">
      <x:formula>E5="Good"</x:formula>
    </x:cfRule>
    <x:cfRule type="expression" dxfId="11" priority="3">
      <x:formula>E5="Partial"</x:formula>
    </x:cfRule>
    <x:cfRule type="expression" dxfId="12" priority="4">
      <x:formula>E5="Limited"</x:formula>
    </x:cfRule>
    <x:cfRule type="expression" dxfId="13" priority="5">
      <x:formula>E5="Missing"</x:formula>
    </x:cfRule>
  </x:conditionalFormatting>
  <x:conditionalFormatting sqref="F5:F28">
    <x:cfRule type="expression" dxfId="14" priority="6">
      <x:formula>OR(F5="Critical",F5="High")</x:formula>
    </x:cfRule>
  </x:conditionalFormatting>
  <x:pageMargins left="0.7" right="0.7" top="0.75" bottom="0.75" header="0.3" footer="0.3"/>
  <x:tableParts count="1">
    <x:tablePart xmlns:r="http://schemas.openxmlformats.org/officeDocument/2006/relationships" r:id="R3b4fba6910af47b7"/>
  </x:tableParts>
</x:worksheet>
</file>

<file path=xl/worksheets/sheet17.xml><?xml version="1.0" encoding="utf-8"?>
<x:worksheet xmlns:x="http://schemas.openxmlformats.org/spreadsheetml/2006/main">
  <x:sheetFormatPr defaultRowHeight="15"/>
  <x:cols>
    <x:col min="1" max="1" width="34" hidden="0" customWidth="1"/>
    <x:col min="2" max="2" width="62" hidden="0" customWidth="1"/>
    <x:col min="3" max="3" width="56" hidden="0" customWidth="1"/>
    <x:col min="4" max="4" width="38" hidden="0" customWidth="1"/>
    <x:col min="5" max="5" width="38" hidden="0" customWidth="1"/>
    <x:col min="6" max="6" width="42" hidden="0" customWidth="1"/>
    <x:col min="7" max="7" width="30" hidden="0" customWidth="1"/>
  </x:cols>
  <x:sheetData>
    <x:row r="1" ht="30" customHeight="1">
      <x:c r="A1" s="102" t="str">
        <x:v>Cross-Cutting Architecture Decision Lenses</x:v>
      </x:c>
      <x:c r="B1" s="102"/>
      <x:c r="C1" s="102"/>
      <x:c r="D1" s="102"/>
      <x:c r="E1" s="102"/>
      <x:c r="F1" s="102"/>
      <x:c r="G1" s="102"/>
      <x:c r="H1" s="102"/>
    </x:row>
    <x:row r="2" ht="36" customHeight="1">
      <x:c r="A2" s="106" t="str">
        <x:v>Apply these lenses to every service choice. They unify AWS, Azure and Google Cloud well-architected concerns without mixing them into the product taxonomy.</x:v>
      </x:c>
      <x:c r="B2" s="106"/>
      <x:c r="C2" s="106"/>
      <x:c r="D2" s="106"/>
      <x:c r="E2" s="106"/>
      <x:c r="F2" s="106"/>
      <x:c r="G2" s="106"/>
      <x:c r="H2" s="106"/>
    </x:row>
    <x:row r="4" ht="34" customHeight="1">
      <x:c r="A4" s="112" t="str">
        <x:v>Decision lens</x:v>
      </x:c>
      <x:c r="B4" s="112" t="str">
        <x:v>Core question</x:v>
      </x:c>
      <x:c r="C4" s="112" t="str">
        <x:v>Required evidence</x:v>
      </x:c>
      <x:c r="D4" s="112" t="str">
        <x:v>AWS alignment</x:v>
      </x:c>
      <x:c r="E4" s="112" t="str">
        <x:v>Azure alignment</x:v>
      </x:c>
      <x:c r="F4" s="112" t="str">
        <x:v>Google Cloud alignment</x:v>
      </x:c>
      <x:c r="G4" s="112" t="str">
        <x:v>Apply to</x:v>
      </x:c>
    </x:row>
    <x:row r="5">
      <x:c r="A5" s="119" t="str">
        <x:v>Business Value &amp; Adoption</x:v>
      </x:c>
      <x:c r="B5" s="115" t="str">
        <x:v>What measurable outcome, KPI, user behaviour or risk reduction justifies this capability?</x:v>
      </x:c>
      <x:c r="C5" s="115" t="str">
        <x:v>Business case, value tree, KPI baseline, adoption plan</x:v>
      </x:c>
      <x:c r="D5" s="115" t="str">
        <x:v>Business / governance perspective</x:v>
      </x:c>
      <x:c r="E5" s="115" t="str">
        <x:v>Strategy and plan guidance</x:v>
      </x:c>
      <x:c r="F5" s="115" t="str">
        <x:v>Cross-pillar business context</x:v>
      </x:c>
      <x:c r="G5" s="115" t="str">
        <x:v>All decisions</x:v>
      </x:c>
    </x:row>
    <x:row r="6">
      <x:c r="A6" s="119" t="str">
        <x:v>Security, Privacy &amp; Compliance</x:v>
      </x:c>
      <x:c r="B6" s="115" t="str">
        <x:v>How are identities, data, networks and workloads protected, and what evidence is required?</x:v>
      </x:c>
      <x:c r="C6" s="115" t="str">
        <x:v>Threat model, control matrix, data classification, compliance evidence</x:v>
      </x:c>
      <x:c r="D6" s="115" t="str">
        <x:v>Security pillar</x:v>
      </x:c>
      <x:c r="E6" s="115" t="str">
        <x:v>Security pillar</x:v>
      </x:c>
      <x:c r="F6" s="115" t="str">
        <x:v>Security, privacy and compliance pillar</x:v>
      </x:c>
      <x:c r="G6" s="115" t="str">
        <x:v>All decisions</x:v>
      </x:c>
    </x:row>
    <x:row r="7">
      <x:c r="A7" s="119" t="str">
        <x:v>Reliability &amp; Resilience</x:v>
      </x:c>
      <x:c r="B7" s="115" t="str">
        <x:v>What availability, RTO, RPO, failure-domain and recovery requirements apply?</x:v>
      </x:c>
      <x:c r="C7" s="115" t="str">
        <x:v>SLA/SLO, failure-mode analysis, backup and DR design, resilience test</x:v>
      </x:c>
      <x:c r="D7" s="115" t="str">
        <x:v>Reliability pillar</x:v>
      </x:c>
      <x:c r="E7" s="115" t="str">
        <x:v>Reliability pillar</x:v>
      </x:c>
      <x:c r="F7" s="115" t="str">
        <x:v>Reliability pillar</x:v>
      </x:c>
      <x:c r="G7" s="115" t="str">
        <x:v>Production services</x:v>
      </x:c>
    </x:row>
    <x:row r="8">
      <x:c r="A8" s="119" t="str">
        <x:v>Performance &amp; Scalability</x:v>
      </x:c>
      <x:c r="B8" s="115" t="str">
        <x:v>What latency, throughput, concurrency, capacity and elasticity targets apply?</x:v>
      </x:c>
      <x:c r="C8" s="115" t="str">
        <x:v>Performance model, load test, scaling policy, quota plan</x:v>
      </x:c>
      <x:c r="D8" s="115" t="str">
        <x:v>Performance efficiency pillar</x:v>
      </x:c>
      <x:c r="E8" s="115" t="str">
        <x:v>Performance efficiency pillar</x:v>
      </x:c>
      <x:c r="F8" s="115" t="str">
        <x:v>Performance optimisation pillar</x:v>
      </x:c>
      <x:c r="G8" s="115" t="str">
        <x:v>Runtime, data and AI</x:v>
      </x:c>
    </x:row>
    <x:row r="9">
      <x:c r="A9" s="119" t="str">
        <x:v>Cost &amp; FinOps</x:v>
      </x:c>
      <x:c r="B9" s="115" t="str">
        <x:v>What is the unit cost, cost driver, commitment model and budget guardrail?</x:v>
      </x:c>
      <x:c r="C9" s="115" t="str">
        <x:v>TCO model, unit economics, budget, forecast and optimisation plan</x:v>
      </x:c>
      <x:c r="D9" s="115" t="str">
        <x:v>Cost optimisation pillar</x:v>
      </x:c>
      <x:c r="E9" s="115" t="str">
        <x:v>Cost optimisation pillar</x:v>
      </x:c>
      <x:c r="F9" s="115" t="str">
        <x:v>Cost optimisation pillar</x:v>
      </x:c>
      <x:c r="G9" s="115" t="str">
        <x:v>All decisions</x:v>
      </x:c>
    </x:row>
    <x:row r="10">
      <x:c r="A10" s="119" t="str">
        <x:v>Operational Excellence &amp; Support</x:v>
      </x:c>
      <x:c r="B10" s="115" t="str">
        <x:v>How will the service be deployed, observed, changed, supported and improved?</x:v>
      </x:c>
      <x:c r="C10" s="115" t="str">
        <x:v>Runbook, monitoring, incident process, patching, support and escalation model</x:v>
      </x:c>
      <x:c r="D10" s="115" t="str">
        <x:v>Operational excellence pillar</x:v>
      </x:c>
      <x:c r="E10" s="115" t="str">
        <x:v>Operational excellence pillar</x:v>
      </x:c>
      <x:c r="F10" s="115" t="str">
        <x:v>Operational excellence pillar</x:v>
      </x:c>
      <x:c r="G10" s="115" t="str">
        <x:v>All production decisions</x:v>
      </x:c>
    </x:row>
    <x:row r="11">
      <x:c r="A11" s="119" t="str">
        <x:v>Sustainability</x:v>
      </x:c>
      <x:c r="B11" s="115" t="str">
        <x:v>How can workload placement, utilisation, architecture and retention reduce environmental impact?</x:v>
      </x:c>
      <x:c r="C11" s="115" t="str">
        <x:v>Carbon estimate, utilisation plan, retention policy, region rationale</x:v>
      </x:c>
      <x:c r="D11" s="115" t="str">
        <x:v>Sustainability pillar</x:v>
      </x:c>
      <x:c r="E11" s="115" t="str">
        <x:v>Sustainability is addressed through Azure sustainability guidance</x:v>
      </x:c>
      <x:c r="F11" s="115" t="str">
        <x:v>Sustainability pillar</x:v>
      </x:c>
      <x:c r="G11" s="115" t="str">
        <x:v>Infrastructure and data</x:v>
      </x:c>
    </x:row>
    <x:row r="12">
      <x:c r="A12" s="119" t="str">
        <x:v>Data Governance, Residency &amp; Sovereignty</x:v>
      </x:c>
      <x:c r="B12" s="115" t="str">
        <x:v>Who owns the data, where can it be processed, and which retention, lineage and access rules apply?</x:v>
      </x:c>
      <x:c r="C12" s="115" t="str">
        <x:v>Data flow, residency assessment, lineage, retention and ownership model</x:v>
      </x:c>
      <x:c r="D12" s="115" t="str">
        <x:v>Security/governance guidance</x:v>
      </x:c>
      <x:c r="E12" s="115" t="str">
        <x:v>Security and governance guidance</x:v>
      </x:c>
      <x:c r="F12" s="115" t="str">
        <x:v>Security/privacy/compliance plus sovereignty controls</x:v>
      </x:c>
      <x:c r="G12" s="115" t="str">
        <x:v>Data, AI and regulated workloads</x:v>
      </x:c>
    </x:row>
    <x:row r="13">
      <x:c r="A13" s="119" t="str">
        <x:v>Portability, Interoperability &amp; Exit</x:v>
      </x:c>
      <x:c r="B13" s="115" t="str">
        <x:v>What switching, migration, standards, data-export and contract-exit requirements apply?</x:v>
      </x:c>
      <x:c r="C13" s="115" t="str">
        <x:v>Exit plan, portability assessment, open-standard decision, migration trigger</x:v>
      </x:c>
      <x:c r="D13" s="115" t="str">
        <x:v>Architecture trade-offs and migration guidance</x:v>
      </x:c>
      <x:c r="E13" s="115" t="str">
        <x:v>Cloud Adoption Framework and architecture trade-offs</x:v>
      </x:c>
      <x:c r="F13" s="115" t="str">
        <x:v>Hybrid/multicloud and architecture framework</x:v>
      </x:c>
      <x:c r="G13" s="115" t="str">
        <x:v>Strategic and high-lock-in decisions</x:v>
      </x:c>
    </x:row>
    <x:row r="14">
      <x:c r="A14" s="119" t="str">
        <x:v>Responsible AI &amp; Model Risk</x:v>
      </x:c>
      <x:c r="B14" s="115" t="str">
        <x:v>How are quality, safety, fairness, explainability, human oversight and model changes controlled?</x:v>
      </x:c>
      <x:c r="C14" s="115" t="str">
        <x:v>AI risk assessment, evaluation suite, model card, guardrails, human-control design</x:v>
      </x:c>
      <x:c r="D14" s="115" t="str">
        <x:v>AI/ML lens and responsible AI services</x:v>
      </x:c>
      <x:c r="E14" s="115" t="str">
        <x:v>Responsible AI and Foundry governance</x:v>
      </x:c>
      <x:c r="F14" s="115" t="str">
        <x:v>AI and ML Well-Architected perspective</x:v>
      </x:c>
      <x:c r="G14" s="115" t="str">
        <x:v>AI and agent decisions</x:v>
      </x:c>
    </x:row>
    <x:row r="15">
      <x:c r="A15" s="119" t="str">
        <x:v>Accessibility, User Experience &amp; Inclusion</x:v>
      </x:c>
      <x:c r="B15" s="115" t="str">
        <x:v>Can intended users access and use the solution effectively across devices, abilities and contexts?</x:v>
      </x:c>
      <x:c r="C15" s="115" t="str">
        <x:v>UX requirements, accessibility tests, performance budgets, localisation</x:v>
      </x:c>
      <x:c r="D15" s="115" t="str">
        <x:v>Application design guidance</x:v>
      </x:c>
      <x:c r="E15" s="115" t="str">
        <x:v>Azure application design guidance</x:v>
      </x:c>
      <x:c r="F15" s="115" t="str">
        <x:v>Application design and web guidance</x:v>
      </x:c>
      <x:c r="G15" s="115" t="str">
        <x:v>User-facing applications</x:v>
      </x:c>
    </x:row>
  </x:sheetData>
  <x:mergeCells>
    <x:mergeCell ref="A1:H1"/>
    <x:mergeCell ref="A2:H2"/>
  </x:mergeCells>
  <x:pageMargins left="0.7" right="0.7" top="0.75" bottom="0.75" header="0.3" footer="0.3"/>
  <x:tableParts count="1">
    <x:tablePart xmlns:r="http://schemas.openxmlformats.org/officeDocument/2006/relationships" r:id="R8674363311ac42ce"/>
  </x:tableParts>
</x:worksheet>
</file>

<file path=xl/worksheets/sheet18.xml><?xml version="1.0" encoding="utf-8"?>
<x:worksheet xmlns:x="http://schemas.openxmlformats.org/spreadsheetml/2006/main">
  <x:sheetFormatPr defaultRowHeight="15"/>
  <x:cols>
    <x:col min="1" max="1" width="44" hidden="0" customWidth="1"/>
    <x:col min="2" max="2" width="48" hidden="0" customWidth="1"/>
    <x:col min="3" max="3" width="14" hidden="0" customWidth="1"/>
    <x:col min="4" max="4" width="58" hidden="0" customWidth="1"/>
    <x:col min="5" max="5" width="42" hidden="0" customWidth="1"/>
    <x:col min="6" max="6" width="44" hidden="0" customWidth="1"/>
    <x:col min="7" max="7" width="44" hidden="0" customWidth="1"/>
    <x:col min="8" max="8" width="18" hidden="0" customWidth="1"/>
    <x:col min="9" max="9" width="68" hidden="0" customWidth="1"/>
    <x:col min="10" max="10" width="72" hidden="0" customWidth="1"/>
  </x:cols>
  <x:sheetData>
    <x:row r="1" ht="30" customHeight="1">
      <x:c r="A1" s="102" t="str">
        <x:v>Capability Gap Backlog</x:v>
      </x:c>
      <x:c r="B1" s="102"/>
      <x:c r="C1" s="102"/>
      <x:c r="D1" s="102"/>
      <x:c r="E1" s="102"/>
      <x:c r="F1" s="102"/>
      <x:c r="G1" s="102"/>
      <x:c r="H1" s="102"/>
      <x:c r="I1" s="102"/>
      <x:c r="J1" s="102"/>
    </x:row>
    <x:row r="2" ht="36" customHeight="1">
      <x:c r="A2" s="106" t="str">
        <x:v>High-value capabilities that were missing or underrepresented in the original 268-row catalogue. These are not yet included in the scored recommendation engine.</x:v>
      </x:c>
      <x:c r="B2" s="106"/>
      <x:c r="C2" s="106"/>
      <x:c r="D2" s="106"/>
      <x:c r="E2" s="106"/>
      <x:c r="F2" s="106"/>
      <x:c r="G2" s="106"/>
      <x:c r="H2" s="106"/>
      <x:c r="I2" s="106"/>
      <x:c r="J2" s="106"/>
    </x:row>
    <x:row r="4" ht="34" customHeight="1">
      <x:c r="A4" s="112" t="str">
        <x:v>Missing / underrepresented capability</x:v>
      </x:c>
      <x:c r="B4" s="112" t="str">
        <x:v>Architecture domain</x:v>
      </x:c>
      <x:c r="C4" s="112" t="str">
        <x:v>Priority</x:v>
      </x:c>
      <x:c r="D4" s="112" t="str">
        <x:v>Why it matters</x:v>
      </x:c>
      <x:c r="E4" s="112" t="str">
        <x:v>AWS starting point</x:v>
      </x:c>
      <x:c r="F4" s="112" t="str">
        <x:v>Azure starting point</x:v>
      </x:c>
      <x:c r="G4" s="112" t="str">
        <x:v>Google Cloud starting point</x:v>
      </x:c>
      <x:c r="H4" s="112" t="str">
        <x:v>Equivalence</x:v>
      </x:c>
      <x:c r="I4" s="112" t="str">
        <x:v>Decision note</x:v>
      </x:c>
      <x:c r="J4" s="112" t="str">
        <x:v>Official source</x:v>
      </x:c>
    </x:row>
    <x:row r="5">
      <x:c r="A5" s="115" t="str">
        <x:v>Cloud adoption strategy and roadmap</x:v>
      </x:c>
      <x:c r="B5" s="115" t="str">
        <x:v>01. Cloud Strategy, Operating Model &amp; Adoption</x:v>
      </x:c>
      <x:c r="C5" s="115" t="str">
        <x:v>Critical</x:v>
      </x:c>
      <x:c r="D5" s="115" t="str">
        <x:v>Define business outcomes, portfolio sequencing and adoption milestones.</x:v>
      </x:c>
      <x:c r="E5" s="115" t="str">
        <x:v>AWS Cloud Adoption Framework / AWS Professional Services</x:v>
      </x:c>
      <x:c r="F5" s="115" t="str">
        <x:v>Microsoft Cloud Adoption Framework</x:v>
      </x:c>
      <x:c r="G5" s="115" t="str">
        <x:v>Google Cloud Adoption Framework / Google Cloud Consulting</x:v>
      </x:c>
      <x:c r="H5" s="117" t="str">
        <x:v>Framework-led</x:v>
      </x:c>
      <x:c r="I5" s="115" t="str">
        <x:v>Not a single infrastructure service; assess consulting, tooling and operating-model support.</x:v>
      </x:c>
      <x:c r="J5" s="115" t="str">
        <x:v>https://learn.microsoft.com/en-us/azure/cloud-adoption-framework/</x:v>
      </x:c>
    </x:row>
    <x:row r="6">
      <x:c r="A6" s="115" t="str">
        <x:v>Cloud operating model and CCoE</x:v>
      </x:c>
      <x:c r="B6" s="115" t="str">
        <x:v>01. Cloud Strategy, Operating Model &amp; Adoption</x:v>
      </x:c>
      <x:c r="C6" s="115" t="str">
        <x:v>Critical</x:v>
      </x:c>
      <x:c r="D6" s="115" t="str">
        <x:v>Define decision rights, platform ownership, service management and enablement.</x:v>
      </x:c>
      <x:c r="E6" s="115" t="str">
        <x:v>AWS Cloud Operating Model guidance / AWS Managed Services</x:v>
      </x:c>
      <x:c r="F6" s="115" t="str">
        <x:v>Microsoft Cloud Adoption Framework / Azure Landing Zones</x:v>
      </x:c>
      <x:c r="G6" s="115" t="str">
        <x:v>Google Cloud landing-zone guidance / Cloud Foundation Toolkit</x:v>
      </x:c>
      <x:c r="H6" s="117" t="str">
        <x:v>Framework-led</x:v>
      </x:c>
      <x:c r="I6" s="115" t="str">
        <x:v>Must be tailored to organisation size, regulatory model and product structure.</x:v>
      </x:c>
      <x:c r="J6" s="115" t="str">
        <x:v>https://docs.aws.amazon.com/prescriptive-guidance/latest/strategy-cloud-operating-model/welcome.html</x:v>
      </x:c>
    </x:row>
    <x:row r="7">
      <x:c r="A7" s="115" t="str">
        <x:v>Cloud marketplace and private procurement</x:v>
      </x:c>
      <x:c r="B7" s="115" t="str">
        <x:v>03. FinOps, Procurement, Licensing, Marketplace &amp; Sustainability</x:v>
      </x:c>
      <x:c r="C7" s="115" t="str">
        <x:v>High</x:v>
      </x:c>
      <x:c r="D7" s="115" t="str">
        <x:v>Procure, govern and centrally approve third-party cloud software and services.</x:v>
      </x:c>
      <x:c r="E7" s="115" t="str">
        <x:v>AWS Marketplace / AWS Private Marketplace</x:v>
      </x:c>
      <x:c r="F7" s="115" t="str">
        <x:v>Microsoft Marketplace / Private Azure Marketplace</x:v>
      </x:c>
      <x:c r="G7" s="115" t="str">
        <x:v>Google Cloud Marketplace</x:v>
      </x:c>
      <x:c r="H7" s="117" t="str">
        <x:v>Close</x:v>
      </x:c>
      <x:c r="I7" s="115" t="str">
        <x:v>Compare private offers, billing consolidation, entitlement and procurement workflow.</x:v>
      </x:c>
      <x:c r="J7" s="115" t="str">
        <x:v>https://aws.amazon.com/marketplace/</x:v>
      </x:c>
    </x:row>
    <x:row r="8">
      <x:c r="A8" s="115" t="str">
        <x:v>Cloud support plans and escalation</x:v>
      </x:c>
      <x:c r="B8" s="115" t="str">
        <x:v>03. FinOps, Procurement, Licensing, Marketplace &amp; Sustainability</x:v>
      </x:c>
      <x:c r="C8" s="115" t="str">
        <x:v>High</x:v>
      </x:c>
      <x:c r="D8" s="115" t="str">
        <x:v>Select response times, technical account management and escalation paths.</x:v>
      </x:c>
      <x:c r="E8" s="115" t="str">
        <x:v>AWS Support</x:v>
      </x:c>
      <x:c r="F8" s="115" t="str">
        <x:v>Azure Support</x:v>
      </x:c>
      <x:c r="G8" s="115" t="str">
        <x:v>Google Cloud Customer Care</x:v>
      </x:c>
      <x:c r="H8" s="117" t="str">
        <x:v>Close</x:v>
      </x:c>
      <x:c r="I8" s="115" t="str">
        <x:v>Support economics and response commitments should be included in TCO and operating model.</x:v>
      </x:c>
      <x:c r="J8" s="115" t="str">
        <x:v>https://docs.aws.amazon.com/awssupport/latest/user/accessing-support.html</x:v>
      </x:c>
    </x:row>
    <x:row r="9">
      <x:c r="A9" s="115" t="str">
        <x:v>Service lifecycle, SLA and deprecation management</x:v>
      </x:c>
      <x:c r="B9" s="115" t="str">
        <x:v>03. FinOps, Procurement, Licensing, Marketplace &amp; Sustainability</x:v>
      </x:c>
      <x:c r="C9" s="115" t="str">
        <x:v>High</x:v>
      </x:c>
      <x:c r="D9" s="115" t="str">
        <x:v>Track service commitments, maintenance, retirement and regional availability.</x:v>
      </x:c>
      <x:c r="E9" s="115" t="str">
        <x:v>AWS Health / AWS SLAs / AWS What's New</x:v>
      </x:c>
      <x:c r="F9" s="115" t="str">
        <x:v>Azure Service Health / Azure Updates / Azure SLAs</x:v>
      </x:c>
      <x:c r="G9" s="115" t="str">
        <x:v>Personalized Service Health / Google Cloud release notes and deprecations</x:v>
      </x:c>
      <x:c r="H9" s="117" t="str">
        <x:v>Close</x:v>
      </x:c>
      <x:c r="I9" s="115" t="str">
        <x:v>A service can be technically suitable but unacceptable because of lifecycle or region constraints.</x:v>
      </x:c>
      <x:c r="J9" s="115" t="str">
        <x:v>https://aws.amazon.com/legal/service-level-agreements/</x:v>
      </x:c>
    </x:row>
    <x:row r="10">
      <x:c r="A10" s="115" t="str">
        <x:v>Low-code and no-code business applications</x:v>
      </x:c>
      <x:c r="B10" s="115" t="str">
        <x:v>15. Application Development, Web, Mobile, Frontend &amp; Low-Code</x:v>
      </x:c>
      <x:c r="C10" s="115" t="str">
        <x:v>Critical</x:v>
      </x:c>
      <x:c r="D10" s="115" t="str">
        <x:v>Build internal workflow and business applications with limited custom code.</x:v>
      </x:c>
      <x:c r="E10" s="115" t="str">
        <x:v>AWS App Studio</x:v>
      </x:c>
      <x:c r="F10" s="115" t="str">
        <x:v>Microsoft Power Apps</x:v>
      </x:c>
      <x:c r="G10" s="115" t="str">
        <x:v>Google AppSheet</x:v>
      </x:c>
      <x:c r="H10" s="117" t="str">
        <x:v>Close</x:v>
      </x:c>
      <x:c r="I10" s="115" t="str">
        <x:v>Compare governance, connector ecosystem, licensing, extensibility and citizen-development controls.</x:v>
      </x:c>
      <x:c r="J10" s="115" t="str">
        <x:v>https://aws.amazon.com/appstudio/</x:v>
      </x:c>
    </x:row>
    <x:row r="11">
      <x:c r="A11" s="115" t="str">
        <x:v>Mobile backend and app services</x:v>
      </x:c>
      <x:c r="B11" s="115" t="str">
        <x:v>15. Application Development, Web, Mobile, Frontend &amp; Low-Code</x:v>
      </x:c>
      <x:c r="C11" s="115" t="str">
        <x:v>High</x:v>
      </x:c>
      <x:c r="D11" s="115" t="str">
        <x:v>Provide authentication, APIs, data sync, notifications and hosting for mobile apps.</x:v>
      </x:c>
      <x:c r="E11" s="115" t="str">
        <x:v>AWS Amplify / Amazon Cognito / Amazon Pinpoint</x:v>
      </x:c>
      <x:c r="F11" s="115" t="str">
        <x:v>Azure App Service / Notification Hubs / Microsoft Entra External ID</x:v>
      </x:c>
      <x:c r="G11" s="115" t="str">
        <x:v>Firebase / Identity Platform / Cloud Run</x:v>
      </x:c>
      <x:c r="H11" s="117" t="str">
        <x:v>Close</x:v>
      </x:c>
      <x:c r="I11" s="115" t="str">
        <x:v>Provider offerings differ significantly in developer workflow and product boundaries.</x:v>
      </x:c>
      <x:c r="J11" s="115" t="str">
        <x:v>https://docs.cloud.google.com/docs/product-list</x:v>
      </x:c>
    </x:row>
    <x:row r="12">
      <x:c r="A12" s="115" t="str">
        <x:v>Managed data quality</x:v>
      </x:c>
      <x:c r="B12" s="115" t="str">
        <x:v>12. Data Governance, Quality, Catalogue, MDM, Sharing &amp; Clean Rooms</x:v>
      </x:c>
      <x:c r="C12" s="115" t="str">
        <x:v>Critical</x:v>
      </x:c>
      <x:c r="D12" s="115" t="str">
        <x:v>Profile, score, monitor and enforce data-quality rules.</x:v>
      </x:c>
      <x:c r="E12" s="115" t="str">
        <x:v>AWS Glue Data Quality</x:v>
      </x:c>
      <x:c r="F12" s="115" t="str">
        <x:v>Microsoft Purview Unified Catalog Data Quality</x:v>
      </x:c>
      <x:c r="G12" s="115" t="str">
        <x:v>Google Cloud Knowledge Catalog automatic data quality</x:v>
      </x:c>
      <x:c r="H12" s="117" t="str">
        <x:v>Exact</x:v>
      </x:c>
      <x:c r="I12" s="115" t="str">
        <x:v>Add workload coverage, rule-as-code, alerting and remediation criteria.</x:v>
      </x:c>
      <x:c r="J12" s="115" t="str">
        <x:v>https://docs.aws.amazon.com/glue/latest/dg/glue-data-quality.html</x:v>
      </x:c>
    </x:row>
    <x:row r="13">
      <x:c r="A13" s="115" t="str">
        <x:v>Master and reference data management</x:v>
      </x:c>
      <x:c r="B13" s="115" t="str">
        <x:v>12. Data Governance, Quality, Catalogue, MDM, Sharing &amp; Clean Rooms</x:v>
      </x:c>
      <x:c r="C13" s="115" t="str">
        <x:v>Critical</x:v>
      </x:c>
      <x:c r="D13" s="115" t="str">
        <x:v>Create trusted golden records, reference domains and stewardship workflows.</x:v>
      </x:c>
      <x:c r="E13" s="115" t="str">
        <x:v>AWS Entity Resolution plus partner MDM</x:v>
      </x:c>
      <x:c r="F13" s="115" t="str">
        <x:v>Microsoft Purview / Dataverse / CluedIn or partner MDM</x:v>
      </x:c>
      <x:c r="G13" s="115" t="str">
        <x:v>Knowledge Catalog plus partner MDM</x:v>
      </x:c>
      <x:c r="H13" s="117" t="str">
        <x:v>Partial</x:v>
      </x:c>
      <x:c r="I13" s="115" t="str">
        <x:v>No clean first-party one-to-one equivalent across the three clouds.</x:v>
      </x:c>
      <x:c r="J13" s="115" t="str">
        <x:v>https://learn.microsoft.com/en-us/purview/unified-catalog</x:v>
      </x:c>
    </x:row>
    <x:row r="14">
      <x:c r="A14" s="115" t="str">
        <x:v>Data observability</x:v>
      </x:c>
      <x:c r="B14" s="115" t="str">
        <x:v>12. Data Governance, Quality, Catalogue, MDM, Sharing &amp; Clean Rooms</x:v>
      </x:c>
      <x:c r="C14" s="115" t="str">
        <x:v>High</x:v>
      </x:c>
      <x:c r="D14" s="115" t="str">
        <x:v>Detect freshness, volume, schema, lineage and pipeline-quality failures.</x:v>
      </x:c>
      <x:c r="E14" s="115" t="str">
        <x:v>AWS Glue Data Quality / CloudWatch / partner tools</x:v>
      </x:c>
      <x:c r="F14" s="115" t="str">
        <x:v>Microsoft Purview / Fabric / Azure Monitor / partner tools</x:v>
      </x:c>
      <x:c r="G14" s="115" t="str">
        <x:v>Knowledge Catalog / Cloud Monitoring / partner tools</x:v>
      </x:c>
      <x:c r="H14" s="117" t="str">
        <x:v>Partial</x:v>
      </x:c>
      <x:c r="I14" s="115" t="str">
        <x:v>Distinguish data-quality rules from end-to-end data observability.</x:v>
      </x:c>
      <x:c r="J14" s="115" t="str">
        <x:v>https://docs.cloud.google.com/dataplex/docs/auto-data-quality-overview</x:v>
      </x:c>
    </x:row>
    <x:row r="15">
      <x:c r="A15" s="115" t="str">
        <x:v>Data contracts and schema registry</x:v>
      </x:c>
      <x:c r="B15" s="115" t="str">
        <x:v>12. Data Governance, Quality, Catalogue, MDM, Sharing &amp; Clean Rooms</x:v>
      </x:c>
      <x:c r="C15" s="115" t="str">
        <x:v>High</x:v>
      </x:c>
      <x:c r="D15" s="115" t="str">
        <x:v>Govern producer-consumer schema compatibility and data-product expectations.</x:v>
      </x:c>
      <x:c r="E15" s="115" t="str">
        <x:v>AWS Glue Schema Registry</x:v>
      </x:c>
      <x:c r="F15" s="115" t="str">
        <x:v>Azure Schema Registry in Event Hubs / Microsoft Purview</x:v>
      </x:c>
      <x:c r="G15" s="115" t="str">
        <x:v>Pub/Sub schemas / Managed Kafka schema capabilities</x:v>
      </x:c>
      <x:c r="H15" s="117" t="str">
        <x:v>Close</x:v>
      </x:c>
      <x:c r="I15" s="115" t="str">
        <x:v>Include compatibility, ownership, versioning and breaking-change workflow.</x:v>
      </x:c>
      <x:c r="J15" s="115" t="str">
        <x:v>https://docs.cloud.google.com/docs/product-list</x:v>
      </x:c>
    </x:row>
    <x:row r="16">
      <x:c r="A16" s="115" t="str">
        <x:v>API products, developer portals and monetisation</x:v>
      </x:c>
      <x:c r="B16" s="115" t="str">
        <x:v>16. APIs, Integration, Workflows, Eventing &amp; Process Automation</x:v>
      </x:c>
      <x:c r="C16" s="115" t="str">
        <x:v>High</x:v>
      </x:c>
      <x:c r="D16" s="115" t="str">
        <x:v>Package APIs for internal or external consumers with policy, subscription and commercial controls.</x:v>
      </x:c>
      <x:c r="E16" s="115" t="str">
        <x:v>Amazon API Gateway plus developer portal and billing patterns</x:v>
      </x:c>
      <x:c r="F16" s="115" t="str">
        <x:v>Azure API Management products, subscriptions and developer portal</x:v>
      </x:c>
      <x:c r="G16" s="115" t="str">
        <x:v>Apigee API products, developer portals and monetisation</x:v>
      </x:c>
      <x:c r="H16" s="117" t="str">
        <x:v>Partial</x:v>
      </x:c>
      <x:c r="I16" s="115" t="str">
        <x:v>Apigee has the clearest native monetisation; others often require additional commercial integration.</x:v>
      </x:c>
      <x:c r="J16" s="115" t="str">
        <x:v>https://docs.cloud.google.com/docs/product-list</x:v>
      </x:c>
    </x:row>
    <x:row r="17">
      <x:c r="A17" s="115" t="str">
        <x:v>Business process automation</x:v>
      </x:c>
      <x:c r="B17" s="115" t="str">
        <x:v>16. APIs, Integration, Workflows, Eventing &amp; Process Automation</x:v>
      </x:c>
      <x:c r="C17" s="115" t="str">
        <x:v>High</x:v>
      </x:c>
      <x:c r="D17" s="115" t="str">
        <x:v>Automate approvals, case workflows and repetitive business processes.</x:v>
      </x:c>
      <x:c r="E17" s="115" t="str">
        <x:v>AWS App Studio / Step Functions</x:v>
      </x:c>
      <x:c r="F17" s="115" t="str">
        <x:v>Power Automate / Logic Apps</x:v>
      </x:c>
      <x:c r="G17" s="115" t="str">
        <x:v>AppSheet Automation / Workflows</x:v>
      </x:c>
      <x:c r="H17" s="117" t="str">
        <x:v>Close</x:v>
      </x:c>
      <x:c r="I17" s="115" t="str">
        <x:v>Separate citizen automation from engineering-grade orchestration.</x:v>
      </x:c>
      <x:c r="J17" s="115" t="str">
        <x:v>https://cloud.google.com/appsheet/automation</x:v>
      </x:c>
    </x:row>
    <x:row r="18">
      <x:c r="A18" s="115" t="str">
        <x:v>Application resilience management</x:v>
      </x:c>
      <x:c r="B18" s="115" t="str">
        <x:v>19. Observability, Reliability, Performance, Operations, ITSM &amp; Support</x:v>
      </x:c>
      <x:c r="C18" s="115" t="str">
        <x:v>Critical</x:v>
      </x:c>
      <x:c r="D18" s="115" t="str">
        <x:v>Assess RTO/RPO posture, identify resilience gaps and validate recovery targets.</x:v>
      </x:c>
      <x:c r="E18" s="115" t="str">
        <x:v>AWS Resilience Hub</x:v>
      </x:c>
      <x:c r="F18" s="115" t="str">
        <x:v>Azure Business Continuity Center</x:v>
      </x:c>
      <x:c r="G18" s="115" t="str">
        <x:v>Google Cloud Backup and DR / Recommender / Architecture Framework</x:v>
      </x:c>
      <x:c r="H18" s="117" t="str">
        <x:v>Partial</x:v>
      </x:c>
      <x:c r="I18" s="115" t="str">
        <x:v>Google Cloud currently uses multiple capabilities rather than one direct equivalent.</x:v>
      </x:c>
      <x:c r="J18" s="115" t="str">
        <x:v>https://docs.aws.amazon.com/resilience-hub/latest/userguide/what-is.html</x:v>
      </x:c>
    </x:row>
    <x:row r="19">
      <x:c r="A19" s="115" t="str">
        <x:v>Capacity planning and reservation governance</x:v>
      </x:c>
      <x:c r="B19" s="115" t="str">
        <x:v>19. Observability, Reliability, Performance, Operations, ITSM &amp; Support</x:v>
      </x:c>
      <x:c r="C19" s="115" t="str">
        <x:v>High</x:v>
      </x:c>
      <x:c r="D19" s="115" t="str">
        <x:v>Forecast demand, manage quota and reserve scarce compute or accelerator capacity.</x:v>
      </x:c>
      <x:c r="E19" s="115" t="str">
        <x:v>AWS Compute Optimizer / Service Quotas / Capacity Reservations</x:v>
      </x:c>
      <x:c r="F19" s="115" t="str">
        <x:v>Azure Advisor / Azure Quotas / Capacity Reservations</x:v>
      </x:c>
      <x:c r="G19" s="115" t="str">
        <x:v>Google Cloud Capacity Planner / Cloud Quotas / Reservations</x:v>
      </x:c>
      <x:c r="H19" s="117" t="str">
        <x:v>Close</x:v>
      </x:c>
      <x:c r="I19" s="115" t="str">
        <x:v>Critical for GPUs, high-growth workloads and constrained regions.</x:v>
      </x:c>
      <x:c r="J19" s="115" t="str">
        <x:v>https://docs.cloud.google.com/docs/product-list</x:v>
      </x:c>
    </x:row>
    <x:row r="20">
      <x:c r="A20" s="115" t="str">
        <x:v>Real-user and digital-experience monitoring</x:v>
      </x:c>
      <x:c r="B20" s="115" t="str">
        <x:v>19. Observability, Reliability, Performance, Operations, ITSM &amp; Support</x:v>
      </x:c>
      <x:c r="C20" s="115" t="str">
        <x:v>High</x:v>
      </x:c>
      <x:c r="D20" s="115" t="str">
        <x:v>Measure actual user latency, errors, availability and frontend experience.</x:v>
      </x:c>
      <x:c r="E20" s="115" t="str">
        <x:v>CloudWatch RUM / CloudWatch Synthetics</x:v>
      </x:c>
      <x:c r="F20" s="115" t="str">
        <x:v>Application Insights / Azure Load Testing / Playwright Testing</x:v>
      </x:c>
      <x:c r="G20" s="115" t="str">
        <x:v>Google Cloud Observability / uptime checks / Firebase Performance Monitoring</x:v>
      </x:c>
      <x:c r="H20" s="117" t="str">
        <x:v>Close</x:v>
      </x:c>
      <x:c r="I20" s="115" t="str">
        <x:v>Use synthetic and real-user monitoring together for customer-facing systems.</x:v>
      </x:c>
      <x:c r="J20" s="115" t="str">
        <x:v>https://azure.microsoft.com/en-us/products</x:v>
      </x:c>
    </x:row>
    <x:row r="21">
      <x:c r="A21" s="115" t="str">
        <x:v>ITSM, CMDB and service-management integration</x:v>
      </x:c>
      <x:c r="B21" s="115" t="str">
        <x:v>19. Observability, Reliability, Performance, Operations, ITSM &amp; Support</x:v>
      </x:c>
      <x:c r="C21" s="115" t="str">
        <x:v>High</x:v>
      </x:c>
      <x:c r="D21" s="115" t="str">
        <x:v>Connect cloud events and assets to incident, change, configuration and service workflows.</x:v>
      </x:c>
      <x:c r="E21" s="115" t="str">
        <x:v>AWS Service Management Connector / AWS Config</x:v>
      </x:c>
      <x:c r="F21" s="115" t="str">
        <x:v>Azure Monitor and Azure Resource Graph integrations with ITSM platforms</x:v>
      </x:c>
      <x:c r="G21" s="115" t="str">
        <x:v>Cloud Asset Inventory and Google Cloud Observability integrations</x:v>
      </x:c>
      <x:c r="H21" s="117" t="str">
        <x:v>Partial</x:v>
      </x:c>
      <x:c r="I21" s="115" t="str">
        <x:v>Usually depends on ServiceNow or another enterprise ITSM platform.</x:v>
      </x:c>
      <x:c r="J21" s="115" t="str">
        <x:v>https://docs.aws.amazon.com/whitepapers/latest/aws-overview/customer-enablement.html</x:v>
      </x:c>
    </x:row>
    <x:row r="22">
      <x:c r="A22" s="115" t="str">
        <x:v>Green software and carbon-aware architecture</x:v>
      </x:c>
      <x:c r="B22" s="115" t="str">
        <x:v>03. FinOps, Procurement, Licensing, Marketplace &amp; Sustainability</x:v>
      </x:c>
      <x:c r="C22" s="115" t="str">
        <x:v>Medium</x:v>
      </x:c>
      <x:c r="D22" s="115" t="str">
        <x:v>Reduce environmental impact through region, utilisation, scheduling and retention decisions.</x:v>
      </x:c>
      <x:c r="E22" s="115" t="str">
        <x:v>AWS Customer Carbon Footprint Tool</x:v>
      </x:c>
      <x:c r="F22" s="115" t="str">
        <x:v>Microsoft Emissions Impact Dashboard</x:v>
      </x:c>
      <x:c r="G22" s="115" t="str">
        <x:v>Google Cloud Carbon Footprint</x:v>
      </x:c>
      <x:c r="H22" s="117" t="str">
        <x:v>Close</x:v>
      </x:c>
      <x:c r="I22" s="115" t="str">
        <x:v>Carbon reporting is only one input; architecture and utilisation drive the outcome.</x:v>
      </x:c>
      <x:c r="J22" s="115" t="str">
        <x:v>https://docs.cloud.google.com/architecture/framework/sustainability</x:v>
      </x:c>
    </x:row>
    <x:row r="23">
      <x:c r="A23" s="115" t="str">
        <x:v>Privacy operations and consent management</x:v>
      </x:c>
      <x:c r="B23" s="115" t="str">
        <x:v>04. Identity, Security, Privacy, Risk &amp; Compliance</x:v>
      </x:c>
      <x:c r="C23" s="115" t="str">
        <x:v>High</x:v>
      </x:c>
      <x:c r="D23" s="115" t="str">
        <x:v>Operationalise privacy assessments, requests, consent and sensitive-data controls.</x:v>
      </x:c>
      <x:c r="E23" s="115" t="str">
        <x:v>Amazon Macie / AWS Audit Manager plus privacy workflow tooling</x:v>
      </x:c>
      <x:c r="F23" s="115" t="str">
        <x:v>Microsoft Priva / Microsoft Purview</x:v>
      </x:c>
      <x:c r="G23" s="115" t="str">
        <x:v>Sensitive Data Protection plus workflow and governance tooling</x:v>
      </x:c>
      <x:c r="H23" s="117" t="str">
        <x:v>Partial</x:v>
      </x:c>
      <x:c r="I23" s="115" t="str">
        <x:v>Microsoft has the broadest first-party privacy-operations suite; others require composition.</x:v>
      </x:c>
      <x:c r="J23" s="115" t="str">
        <x:v>https://learn.microsoft.com/en-us/purview/</x:v>
      </x:c>
    </x:row>
    <x:row r="24">
      <x:c r="A24" s="115" t="str">
        <x:v>Cloud exit, repatriation and portability</x:v>
      </x:c>
      <x:c r="B24" s="115" t="str">
        <x:v>20. Migration, Modernisation, Hybrid, Multicloud &amp; Mainframe</x:v>
      </x:c>
      <x:c r="C24" s="115" t="str">
        <x:v>High</x:v>
      </x:c>
      <x:c r="D24" s="115" t="str">
        <x:v>Design contractual and technical paths to move data and workloads away from a provider.</x:v>
      </x:c>
      <x:c r="E24" s="115" t="str">
        <x:v>AWS DataSync / Transfer Family / Snow Family</x:v>
      </x:c>
      <x:c r="F24" s="115" t="str">
        <x:v>Azure Storage Mover / Data Box / Azure Migrate</x:v>
      </x:c>
      <x:c r="G24" s="115" t="str">
        <x:v>Storage Transfer Service / Transfer Appliance / Migrate services</x:v>
      </x:c>
      <x:c r="H24" s="117" t="str">
        <x:v>Architecture capability</x:v>
      </x:c>
      <x:c r="I24" s="115" t="str">
        <x:v>Must include data formats, egress, dependencies, keys, identity and operational knowledge.</x:v>
      </x:c>
      <x:c r="J24" s="115" t="str">
        <x:v>https://learn.microsoft.com/en-us/azure/cloud-adoption-framework/</x:v>
      </x:c>
    </x:row>
    <x:row r="25">
      <x:c r="A25" s="115" t="str">
        <x:v>Secure enterprise browser</x:v>
      </x:c>
      <x:c r="B25" s="115" t="str">
        <x:v>17. End-User Computing, Collaboration, Contact Centre &amp; Business Applications</x:v>
      </x:c>
      <x:c r="C25" s="115" t="str">
        <x:v>Medium</x:v>
      </x:c>
      <x:c r="D25" s="115" t="str">
        <x:v>Provide controlled browser access to corporate and SaaS applications.</x:v>
      </x:c>
      <x:c r="E25" s="115" t="str">
        <x:v>Amazon WorkSpaces Secure Browser</x:v>
      </x:c>
      <x:c r="F25" s="115" t="str">
        <x:v>Microsoft Edge for Business / Windows 365</x:v>
      </x:c>
      <x:c r="G25" s="115" t="str">
        <x:v>Chrome Enterprise Premium</x:v>
      </x:c>
      <x:c r="H25" s="117" t="str">
        <x:v>Close</x:v>
      </x:c>
      <x:c r="I25" s="115" t="str">
        <x:v>Compare device trust, DLP, identity and browser-management requirements.</x:v>
      </x:c>
      <x:c r="J25" s="115" t="str">
        <x:v>https://docs.cloud.google.com/docs/product-list</x:v>
      </x:c>
    </x:row>
    <x:row r="26">
      <x:c r="A26" s="115" t="str">
        <x:v>Software licence and asset optimisation</x:v>
      </x:c>
      <x:c r="B26" s="115" t="str">
        <x:v>03. FinOps, Procurement, Licensing, Marketplace &amp; Sustainability</x:v>
      </x:c>
      <x:c r="C26" s="115" t="str">
        <x:v>Medium</x:v>
      </x:c>
      <x:c r="D26" s="115" t="str">
        <x:v>Track licences, entitlement, hybrid benefits and software usage.</x:v>
      </x:c>
      <x:c r="E26" s="115" t="str">
        <x:v>AWS License Manager / Compute Optimizer</x:v>
      </x:c>
      <x:c r="F26" s="115" t="str">
        <x:v>Azure Hybrid Benefit / Microsoft Cost Management</x:v>
      </x:c>
      <x:c r="G26" s="115" t="str">
        <x:v>Google Cloud License Manager / Cloud Billing</x:v>
      </x:c>
      <x:c r="H26" s="117" t="str">
        <x:v>Close</x:v>
      </x:c>
      <x:c r="I26" s="115" t="str">
        <x:v>Commercial rights can matter more than technical service fit.</x:v>
      </x:c>
      <x:c r="J26" s="115" t="str">
        <x:v>https://docs.cloud.google.com/docs/product-list</x:v>
      </x:c>
    </x:row>
    <x:row r="27">
      <x:c r="A27" s="115" t="str">
        <x:v>Industry interoperability and regulated data spaces</x:v>
      </x:c>
      <x:c r="B27" s="115" t="str">
        <x:v>23. Industry Clouds, Sovereign, Enterprise Apps &amp; Regulated Workloads</x:v>
      </x:c>
      <x:c r="C27" s="115" t="str">
        <x:v>High</x:v>
      </x:c>
      <x:c r="D27" s="115" t="str">
        <x:v>Use sector standards, data models and controlled data-sharing patterns.</x:v>
      </x:c>
      <x:c r="E27" s="115" t="str">
        <x:v>AWS HealthLake and industry solutions</x:v>
      </x:c>
      <x:c r="F27" s="115" t="str">
        <x:v>Azure Health Data Services and Microsoft industry clouds</x:v>
      </x:c>
      <x:c r="G27" s="115" t="str">
        <x:v>Cloud Healthcare API and Google Cloud industry solutions</x:v>
      </x:c>
      <x:c r="H27" s="117" t="str">
        <x:v>Partial</x:v>
      </x:c>
      <x:c r="I27" s="115" t="str">
        <x:v>Create separate decision packs for healthcare, finance, public sector and other regulated industries.</x:v>
      </x:c>
      <x:c r="J27" s="115" t="str">
        <x:v>https://docs.cloud.google.com/docs/product-list</x:v>
      </x:c>
    </x:row>
    <x:row r="28">
      <x:c r="A28" s="115" t="str">
        <x:v>Robotics and autonomous edge systems</x:v>
      </x:c>
      <x:c r="B28" s="115" t="str">
        <x:v>21. IoT, Edge, OT, Digital Twins, Robotics &amp; Telecom</x:v>
      </x:c>
      <x:c r="C28" s="115" t="str">
        <x:v>Medium</x:v>
      </x:c>
      <x:c r="D28" s="115" t="str">
        <x:v>Run perception, control, fleet and ML workloads close to physical systems.</x:v>
      </x:c>
      <x:c r="E28" s="115" t="str">
        <x:v>AWS IoT Greengrass / SageMaker AI / partner robotics stack</x:v>
      </x:c>
      <x:c r="F28" s="115" t="str">
        <x:v>Azure IoT Operations / AKS edge / partner robotics stack</x:v>
      </x:c>
      <x:c r="G28" s="115" t="str">
        <x:v>Google Distributed Cloud / Vertex AI / partner robotics stack</x:v>
      </x:c>
      <x:c r="H28" s="117" t="str">
        <x:v>Partial</x:v>
      </x:c>
      <x:c r="I28" s="115" t="str">
        <x:v>There is no universal managed robotics platform across all three providers.</x:v>
      </x:c>
      <x:c r="J28" s="115" t="str">
        <x:v>https://docs.cloud.google.com/docs/product-list</x:v>
      </x:c>
    </x:row>
    <x:row r="29">
      <x:c r="A29" s="115" t="str">
        <x:v>Spatial and mixed-reality experiences</x:v>
      </x:c>
      <x:c r="B29" s="115" t="str">
        <x:v>22. Media, Communications, Gaming, Geospatial &amp; Spatial Computing</x:v>
      </x:c>
      <x:c r="C29" s="115" t="str">
        <x:v>Low</x:v>
      </x:c>
      <x:c r="D29" s="115" t="str">
        <x:v>Build immersive, spatial or mixed-reality applications and digital environments.</x:v>
      </x:c>
      <x:c r="E29" s="115" t="str">
        <x:v>AWS spatial/3D partner ecosystem</x:v>
      </x:c>
      <x:c r="F29" s="115" t="str">
        <x:v>Microsoft Mesh and partner mixed-reality services</x:v>
      </x:c>
      <x:c r="G29" s="115" t="str">
        <x:v>ARCore / Google Maps Platform and partner XR services</x:v>
      </x:c>
      <x:c r="H29" s="117" t="str">
        <x:v>Partial</x:v>
      </x:c>
      <x:c r="I29" s="115" t="str">
        <x:v>Service lifecycles in this area change frequently; verify before recommending.</x:v>
      </x:c>
      <x:c r="J29" s="115" t="str">
        <x:v>https://azure.microsoft.com/en-us/products/category</x:v>
      </x:c>
    </x:row>
    <x:row r="30">
      <x:c r="A30" s="115" t="str">
        <x:v>Post-quantum cryptography readiness</x:v>
      </x:c>
      <x:c r="B30" s="115" t="str">
        <x:v>24. Emerging Technologies: Quantum, Blockchain &amp; Satellite</x:v>
      </x:c>
      <x:c r="C30" s="115" t="str">
        <x:v>Medium</x:v>
      </x:c>
      <x:c r="D30" s="115" t="str">
        <x:v>Inventory cryptographic dependencies and prepare for quantum-resistant algorithms.</x:v>
      </x:c>
      <x:c r="E30" s="115" t="str">
        <x:v>AWS KMS / AWS Private CA and post-quantum guidance</x:v>
      </x:c>
      <x:c r="F30" s="115" t="str">
        <x:v>Azure Key Vault / Microsoft security guidance</x:v>
      </x:c>
      <x:c r="G30" s="115" t="str">
        <x:v>Cloud KMS / Certificate Authority Service and Google security guidance</x:v>
      </x:c>
      <x:c r="H30" s="117" t="str">
        <x:v>Architecture capability</x:v>
      </x:c>
      <x:c r="I30" s="115" t="str">
        <x:v>This is a security transformation programme, not only a quantum-compute choice.</x:v>
      </x:c>
      <x:c r="J30" s="115" t="str">
        <x:v>https://docs.aws.amazon.com/wellarchitected/latest/userguide/waf.html</x:v>
      </x:c>
    </x:row>
  </x:sheetData>
  <x:mergeCells>
    <x:mergeCell ref="A1:J1"/>
    <x:mergeCell ref="A2:J2"/>
  </x:mergeCells>
  <x:conditionalFormatting sqref="C5:C30">
    <x:cfRule type="expression" dxfId="15" priority="1">
      <x:formula>C5="Critical"</x:formula>
    </x:cfRule>
    <x:cfRule type="expression" dxfId="16" priority="2">
      <x:formula>C5="High"</x:formula>
    </x:cfRule>
  </x:conditionalFormatting>
  <x:pageMargins left="0.7" right="0.7" top="0.75" bottom="0.75" header="0.3" footer="0.3"/>
  <x:tableParts count="1">
    <x:tablePart xmlns:r="http://schemas.openxmlformats.org/officeDocument/2006/relationships" r:id="R71d37add1a984090"/>
  </x:tableParts>
</x:worksheet>
</file>

<file path=xl/worksheets/sheet19.xml><?xml version="1.0" encoding="utf-8"?>
<x:worksheet xmlns:x="http://schemas.openxmlformats.org/spreadsheetml/2006/main">
  <x:sheetFormatPr defaultRowHeight="15"/>
  <x:cols>
    <x:col min="1" max="1" width="24" hidden="0" customWidth="1"/>
    <x:col min="2" max="2" width="34" hidden="0" customWidth="1"/>
    <x:col min="3" max="3" width="52" hidden="0" customWidth="1"/>
    <x:col min="4" max="4" width="46" hidden="0" customWidth="1"/>
    <x:col min="5" max="5" width="48" hidden="0" customWidth="1"/>
    <x:col min="6" max="6" width="42" hidden="0" customWidth="1"/>
    <x:col min="7" max="7" width="42" hidden="0" customWidth="1"/>
    <x:col min="8" max="8" width="48" hidden="0" customWidth="1"/>
    <x:col min="9" max="9" width="42" hidden="0" customWidth="1"/>
    <x:col min="10" max="10" width="56" hidden="0" customWidth="1"/>
    <x:col min="11" max="11" width="70" hidden="0" customWidth="1"/>
    <x:col min="12" max="12" width="14" hidden="0" customWidth="1"/>
  </x:cols>
  <x:sheetData>
    <x:row r="1" ht="30" customHeight="1">
      <x:c r="A1" s="144" t="str">
        <x:v>AI Platform Component Deep Dive</x:v>
      </x:c>
      <x:c r="B1" s="144"/>
      <x:c r="C1" s="144"/>
      <x:c r="D1" s="144"/>
      <x:c r="E1" s="144"/>
      <x:c r="F1" s="144"/>
      <x:c r="G1" s="144"/>
      <x:c r="H1" s="144"/>
      <x:c r="I1" s="144"/>
      <x:c r="J1" s="144"/>
      <x:c r="K1" s="144"/>
      <x:c r="L1" s="144"/>
    </x:row>
    <x:row r="2" ht="40" customHeight="1">
      <x:c r="A2" s="148" t="str">
        <x:v>Platform names are decomposed into governance, safety, evaluation, MLOps, agent, RAG and operational components. Databricks is shown as a cross-cloud platform; AWS separates SageMaker AI and Bedrock.</x:v>
      </x:c>
      <x:c r="B2" s="148"/>
      <x:c r="C2" s="148"/>
      <x:c r="D2" s="148"/>
      <x:c r="E2" s="148"/>
      <x:c r="F2" s="148"/>
      <x:c r="G2" s="148"/>
      <x:c r="H2" s="148"/>
      <x:c r="I2" s="148"/>
      <x:c r="J2" s="148"/>
      <x:c r="K2" s="148"/>
      <x:c r="L2" s="148"/>
    </x:row>
    <x:row r="4" ht="38" customHeight="1">
      <x:c r="A4" s="154" t="str">
        <x:v>Lifecycle domain</x:v>
      </x:c>
      <x:c r="B4" s="154" t="str">
        <x:v>Detailed capability</x:v>
      </x:c>
      <x:c r="C4" s="154" t="str">
        <x:v>Control or engineering purpose</x:v>
      </x:c>
      <x:c r="D4" s="154" t="str">
        <x:v>Databricks Unity Catalog / Unity AI Gateway / MLflow</x:v>
      </x:c>
      <x:c r="E4" s="154" t="str">
        <x:v>Microsoft Foundry / Azure ML / Purview</x:v>
      </x:c>
      <x:c r="F4" s="154" t="str">
        <x:v>AWS SageMaker AI</x:v>
      </x:c>
      <x:c r="G4" s="154" t="str">
        <x:v>Amazon Bedrock</x:v>
      </x:c>
      <x:c r="H4" s="154" t="str">
        <x:v>Gemini Enterprise Agent Platform</x:v>
      </x:c>
      <x:c r="I4" s="154" t="str">
        <x:v>Complementary Google Cloud services</x:v>
      </x:c>
      <x:c r="J4" s="154" t="str">
        <x:v>Important distinction / caveat</x:v>
      </x:c>
      <x:c r="K4" s="154" t="str">
        <x:v>Primary official source</x:v>
      </x:c>
      <x:c r="L4" s="154" t="str">
        <x:v>Verified date</x:v>
      </x:c>
    </x:row>
    <x:row r="5">
      <x:c r="A5" s="155" t="str">
        <x:v>Enterprise governance</x:v>
      </x:c>
      <x:c r="B5" s="156" t="str">
        <x:v>Enterprise AI control plane</x:v>
      </x:c>
      <x:c r="C5" s="115" t="str">
        <x:v>Provide cross-project or cross-workspace inventory, governance and operating oversight.</x:v>
      </x:c>
      <x:c r="D5" s="115" t="str">
        <x:v>Unity Catalog governs assets; Unity AI Gateway governs AI traffic and service behaviour.</x:v>
      </x:c>
      <x:c r="E5" s="115" t="str">
        <x:v>Microsoft Foundry Control Plane manages agents, models and tools across projects with compliance, cost and security views.</x:v>
      </x:c>
      <x:c r="F5" s="115" t="str">
        <x:v>SageMaker Model Dashboard, Model Registry, Assets and DataZone provide ML governance; not one single GenAI fleet control plane.</x:v>
      </x:c>
      <x:c r="G5" s="115" t="str">
        <x:v>Bedrock governance is assembled from IAM, Guardrails, evaluations, CloudTrail, CloudWatch and related AWS governance services.</x:v>
      </x:c>
      <x:c r="H5" s="115" t="str">
        <x:v>Agent Platform provides centralized build, scale, govern and optimize experiences; Gemini Enterprise app provides organization-level agent visibility.</x:v>
      </x:c>
      <x:c r="I5" s="115" t="str">
        <x:v>Cloud Asset Inventory, IAM, Security Command Center, Cloud Audit Logs, Dataplex Universal Catalog.</x:v>
      </x:c>
      <x:c r="J5" s="157" t="str">
        <x:v>Databricks and Google separate asset governance from traffic/runtime governance; Microsoft is moving toward one fleet control plane.</x:v>
      </x:c>
      <x:c r="K5" s="115" t="str">
        <x:v>https://learn.microsoft.com/en-us/azure/foundry/control-plane/overview</x:v>
      </x:c>
      <x:c r="L5" s="115" t="str">
        <x:v>2026-07-12</x:v>
      </x:c>
    </x:row>
    <x:row r="6">
      <x:c r="A6" s="155" t="str">
        <x:v>Enterprise governance</x:v>
      </x:c>
      <x:c r="B6" s="156" t="str">
        <x:v>AI asset inventory</x:v>
      </x:c>
      <x:c r="C6" s="115" t="str">
        <x:v>Discover agents, models, tools, prompts and governed AI resources.</x:v>
      </x:c>
      <x:c r="D6" s="115" t="str">
        <x:v>Catalog Explorer; Unity Catalog securables including models, model services, MCP services, functions and connections.</x:v>
      </x:c>
      <x:c r="E6" s="115" t="str">
        <x:v>Foundry Control Plane Assets pane for agents, models and tools across projects.</x:v>
      </x:c>
      <x:c r="F6" s="115" t="str">
        <x:v>Model Registry, Model Dashboard, SageMaker Assets and Studio.</x:v>
      </x:c>
      <x:c r="G6" s="115" t="str">
        <x:v>Bedrock resources inventory through console/APIs, AWS Config patterns and tagging.</x:v>
      </x:c>
      <x:c r="H6" s="115" t="str">
        <x:v>Agent Registry catalogs agents, tools and MCP servers; model registry remains part of Agent Platform.</x:v>
      </x:c>
      <x:c r="I6" s="115" t="str">
        <x:v>Cloud Asset Inventory and Dataplex Universal Catalog.</x:v>
      </x:c>
      <x:c r="J6" s="157" t="str">
        <x:v>Inventory coverage differs: some products catalog models, while others catalog the full agent/tool estate.</x:v>
      </x:c>
      <x:c r="K6" s="115" t="str">
        <x:v>https://docs.databricks.com/aws/en/ai-gateway/</x:v>
      </x:c>
      <x:c r="L6" s="115" t="str">
        <x:v>2026-07-12</x:v>
      </x:c>
    </x:row>
    <x:row r="7">
      <x:c r="A7" s="155" t="str">
        <x:v>Enterprise governance</x:v>
      </x:c>
      <x:c r="B7" s="156" t="str">
        <x:v>Project and workspace administration</x:v>
      </x:c>
      <x:c r="C7" s="115" t="str">
        <x:v>Control project boundaries, connected resources, ownership and administrators.</x:v>
      </x:c>
      <x:c r="D7" s="115" t="str">
        <x:v>Account, metastore, catalog, schema and workspace bindings.</x:v>
      </x:c>
      <x:c r="E7" s="115" t="str">
        <x:v>Foundry Admin pane, projects, hubs/connected resources, Azure RBAC and subscription hierarchy.</x:v>
      </x:c>
      <x:c r="F7" s="115" t="str">
        <x:v>SageMaker domains, spaces, user profiles, IAM and AWS Organizations.</x:v>
      </x:c>
      <x:c r="G7" s="115" t="str">
        <x:v>Bedrock projects are governed through AWS accounts, IAM, tags, VPC and surrounding AWS controls.</x:v>
      </x:c>
      <x:c r="H7" s="115" t="str">
        <x:v>Projects, folders, organizations, Agent Platform administration and Gemini Enterprise Admin.</x:v>
      </x:c>
      <x:c r="I7" s="115" t="str">
        <x:v>Resource Manager, Organization Policy Service and IAM.</x:v>
      </x:c>
      <x:c r="J7" s="157" t="str">
        <x:v>Cloud hierarchy remains the ultimate governance boundary even when the AI platform has its own project concept.</x:v>
      </x:c>
      <x:c r="K7" s="115" t="str">
        <x:v>https://learn.microsoft.com/en-us/azure/foundry/control-plane/overview</x:v>
      </x:c>
      <x:c r="L7" s="115" t="str">
        <x:v>2026-07-12</x:v>
      </x:c>
    </x:row>
    <x:row r="8">
      <x:c r="A8" s="155" t="str">
        <x:v>Identity and access</x:v>
      </x:c>
      <x:c r="B8" s="156" t="str">
        <x:v>Role-based access control</x:v>
      </x:c>
      <x:c r="C8" s="115" t="str">
        <x:v>Grant least-privilege access to AI assets and operations.</x:v>
      </x:c>
      <x:c r="D8" s="115" t="str">
        <x:v>Unity Catalog privileges, ownership, privilege inheritance and workspace bindings.</x:v>
      </x:c>
      <x:c r="E8" s="115" t="str">
        <x:v>Azure RBAC, Microsoft Entra ID and Foundry project roles.</x:v>
      </x:c>
      <x:c r="F8" s="115" t="str">
        <x:v>IAM policies and SageMaker Role Manager persona-based roles.</x:v>
      </x:c>
      <x:c r="G8" s="115" t="str">
        <x:v>IAM permissions for models, agents, knowledge bases, prompts and guardrails.</x:v>
      </x:c>
      <x:c r="H8" s="115" t="str">
        <x:v>Cloud IAM roles and Agent Identity.</x:v>
      </x:c>
      <x:c r="I8" s="115" t="str">
        <x:v>IAM Conditions, Access Context Manager and service accounts.</x:v>
      </x:c>
      <x:c r="J8" s="157" t="str">
        <x:v>Use workload/agent identity separately from human identity.</x:v>
      </x:c>
      <x:c r="K8" s="115" t="str">
        <x:v>https://docs.aws.amazon.com/sagemaker/latest/dg/governance.html</x:v>
      </x:c>
      <x:c r="L8" s="115" t="str">
        <x:v>2026-07-12</x:v>
      </x:c>
    </x:row>
    <x:row r="9">
      <x:c r="A9" s="155" t="str">
        <x:v>Identity and access</x:v>
      </x:c>
      <x:c r="B9" s="156" t="str">
        <x:v>Attribute-based access control</x:v>
      </x:c>
      <x:c r="C9" s="115" t="str">
        <x:v>Apply policies based on tags, classifications, users or contextual attributes.</x:v>
      </x:c>
      <x:c r="D9" s="115" t="str">
        <x:v>Unity Catalog ABAC grant policies, row filters and column masks.</x:v>
      </x:c>
      <x:c r="E9" s="115" t="str">
        <x:v>Azure ABAC conditions, Azure Policy, Purview classifications and Entra Conditional Access patterns.</x:v>
      </x:c>
      <x:c r="F9" s="115" t="str">
        <x:v>IAM tags and conditions, Lake Formation LF-Tags and resource policies.</x:v>
      </x:c>
      <x:c r="G9" s="115" t="str">
        <x:v>IAM conditions and resource tags; Bedrock does not provide a separate universal ABAC layer.</x:v>
      </x:c>
      <x:c r="H9" s="115" t="str">
        <x:v>IAM Conditions, metadata labels and governance policies.</x:v>
      </x:c>
      <x:c r="I9" s="115" t="str">
        <x:v>IAM Conditions, tags and VPC Service Controls.</x:v>
      </x:c>
      <x:c r="J9" s="157" t="str">
        <x:v>ABAC maturity varies by object type; verify support for agents, models, tools and data separately.</x:v>
      </x:c>
      <x:c r="K9" s="115" t="str">
        <x:v>https://docs.databricks.com/aws/en/data-governance/unity-catalog/</x:v>
      </x:c>
      <x:c r="L9" s="115" t="str">
        <x:v>2026-07-12</x:v>
      </x:c>
    </x:row>
    <x:row r="10">
      <x:c r="A10" s="155" t="str">
        <x:v>Identity and access</x:v>
      </x:c>
      <x:c r="B10" s="156" t="str">
        <x:v>Agent identity</x:v>
      </x:c>
      <x:c r="C10" s="115" t="str">
        <x:v>Give agents their own identity or allow controlled delegation on behalf of a user.</x:v>
      </x:c>
      <x:c r="D10" s="115" t="str">
        <x:v>Databricks unified authentication and user passthrough patterns; agent access is bounded by Unity Catalog privileges.</x:v>
      </x:c>
      <x:c r="E10" s="115" t="str">
        <x:v>Microsoft Entra agent identity and Foundry Agent Service managed identity patterns.</x:v>
      </x:c>
      <x:c r="F10" s="115" t="str">
        <x:v>IAM roles for agents and workloads; service roles for SageMaker and Bedrock.</x:v>
      </x:c>
      <x:c r="G10" s="115" t="str">
        <x:v>Bedrock Agents service roles and action-group permissions.</x:v>
      </x:c>
      <x:c r="H10" s="115" t="str">
        <x:v>Agent Identity can authenticate to tools, cloud resources, endpoints and other agents, as itself or on behalf of a user.</x:v>
      </x:c>
      <x:c r="I10" s="115" t="str">
        <x:v>Workload Identity Federation, IAM service accounts and IAP.</x:v>
      </x:c>
      <x:c r="J10" s="157" t="str">
        <x:v>Agent identity is an AI-specific control and should be documented independently from the model endpoint identity.</x:v>
      </x:c>
      <x:c r="K10" s="115" t="str">
        <x:v>https://docs.cloud.google.com/gemini-enterprise-agent-platform/release-notes</x:v>
      </x:c>
      <x:c r="L10" s="115" t="str">
        <x:v>2026-07-12</x:v>
      </x:c>
    </x:row>
    <x:row r="11">
      <x:c r="A11" s="155" t="str">
        <x:v>AI asset governance</x:v>
      </x:c>
      <x:c r="B11" s="156" t="str">
        <x:v>Model registry and lifecycle</x:v>
      </x:c>
      <x:c r="C11" s="115" t="str">
        <x:v>Register, version, approve and promote models through lifecycle stages.</x:v>
      </x:c>
      <x:c r="D11" s="115" t="str">
        <x:v>MLflow Model Registry in Unity Catalog with versions, parameters, metrics, lineage and deployment jobs.</x:v>
      </x:c>
      <x:c r="E11" s="115" t="str">
        <x:v>Azure Machine Learning model registry and Foundry Models catalog/deployments.</x:v>
      </x:c>
      <x:c r="F11" s="115" t="str">
        <x:v>SageMaker Model Registry with versions, metadata and approval status.</x:v>
      </x:c>
      <x:c r="G11" s="115" t="str">
        <x:v>Bedrock manages provider/customized models, but SageMaker Model Registry is the stronger traditional model-lifecycle registry.</x:v>
      </x:c>
      <x:c r="H11" s="115" t="str">
        <x:v>Agent Platform Model Registry; model support and lifecycle are now within Gemini Enterprise Agent Platform.</x:v>
      </x:c>
      <x:c r="I11" s="115" t="str">
        <x:v>Artifact Registry and ML Metadata for supporting artifacts.</x:v>
      </x:c>
      <x:c r="J11" s="157" t="str">
        <x:v>Do not confuse a foundation-model catalog with an internal model registry.</x:v>
      </x:c>
      <x:c r="K11" s="115" t="str">
        <x:v>https://docs.databricks.com/aws/en/mlflow/</x:v>
      </x:c>
      <x:c r="L11" s="115" t="str">
        <x:v>2026-07-12</x:v>
      </x:c>
    </x:row>
    <x:row r="12">
      <x:c r="A12" s="155" t="str">
        <x:v>AI asset governance</x:v>
      </x:c>
      <x:c r="B12" s="156" t="str">
        <x:v>Foundation model catalog</x:v>
      </x:c>
      <x:c r="C12" s="115" t="str">
        <x:v>Discover first-party and partner foundation models.</x:v>
      </x:c>
      <x:c r="D12" s="115" t="str">
        <x:v>Databricks-hosted foundation models and external model providers exposed through model services.</x:v>
      </x:c>
      <x:c r="E12" s="115" t="str">
        <x:v>Foundry Models catalog including Microsoft, OpenAI and partner models.</x:v>
      </x:c>
      <x:c r="F12" s="115" t="str">
        <x:v>SageMaker JumpStart model hub.</x:v>
      </x:c>
      <x:c r="G12" s="115" t="str">
        <x:v>Amazon Bedrock model catalog.</x:v>
      </x:c>
      <x:c r="H12" s="115" t="str">
        <x:v>Agent Platform Models with Google and partner models; platform documentation states access to more than 200 models.</x:v>
      </x:c>
      <x:c r="I12" s="115" t="str">
        <x:v>Model Garden / Agent Platform Models.</x:v>
      </x:c>
      <x:c r="J12" s="157" t="str">
        <x:v>Catalog breadth is not the same as governance depth or regional availability.</x:v>
      </x:c>
      <x:c r="K12" s="115" t="str">
        <x:v>https://learn.microsoft.com/en-us/azure/foundry/concepts/foundry-models-overview</x:v>
      </x:c>
      <x:c r="L12" s="115" t="str">
        <x:v>2026-07-12</x:v>
      </x:c>
    </x:row>
    <x:row r="13">
      <x:c r="A13" s="155" t="str">
        <x:v>AI asset governance</x:v>
      </x:c>
      <x:c r="B13" s="156" t="str">
        <x:v>Prompt registry and versioning</x:v>
      </x:c>
      <x:c r="C13" s="115" t="str">
        <x:v>Store, version and reuse prompts with traceable changes.</x:v>
      </x:c>
      <x:c r="D13" s="115" t="str">
        <x:v>MLflow 3 logged models/traces and prompt/version tracking patterns.</x:v>
      </x:c>
      <x:c r="E13" s="115" t="str">
        <x:v>Foundry prompt flow and prompt assets; tracing and evaluation can link prompt changes to outcomes.</x:v>
      </x:c>
      <x:c r="F13" s="115" t="str">
        <x:v>SageMaker/MLflow experiment artifacts; no single SageMaker-native prompt registry equivalent.</x:v>
      </x:c>
      <x:c r="G13" s="115" t="str">
        <x:v>Amazon Bedrock Prompt Management.</x:v>
      </x:c>
      <x:c r="H13" s="115" t="str">
        <x:v>Agent Platform Prompt Management and Prompt Optimization.</x:v>
      </x:c>
      <x:c r="I13" s="115" t="str">
        <x:v>Cloud Source Repositories alternatives, Artifact Registry and Git-based controls.</x:v>
      </x:c>
      <x:c r="J13" s="157" t="str">
        <x:v>A production prompt should be treated as a governed artifact with owner, version, evaluation and rollback.</x:v>
      </x:c>
      <x:c r="K13" s="115" t="str">
        <x:v>https://docs.aws.amazon.com/bedrock/latest/userguide/prompt-management.html</x:v>
      </x:c>
      <x:c r="L13" s="115" t="str">
        <x:v>2026-07-12</x:v>
      </x:c>
    </x:row>
    <x:row r="14">
      <x:c r="A14" s="155" t="str">
        <x:v>AI asset governance</x:v>
      </x:c>
      <x:c r="B14" s="156" t="str">
        <x:v>Tool, function and connection catalog</x:v>
      </x:c>
      <x:c r="C14" s="115" t="str">
        <x:v>Register and govern tools, functions and external connections used by agents.</x:v>
      </x:c>
      <x:c r="D14" s="115" t="str">
        <x:v>Unity Catalog functions, MCP Services and connections are securable objects.</x:v>
      </x:c>
      <x:c r="E14" s="115" t="str">
        <x:v>Foundry Agent Service tools, connected resources and Control Plane tool inventory.</x:v>
      </x:c>
      <x:c r="F14" s="115" t="str">
        <x:v>SageMaker functions are typically implemented through Lambda, APIs and feature/data services.</x:v>
      </x:c>
      <x:c r="G14" s="115" t="str">
        <x:v>Bedrock Agent action groups, Lambda functions, APIs and knowledge bases.</x:v>
      </x:c>
      <x:c r="H14" s="115" t="str">
        <x:v>Skill Registry, Agent Registry, MCP servers and tools.</x:v>
      </x:c>
      <x:c r="I14" s="115" t="str">
        <x:v>API Gateway, Cloud Run, Integration Connectors and Service Directory.</x:v>
      </x:c>
      <x:c r="J14" s="157" t="str">
        <x:v>Tool governance requires both catalog permissions and runtime policy enforcement.</x:v>
      </x:c>
      <x:c r="K14" s="115" t="str">
        <x:v>https://docs.databricks.com/aws/en/ai-gateway/</x:v>
      </x:c>
      <x:c r="L14" s="115" t="str">
        <x:v>2026-07-12</x:v>
      </x:c>
    </x:row>
    <x:row r="15">
      <x:c r="A15" s="155" t="str">
        <x:v>AI asset governance</x:v>
      </x:c>
      <x:c r="B15" s="156" t="str">
        <x:v>MCP governance</x:v>
      </x:c>
      <x:c r="C15" s="115" t="str">
        <x:v>Register, authorize and filter MCP servers and tools.</x:v>
      </x:c>
      <x:c r="D15" s="115" t="str">
        <x:v>Unity Catalog MCP Services with privileges, tool filtering and service policies.</x:v>
      </x:c>
      <x:c r="E15" s="115" t="str">
        <x:v>Foundry supports MCP-connected agents and agent/tool governance through Control Plane and Entra.</x:v>
      </x:c>
      <x:c r="F15" s="115" t="str">
        <x:v>MCP endpoints can be hosted in AWS services and governed with IAM/API controls.</x:v>
      </x:c>
      <x:c r="G15" s="115" t="str">
        <x:v>Bedrock Agents and AgentCore can integrate tools; MCP governance is composed with IAM and gateway controls.</x:v>
      </x:c>
      <x:c r="H15" s="115" t="str">
        <x:v>Agent Registry, Agent Gateway and remote MCP server support.</x:v>
      </x:c>
      <x:c r="I15" s="115" t="str">
        <x:v>IAM, IAP, Cloud Run, API Gateway and VPC controls.</x:v>
      </x:c>
      <x:c r="J15" s="157" t="str">
        <x:v>MCP support is evolving quickly; verify preview/GA status before production approval.</x:v>
      </x:c>
      <x:c r="K15" s="115" t="str">
        <x:v>https://docs.cloud.google.com/gemini-enterprise-agent-platform/govern</x:v>
      </x:c>
      <x:c r="L15" s="115" t="str">
        <x:v>2026-07-12</x:v>
      </x:c>
    </x:row>
    <x:row r="16">
      <x:c r="A16" s="155" t="str">
        <x:v>Data and lineage</x:v>
      </x:c>
      <x:c r="B16" s="156" t="str">
        <x:v>Unified data and AI catalog</x:v>
      </x:c>
      <x:c r="C16" s="115" t="str">
        <x:v>Govern tables, files, features, models and AI assets from a common metadata layer.</x:v>
      </x:c>
      <x:c r="D16" s="115" t="str">
        <x:v>Unity Catalog is the unified governance layer for data and AI.</x:v>
      </x:c>
      <x:c r="E16" s="115" t="str">
        <x:v>Microsoft Purview for enterprise data governance; Foundry Control Plane for AI fleet governance.</x:v>
      </x:c>
      <x:c r="F16" s="115" t="str">
        <x:v>Amazon DataZone, Glue Data Catalog, Lake Formation and SageMaker Assets.</x:v>
      </x:c>
      <x:c r="G16" s="115" t="str">
        <x:v>Bedrock Knowledge Bases connect governed data sources but are not a full enterprise data catalog.</x:v>
      </x:c>
      <x:c r="H16" s="115" t="str">
        <x:v>Dataplex Universal Catalog plus Agent Registry and Model Registry.</x:v>
      </x:c>
      <x:c r="I16" s="115" t="str">
        <x:v>Dataplex Universal Catalog, Cloud Asset Inventory and BigQuery metadata.</x:v>
      </x:c>
      <x:c r="J16" s="157" t="str">
        <x:v>Microsoft and Google commonly use separate data-governance and AI-governance products; Databricks emphasizes one catalog.</x:v>
      </x:c>
      <x:c r="K16" s="115" t="str">
        <x:v>https://docs.databricks.com/aws/en/data-governance/unity-catalog/</x:v>
      </x:c>
      <x:c r="L16" s="115" t="str">
        <x:v>2026-07-12</x:v>
      </x:c>
    </x:row>
    <x:row r="17">
      <x:c r="A17" s="155" t="str">
        <x:v>Data and lineage</x:v>
      </x:c>
      <x:c r="B17" s="156" t="str">
        <x:v>Data and model lineage</x:v>
      </x:c>
      <x:c r="C17" s="115" t="str">
        <x:v>Trace source data, transformations, features, training runs, models and downstream consumers.</x:v>
      </x:c>
      <x:c r="D17" s="115" t="str">
        <x:v>Unity Catalog captures data and model lineage; MLflow links runs, metrics and registered models.</x:v>
      </x:c>
      <x:c r="E17" s="115" t="str">
        <x:v>Microsoft Purview lineage, Azure ML lineage/MLflow and Foundry traces.</x:v>
      </x:c>
      <x:c r="F17" s="115" t="str">
        <x:v>SageMaker ML Lineage Tracking, Model Dashboard, DataZone and Glue lineage patterns.</x:v>
      </x:c>
      <x:c r="G17" s="115" t="str">
        <x:v>Bedrock traces agents/flows, but end-to-end training lineage typically comes from SageMaker and data services.</x:v>
      </x:c>
      <x:c r="H17" s="115" t="str">
        <x:v>ML Metadata, Agent Platform Pipelines, Model Registry and Dataplex lineage.</x:v>
      </x:c>
      <x:c r="I17" s="115" t="str">
        <x:v>Dataplex lineage and Cloud Logging.</x:v>
      </x:c>
      <x:c r="J17" s="157" t="str">
        <x:v>Agent runtime traces are not a replacement for data/model provenance.</x:v>
      </x:c>
      <x:c r="K17" s="115" t="str">
        <x:v>https://docs.databricks.com/aws/en/data-governance/unity-catalog/data-lineage</x:v>
      </x:c>
      <x:c r="L17" s="115" t="str">
        <x:v>2026-07-12</x:v>
      </x:c>
    </x:row>
    <x:row r="18">
      <x:c r="A18" s="155" t="str">
        <x:v>Data and lineage</x:v>
      </x:c>
      <x:c r="B18" s="156" t="str">
        <x:v>Data quality and fitness</x:v>
      </x:c>
      <x:c r="C18" s="115" t="str">
        <x:v>Measure whether training, grounding and operational data meet defined quality rules.</x:v>
      </x:c>
      <x:c r="D18" s="115" t="str">
        <x:v>Lakehouse Monitoring, expectations/data-quality features and Unity Catalog metadata.</x:v>
      </x:c>
      <x:c r="E18" s="115" t="str">
        <x:v>Microsoft Purview Data Quality, Fabric/Databricks quality controls and Azure ML data validation.</x:v>
      </x:c>
      <x:c r="F18" s="115" t="str">
        <x:v>AWS Glue Data Quality, SageMaker Data Wrangler and Model Monitor baselines.</x:v>
      </x:c>
      <x:c r="G18" s="115" t="str">
        <x:v>Knowledge Base evaluation measures retrieval/generation outcomes but not enterprise data quality.</x:v>
      </x:c>
      <x:c r="H18" s="115" t="str">
        <x:v>Dataplex/Knowledge Catalog data quality and Agent Platform evaluation.</x:v>
      </x:c>
      <x:c r="I18" s="115" t="str">
        <x:v>BigQuery, Dataplex Universal Catalog and Dataform tests.</x:v>
      </x:c>
      <x:c r="J18" s="157" t="str">
        <x:v>Data quality, retrieval quality and model quality must be separate control families.</x:v>
      </x:c>
      <x:c r="K18" s="115" t="str">
        <x:v>https://docs.cloud.google.com/dataplex/docs/auto-data-quality-overview</x:v>
      </x:c>
      <x:c r="L18" s="115" t="str">
        <x:v>2026-07-12</x:v>
      </x:c>
    </x:row>
    <x:row r="19">
      <x:c r="A19" s="155" t="str">
        <x:v>Traffic governance</x:v>
      </x:c>
      <x:c r="B19" s="156" t="str">
        <x:v>AI gateway / runtime control plane</x:v>
      </x:c>
      <x:c r="C19" s="115" t="str">
        <x:v>Route, secure and observe model, agent and tool traffic centrally.</x:v>
      </x:c>
      <x:c r="D19" s="115" t="str">
        <x:v>Unity AI Gateway routes model and MCP requests and applies limits, budgets and service policies.</x:v>
      </x:c>
      <x:c r="E19" s="115" t="str">
        <x:v>Foundry AI gateway plus Control Plane governance across models and agents.</x:v>
      </x:c>
      <x:c r="F19" s="115" t="str">
        <x:v>AWS API Gateway, Bedrock AgentCore Gateway and IAM/WAF patterns.</x:v>
      </x:c>
      <x:c r="G19" s="115" t="str">
        <x:v>Bedrock endpoints, inference profiles and AgentCore can form the runtime control plane.</x:v>
      </x:c>
      <x:c r="H19" s="115" t="str">
        <x:v>Agent Gateway secures and governs ingress, egress and agent-to-agent/tool interactions.</x:v>
      </x:c>
      <x:c r="I19" s="115" t="str">
        <x:v>Apigee, API Gateway, IAP, Model Armor and Cloud Armor.</x:v>
      </x:c>
      <x:c r="J19" s="157" t="str">
        <x:v>Unity AI Gateway is Beta; Google Agent Gateway is newer and includes preview capabilities; check production status.</x:v>
      </x:c>
      <x:c r="K19" s="115" t="str">
        <x:v>https://docs.databricks.com/aws/en/ai-gateway/</x:v>
      </x:c>
      <x:c r="L19" s="115" t="str">
        <x:v>2026-07-12</x:v>
      </x:c>
    </x:row>
    <x:row r="20">
      <x:c r="A20" s="155" t="str">
        <x:v>Traffic governance</x:v>
      </x:c>
      <x:c r="B20" s="156" t="str">
        <x:v>Model routing and fallback</x:v>
      </x:c>
      <x:c r="C20" s="115" t="str">
        <x:v>Route requests across model backends for quality, availability or cost.</x:v>
      </x:c>
      <x:c r="D20" s="115" t="str">
        <x:v>Unity AI Gateway traffic splitting and fallbacks across model backends.</x:v>
      </x:c>
      <x:c r="E20" s="115" t="str">
        <x:v>Foundry model deployments, gateway policies and application-level routing.</x:v>
      </x:c>
      <x:c r="F20" s="115" t="str">
        <x:v>SageMaker inference components and multi-model endpoints; application routing patterns.</x:v>
      </x:c>
      <x:c r="G20" s="115" t="str">
        <x:v>Bedrock intelligent prompt routing and cross-region inference profiles.</x:v>
      </x:c>
      <x:c r="H20" s="115" t="str">
        <x:v>Agent Gateway/routing patterns and model endpoints; application-level routing remains important.</x:v>
      </x:c>
      <x:c r="I20" s="115" t="str">
        <x:v>Global load balancing, service extensions and application routing.</x:v>
      </x:c>
      <x:c r="J20" s="157" t="str">
        <x:v>Routing can change model behaviour; evaluate and document fallback quality before enabling.</x:v>
      </x:c>
      <x:c r="K20" s="115" t="str">
        <x:v>https://docs.aws.amazon.com/bedrock/latest/userguide/prompt-routing.html</x:v>
      </x:c>
      <x:c r="L20" s="115" t="str">
        <x:v>2026-07-12</x:v>
      </x:c>
    </x:row>
    <x:row r="21">
      <x:c r="A21" s="155" t="str">
        <x:v>Traffic governance</x:v>
      </x:c>
      <x:c r="B21" s="156" t="str">
        <x:v>Rate limits and quota</x:v>
      </x:c>
      <x:c r="C21" s="115" t="str">
        <x:v>Prevent abuse and protect shared capacity.</x:v>
      </x:c>
      <x:c r="D21" s="115" t="str">
        <x:v>Unity AI Gateway rate limits on model and MCP services.</x:v>
      </x:c>
      <x:c r="E21" s="115" t="str">
        <x:v>Foundry Control Plane quota and token-based rate limits.</x:v>
      </x:c>
      <x:c r="F21" s="115" t="str">
        <x:v>Service Quotas, SageMaker endpoint limits and API Gateway throttling.</x:v>
      </x:c>
      <x:c r="G21" s="115" t="str">
        <x:v>Bedrock quotas, service tiers and application-level throttling.</x:v>
      </x:c>
      <x:c r="H21" s="115" t="str">
        <x:v>Agent Gateway, IAM governance and Cloud Quotas.</x:v>
      </x:c>
      <x:c r="I21" s="115" t="str">
        <x:v>Cloud Quotas and API Gateway quotas.</x:v>
      </x:c>
      <x:c r="J21" s="157" t="str">
        <x:v>Separate provider quota, organizational budget and per-user/application rate limits.</x:v>
      </x:c>
      <x:c r="K21" s="115" t="str">
        <x:v>https://learn.microsoft.com/en-us/azure/foundry/control-plane/overview</x:v>
      </x:c>
      <x:c r="L21" s="115" t="str">
        <x:v>2026-07-12</x:v>
      </x:c>
    </x:row>
    <x:row r="22">
      <x:c r="A22" s="155" t="str">
        <x:v>Traffic governance</x:v>
      </x:c>
      <x:c r="B22" s="156" t="str">
        <x:v>Budget and spend controls</x:v>
      </x:c>
      <x:c r="C22" s="115" t="str">
        <x:v>Set spend thresholds, hard caps and cost attribution.</x:v>
      </x:c>
      <x:c r="D22" s="115" t="str">
        <x:v>Unity AI Gateway budgets, per-user thresholds, hard caps, usage/system tables and tags.</x:v>
      </x:c>
      <x:c r="E22" s="115" t="str">
        <x:v>Foundry cost and token views, Azure budgets and Cost Management.</x:v>
      </x:c>
      <x:c r="F22" s="115" t="str">
        <x:v>AWS Budgets, Cost Explorer, SageMaker cost allocation tags and Compute Optimizer.</x:v>
      </x:c>
      <x:c r="G22" s="115" t="str">
        <x:v>Bedrock usage metrics, cost allocation tags, inference profiles and budgets.</x:v>
      </x:c>
      <x:c r="H22" s="115" t="str">
        <x:v>Agent Platform cost/usage management, budgets and billing export.</x:v>
      </x:c>
      <x:c r="I22" s="115" t="str">
        <x:v>Cloud Billing, BigQuery billing export and FinOps hub.</x:v>
      </x:c>
      <x:c r="J22" s="157" t="str">
        <x:v>Token cost alone is incomplete; include retrieval, vector DB, tools, compute, observability and data transfer.</x:v>
      </x:c>
      <x:c r="K22" s="115" t="str">
        <x:v>https://docs.databricks.com/aws/en/ai-gateway/</x:v>
      </x:c>
      <x:c r="L22" s="115" t="str">
        <x:v>2026-07-12</x:v>
      </x:c>
    </x:row>
    <x:row r="23">
      <x:c r="A23" s="155" t="str">
        <x:v>Traffic governance</x:v>
      </x:c>
      <x:c r="B23" s="156" t="str">
        <x:v>Request and response logging</x:v>
      </x:c>
      <x:c r="C23" s="115" t="str">
        <x:v>Capture prompts, outputs, status, latency and traces for audit or debugging.</x:v>
      </x:c>
      <x:c r="D23" s="115" t="str">
        <x:v>Unity AI Gateway inference tables and Unity Catalog Delta tables; system.ai_gateway.usage.</x:v>
      </x:c>
      <x:c r="E23" s="115" t="str">
        <x:v>Application Insights, Azure Monitor and Foundry tracing/evaluation logs.</x:v>
      </x:c>
      <x:c r="F23" s="115" t="str">
        <x:v>CloudWatch Logs, SageMaker data capture and CloudTrail.</x:v>
      </x:c>
      <x:c r="G23" s="115" t="str">
        <x:v>Bedrock invocation logging to CloudWatch Logs/S3 and agent/flow traces.</x:v>
      </x:c>
      <x:c r="H23" s="115" t="str">
        <x:v>Request-response logging to BigQuery when enabled; Agent Observability and Cloud Logging.</x:v>
      </x:c>
      <x:c r="I23" s="115" t="str">
        <x:v>Cloud Logging, BigQuery and Cloud Trace.</x:v>
      </x:c>
      <x:c r="J23" s="157" t="str">
        <x:v>Logging can create privacy and retention risk; redact and define sampling/retention deliberately.</x:v>
      </x:c>
      <x:c r="K23" s="115" t="str">
        <x:v>https://docs.databricks.com/aws/en/ai-gateway/inference-tables</x:v>
      </x:c>
      <x:c r="L23" s="115" t="str">
        <x:v>2026-07-12</x:v>
      </x:c>
    </x:row>
    <x:row r="24">
      <x:c r="A24" s="155" t="str">
        <x:v>Traffic governance</x:v>
      </x:c>
      <x:c r="B24" s="156" t="str">
        <x:v>Data retention controls</x:v>
      </x:c>
      <x:c r="C24" s="115" t="str">
        <x:v>Control persistence of prompts, responses, sessions, traces and caches.</x:v>
      </x:c>
      <x:c r="D24" s="115" t="str">
        <x:v>Retention is configured through Unity Catalog tables, system tables and workspace/account data policies.</x:v>
      </x:c>
      <x:c r="E24" s="115" t="str">
        <x:v>Azure Monitor retention, storage retention, Foundry project configuration and privacy controls.</x:v>
      </x:c>
      <x:c r="F24" s="115" t="str">
        <x:v>CloudWatch/S3 retention, SageMaker data capture policies and lifecycle rules.</x:v>
      </x:c>
      <x:c r="G24" s="115" t="str">
        <x:v>Bedrock service-specific retention plus optional invocation logging under customer control.</x:v>
      </x:c>
      <x:c r="H24" s="115" t="str">
        <x:v>Zero-data-retention guidance covers request-response logging, session resumption and other model features.</x:v>
      </x:c>
      <x:c r="I24" s="115" t="str">
        <x:v>Cloud Logging retention, BigQuery TTL, Cloud Storage lifecycle and DLP.</x:v>
      </x:c>
      <x:c r="J24" s="157" t="str">
        <x:v>Zero-retention requirements must be verified feature by feature, not assumed from the platform brand.</x:v>
      </x:c>
      <x:c r="K24" s="115" t="str">
        <x:v>https://docs.cloud.google.com/gemini-enterprise-agent-platform/resources/zero-data-retention</x:v>
      </x:c>
      <x:c r="L24" s="115" t="str">
        <x:v>2026-07-12</x:v>
      </x:c>
    </x:row>
    <x:row r="25">
      <x:c r="A25" s="155" t="str">
        <x:v>Safety and policy</x:v>
      </x:c>
      <x:c r="B25" s="156" t="str">
        <x:v>Content safety and harmful-content filtering</x:v>
      </x:c>
      <x:c r="C25" s="115" t="str">
        <x:v>Detect and block harmful, unsafe or policy-violating content.</x:v>
      </x:c>
      <x:c r="D25" s="115" t="str">
        <x:v>Unity AI Gateway service policies and Databricks AI guardrail patterns.</x:v>
      </x:c>
      <x:c r="E25" s="115" t="str">
        <x:v>Azure AI Content Safety, Foundry guardrail policies and content filters.</x:v>
      </x:c>
      <x:c r="F25" s="115" t="str">
        <x:v>SageMaker processing/evaluation patterns and partner tools.</x:v>
      </x:c>
      <x:c r="G25" s="115" t="str">
        <x:v>Amazon Bedrock Guardrails content filters.</x:v>
      </x:c>
      <x:c r="H25" s="115" t="str">
        <x:v>Model Armor and platform safety settings.</x:v>
      </x:c>
      <x:c r="I25" s="115" t="str">
        <x:v>Model Armor and Sensitive Data Protection.</x:v>
      </x:c>
      <x:c r="J25" s="157" t="str">
        <x:v>Safety policies should be tested against the actual domain and languages.</x:v>
      </x:c>
      <x:c r="K25" s="115" t="str">
        <x:v>https://docs.aws.amazon.com/bedrock/latest/userguide/guardrails.html</x:v>
      </x:c>
      <x:c r="L25" s="115" t="str">
        <x:v>2026-07-12</x:v>
      </x:c>
    </x:row>
    <x:row r="26">
      <x:c r="A26" s="155" t="str">
        <x:v>Safety and policy</x:v>
      </x:c>
      <x:c r="B26" s="156" t="str">
        <x:v>Prompt-injection and jailbreak protection</x:v>
      </x:c>
      <x:c r="C26" s="115" t="str">
        <x:v>Detect adversarial instructions and indirect prompt attacks.</x:v>
      </x:c>
      <x:c r="D26" s="115" t="str">
        <x:v>Unity AI Gateway service policies, tool filtering and custom policy functions.</x:v>
      </x:c>
      <x:c r="E26" s="115" t="str">
        <x:v>Prompt Shields, Foundry evaluations, red teaming and Control Plane risk monitoring.</x:v>
      </x:c>
      <x:c r="F26" s="115" t="str">
        <x:v>SageMaker/third-party detectors, WAF/API controls and application-level defenses.</x:v>
      </x:c>
      <x:c r="G26" s="115" t="str">
        <x:v>Bedrock Guardrails prompt attack filters and contextual grounding checks.</x:v>
      </x:c>
      <x:c r="H26" s="115" t="str">
        <x:v>Model Armor, semantic governance policies and Agent Gateway.</x:v>
      </x:c>
      <x:c r="I26" s="115" t="str">
        <x:v>Security Command Center AI Protection and Model Armor.</x:v>
      </x:c>
      <x:c r="J26" s="157" t="str">
        <x:v>No control is perfect; combine input controls, least privilege, output validation and monitoring.</x:v>
      </x:c>
      <x:c r="K26" s="115" t="str">
        <x:v>https://docs.cloud.google.com/model-armor</x:v>
      </x:c>
      <x:c r="L26" s="115" t="str">
        <x:v>2026-07-12</x:v>
      </x:c>
    </x:row>
    <x:row r="27">
      <x:c r="A27" s="155" t="str">
        <x:v>Safety and policy</x:v>
      </x:c>
      <x:c r="B27" s="156" t="str">
        <x:v>Sensitive-data detection and masking</x:v>
      </x:c>
      <x:c r="C27" s="115" t="str">
        <x:v>Prevent leakage of personal, confidential or regulated data.</x:v>
      </x:c>
      <x:c r="D27" s="115" t="str">
        <x:v>Unity Catalog classifications, row/column controls, service policies and logged-table governance.</x:v>
      </x:c>
      <x:c r="E27" s="115" t="str">
        <x:v>Microsoft Purview, Azure AI Content Safety, Defender and DLP integrations.</x:v>
      </x:c>
      <x:c r="F27" s="115" t="str">
        <x:v>Amazon Macie, Lake Formation, Glue classifiers and SageMaker data controls.</x:v>
      </x:c>
      <x:c r="G27" s="115" t="str">
        <x:v>Bedrock Guardrails sensitive information filters.</x:v>
      </x:c>
      <x:c r="H27" s="115" t="str">
        <x:v>Model Armor and Sensitive Data Protection.</x:v>
      </x:c>
      <x:c r="I27" s="115" t="str">
        <x:v>Sensitive Data Protection, VPC Service Controls and Cloud DLP controls.</x:v>
      </x:c>
      <x:c r="J27" s="157" t="str">
        <x:v>Apply controls to input, retrieval results, tool outputs, model outputs and logs.</x:v>
      </x:c>
      <x:c r="K27" s="115" t="str">
        <x:v>https://docs.aws.amazon.com/bedrock/latest/userguide/guardrails.html</x:v>
      </x:c>
      <x:c r="L27" s="115" t="str">
        <x:v>2026-07-12</x:v>
      </x:c>
    </x:row>
    <x:row r="28">
      <x:c r="A28" s="155" t="str">
        <x:v>Safety and policy</x:v>
      </x:c>
      <x:c r="B28" s="156" t="str">
        <x:v>Semantic and tool-call governance</x:v>
      </x:c>
      <x:c r="C28" s="115" t="str">
        <x:v>Allow, deny or require approval based on intent, identity and requested action.</x:v>
      </x:c>
      <x:c r="D28" s="115" t="str">
        <x:v>Unity AI Gateway service policies can govern request/response content and MCP tool use.</x:v>
      </x:c>
      <x:c r="E28" s="115" t="str">
        <x:v>Foundry guardrail policies, agent/tool inventory, Entra permissions and approval workflow patterns.</x:v>
      </x:c>
      <x:c r="F28" s="115" t="str">
        <x:v>IAM authorization, Verified Permissions, API Gateway and Step Functions approvals.</x:v>
      </x:c>
      <x:c r="G28" s="115" t="str">
        <x:v>Bedrock Agents action groups, confirmation settings and IAM permissions.</x:v>
      </x:c>
      <x:c r="H28" s="115" t="str">
        <x:v>Semantic Governance Policy and Agent Gateway apply policies to tool calls and skills.</x:v>
      </x:c>
      <x:c r="I28" s="115" t="str">
        <x:v>IAM, IAP, Workflows and Policy Intelligence.</x:v>
      </x:c>
      <x:c r="J28" s="157" t="str">
        <x:v>This is the central control for autonomous agents; model safety filters alone are insufficient.</x:v>
      </x:c>
      <x:c r="K28" s="115" t="str">
        <x:v>https://docs.cloud.google.com/gemini-enterprise-agent-platform/govern/policies/configure-semantic-governance</x:v>
      </x:c>
      <x:c r="L28" s="115" t="str">
        <x:v>2026-07-12</x:v>
      </x:c>
    </x:row>
    <x:row r="29">
      <x:c r="A29" s="155" t="str">
        <x:v>Safety and policy</x:v>
      </x:c>
      <x:c r="B29" s="156" t="str">
        <x:v>Human approval and escalation</x:v>
      </x:c>
      <x:c r="C29" s="115" t="str">
        <x:v>Require human confirmation for high-impact actions or uncertain outputs.</x:v>
      </x:c>
      <x:c r="D29" s="115" t="str">
        <x:v>Service policy approval patterns and application workflows.</x:v>
      </x:c>
      <x:c r="E29" s="115" t="str">
        <x:v>Agent workflows, Logic Apps/Power Automate and human-in-the-loop application design.</x:v>
      </x:c>
      <x:c r="F29" s="115" t="str">
        <x:v>A2I, Step Functions, Amazon Connect and approval workflows.</x:v>
      </x:c>
      <x:c r="G29" s="115" t="str">
        <x:v>Bedrock Agents user confirmation/action controls and external approval workflows.</x:v>
      </x:c>
      <x:c r="H29" s="115" t="str">
        <x:v>Application workflows, Agent Gateway policies and human review patterns.</x:v>
      </x:c>
      <x:c r="I29" s="115" t="str">
        <x:v>Workflows, AppSheet/Google Workspace approval patterns.</x:v>
      </x:c>
      <x:c r="J29" s="157" t="str">
        <x:v>Human oversight must be linked to clear thresholds, authority and evidence capture.</x:v>
      </x:c>
      <x:c r="K29" s="115" t="str">
        <x:v>https://airc.nist.gov/airmf-resources/playbook/</x:v>
      </x:c>
      <x:c r="L29" s="115" t="str">
        <x:v>2026-07-12</x:v>
      </x:c>
    </x:row>
    <x:row r="30">
      <x:c r="A30" s="155" t="str">
        <x:v>Evaluation and assurance</x:v>
      </x:c>
      <x:c r="B30" s="156" t="str">
        <x:v>General model/application evaluation</x:v>
      </x:c>
      <x:c r="C30" s="115" t="str">
        <x:v>Measure quality, relevance, safety and task performance before release.</x:v>
      </x:c>
      <x:c r="D30" s="115" t="str">
        <x:v>MLflow 3 evaluation with built-in/custom scorers and human feedback.</x:v>
      </x:c>
      <x:c r="E30" s="115" t="str">
        <x:v>Foundry Evaluations and Azure AI Evaluation SDK.</x:v>
      </x:c>
      <x:c r="F30" s="115" t="str">
        <x:v>SageMaker Clarify, Processing Jobs, Experiments and custom evaluation pipelines.</x:v>
      </x:c>
      <x:c r="G30" s="115" t="str">
        <x:v>Amazon Bedrock Evaluations.</x:v>
      </x:c>
      <x:c r="H30" s="115" t="str">
        <x:v>Agent Platform Model Evaluation and Gen AI evals.</x:v>
      </x:c>
      <x:c r="I30" s="115" t="str">
        <x:v>BigQuery, Cloud Run and custom evaluation pipelines.</x:v>
      </x:c>
      <x:c r="J30" s="157" t="str">
        <x:v>Evaluation datasets must reflect actual users, languages, edge cases and failure costs.</x:v>
      </x:c>
      <x:c r="K30" s="115" t="str">
        <x:v>https://learn.microsoft.com/en-us/azure/foundry/concepts/observability</x:v>
      </x:c>
      <x:c r="L30" s="115" t="str">
        <x:v>2026-07-12</x:v>
      </x:c>
    </x:row>
    <x:row r="31">
      <x:c r="A31" s="155" t="str">
        <x:v>Evaluation and assurance</x:v>
      </x:c>
      <x:c r="B31" s="156" t="str">
        <x:v>RAG evaluation</x:v>
      </x:c>
      <x:c r="C31" s="115" t="str">
        <x:v>Measure retrieval quality, groundedness, relevance and answer correctness.</x:v>
      </x:c>
      <x:c r="D31" s="115" t="str">
        <x:v>MLflow 3 GenAI evaluation and trace-based scorers.</x:v>
      </x:c>
      <x:c r="E31" s="115" t="str">
        <x:v>Foundry RAG evaluators such as groundedness and relevance.</x:v>
      </x:c>
      <x:c r="F31" s="115" t="str">
        <x:v>SageMaker/MLflow and custom retrieval evaluation.</x:v>
      </x:c>
      <x:c r="G31" s="115" t="str">
        <x:v>Bedrock model and Knowledge Base evaluations.</x:v>
      </x:c>
      <x:c r="H31" s="115" t="str">
        <x:v>RAG Engine evaluation patterns and Gen AI evaluation services.</x:v>
      </x:c>
      <x:c r="I31" s="115" t="str">
        <x:v>BigQuery evaluation datasets and Agent Platform evals.</x:v>
      </x:c>
      <x:c r="J31" s="157" t="str">
        <x:v>Separate retrieval metrics from generation metrics to diagnose failures correctly.</x:v>
      </x:c>
      <x:c r="K31" s="115" t="str">
        <x:v>https://docs.aws.amazon.com/bedrock/latest/userguide/evaluation.html</x:v>
      </x:c>
      <x:c r="L31" s="115" t="str">
        <x:v>2026-07-12</x:v>
      </x:c>
    </x:row>
    <x:row r="32">
      <x:c r="A32" s="155" t="str">
        <x:v>Evaluation and assurance</x:v>
      </x:c>
      <x:c r="B32" s="156" t="str">
        <x:v>Agent evaluation</x:v>
      </x:c>
      <x:c r="C32" s="115" t="str">
        <x:v>Measure task completion, tool-call accuracy, path quality and policy adherence.</x:v>
      </x:c>
      <x:c r="D32" s="115" t="str">
        <x:v>MLflow 3 traces, agent scorers and human feedback.</x:v>
      </x:c>
      <x:c r="E32" s="115" t="str">
        <x:v>Foundry agent evaluators for task adherence, intent resolution, tool-call success and related metrics.</x:v>
      </x:c>
      <x:c r="F32" s="115" t="str">
        <x:v>Custom SageMaker/CloudWatch evaluation pipelines.</x:v>
      </x:c>
      <x:c r="G32" s="115" t="str">
        <x:v>Bedrock agent traces and evaluation patterns; broader agent evaluation may require custom tooling.</x:v>
      </x:c>
      <x:c r="H32" s="115" t="str">
        <x:v>Agent evaluation, offline evaluations and simulated evaluation.</x:v>
      </x:c>
      <x:c r="I32" s="115" t="str">
        <x:v>Cloud Trace, Cloud Monitoring and custom test harnesses.</x:v>
      </x:c>
      <x:c r="J32" s="157" t="str">
        <x:v>Agent evaluation must test state, memory, tool permissions, loops, failure recovery and side effects.</x:v>
      </x:c>
      <x:c r="K32" s="115" t="str">
        <x:v>https://learn.microsoft.com/en-us/azure/foundry/concepts/evaluation-evaluators/agent-evaluators</x:v>
      </x:c>
      <x:c r="L32" s="115" t="str">
        <x:v>2026-07-12</x:v>
      </x:c>
    </x:row>
    <x:row r="33">
      <x:c r="A33" s="155" t="str">
        <x:v>Evaluation and assurance</x:v>
      </x:c>
      <x:c r="B33" s="156" t="str">
        <x:v>Continuous online evaluation</x:v>
      </x:c>
      <x:c r="C33" s="115" t="str">
        <x:v>Evaluate production traffic and alert when quality or risk thresholds fail.</x:v>
      </x:c>
      <x:c r="D33" s="115" t="str">
        <x:v>MLflow 3 production monitoring and inference tables.</x:v>
      </x:c>
      <x:c r="E33" s="115" t="str">
        <x:v>Foundry continuous evaluation integrated with Application Insights.</x:v>
      </x:c>
      <x:c r="F33" s="115" t="str">
        <x:v>SageMaker Model Monitor, CloudWatch and scheduled evaluation jobs.</x:v>
      </x:c>
      <x:c r="G33" s="115" t="str">
        <x:v>Bedrock invocation logs, CloudWatch and scheduled/custom evaluations.</x:v>
      </x:c>
      <x:c r="H33" s="115" t="str">
        <x:v>Online monitoring and agent observability.</x:v>
      </x:c>
      <x:c r="I33" s="115" t="str">
        <x:v>Cloud Monitoring, Cloud Logging and custom online evaluators.</x:v>
      </x:c>
      <x:c r="J33" s="157" t="str">
        <x:v>Online evaluators can add cost and latency; use sampling and severity-based escalation.</x:v>
      </x:c>
      <x:c r="K33" s="115" t="str">
        <x:v>https://learn.microsoft.com/en-us/azure/foundry/concepts/observability</x:v>
      </x:c>
      <x:c r="L33" s="115" t="str">
        <x:v>2026-07-12</x:v>
      </x:c>
    </x:row>
    <x:row r="34">
      <x:c r="A34" s="155" t="str">
        <x:v>Evaluation and assurance</x:v>
      </x:c>
      <x:c r="B34" s="156" t="str">
        <x:v>AI red teaming</x:v>
      </x:c>
      <x:c r="C34" s="115" t="str">
        <x:v>Probe the system for safety, security and misuse vulnerabilities.</x:v>
      </x:c>
      <x:c r="D34" s="115" t="str">
        <x:v>Custom MLflow evaluation suites and external red-team tools.</x:v>
      </x:c>
      <x:c r="E34" s="115" t="str">
        <x:v>AI Red Teaming Agent and scheduled scans in Foundry Control Plane.</x:v>
      </x:c>
      <x:c r="F34" s="115" t="str">
        <x:v>AWS security testing tools, Bedrock Guardrails testing and custom red-team pipelines.</x:v>
      </x:c>
      <x:c r="G34" s="115" t="str">
        <x:v>Bedrock evaluations/Guardrails plus external adversarial testing.</x:v>
      </x:c>
      <x:c r="H34" s="115" t="str">
        <x:v>Model Armor, Security Command Center AI Protection and custom adversarial evaluation.</x:v>
      </x:c>
      <x:c r="I34" s="115" t="str">
        <x:v>Security Command Center and Model Armor.</x:v>
      </x:c>
      <x:c r="J34" s="157" t="str">
        <x:v>Automated red teaming supplements—not replaces—expert threat modelling and manual testing.</x:v>
      </x:c>
      <x:c r="K34" s="115" t="str">
        <x:v>https://learn.microsoft.com/en-us/azure/foundry/concepts/ai-red-teaming-agent</x:v>
      </x:c>
      <x:c r="L34" s="115" t="str">
        <x:v>2026-07-12</x:v>
      </x:c>
    </x:row>
    <x:row r="35">
      <x:c r="A35" s="155" t="str">
        <x:v>Evaluation and assurance</x:v>
      </x:c>
      <x:c r="B35" s="156" t="str">
        <x:v>Bias, fairness and explainability</x:v>
      </x:c>
      <x:c r="C35" s="115" t="str">
        <x:v>Assess disparate impact and explain model predictions.</x:v>
      </x:c>
      <x:c r="D35" s="115" t="str">
        <x:v>MLflow metrics/custom analysis; Unity Catalog documents and governs resulting artifacts.</x:v>
      </x:c>
      <x:c r="E35" s="115" t="str">
        <x:v>Azure ML Responsible AI dashboard and explainability/fairness tooling.</x:v>
      </x:c>
      <x:c r="F35" s="115" t="str">
        <x:v>SageMaker Clarify.</x:v>
      </x:c>
      <x:c r="G35" s="115" t="str">
        <x:v>Bedrock is focused on foundation-model applications; traditional bias/explainability is stronger in SageMaker.</x:v>
      </x:c>
      <x:c r="H35" s="115" t="str">
        <x:v>Agent Platform Explainable AI and custom fairness evaluation.</x:v>
      </x:c>
      <x:c r="I35" s="115" t="str">
        <x:v>Explainable AI and BigQuery/Vertex analysis.</x:v>
      </x:c>
      <x:c r="J35" s="157" t="str">
        <x:v>Generative-AI fairness often needs scenario and outcome analysis beyond feature attribution.</x:v>
      </x:c>
      <x:c r="K35" s="115" t="str">
        <x:v>https://docs.aws.amazon.com/sagemaker/latest/dg/clarify-configure-processing-jobs.html</x:v>
      </x:c>
      <x:c r="L35" s="115" t="str">
        <x:v>2026-07-12</x:v>
      </x:c>
    </x:row>
    <x:row r="36">
      <x:c r="A36" s="155" t="str">
        <x:v>Documentation and accountability</x:v>
      </x:c>
      <x:c r="B36" s="156" t="str">
        <x:v>Model cards and risk documentation</x:v>
      </x:c>
      <x:c r="C36" s="115" t="str">
        <x:v>Record intended use, limitations, owners, risk rating and evaluation evidence.</x:v>
      </x:c>
      <x:c r="D36" s="115" t="str">
        <x:v>Unity Catalog model metadata, MLflow model information, tags and documentation.</x:v>
      </x:c>
      <x:c r="E36" s="115" t="str">
        <x:v>Azure ML model metadata, Responsible AI artifacts, Purview and Foundry asset metadata.</x:v>
      </x:c>
      <x:c r="F36" s="115" t="str">
        <x:v>SageMaker Model Cards with intended uses, risk ratings, training and evaluation details.</x:v>
      </x:c>
      <x:c r="G36" s="115" t="str">
        <x:v>Bedrock model cards come from providers; application/system cards should be maintained separately.</x:v>
      </x:c>
      <x:c r="H36" s="115" t="str">
        <x:v>Model Registry metadata, model documentation and governance labels.</x:v>
      </x:c>
      <x:c r="I36" s="115" t="str">
        <x:v>Dataplex/Artifact metadata and organization documentation.</x:v>
      </x:c>
      <x:c r="J36" s="157" t="str">
        <x:v>The AI system card should include data, prompt, RAG, agent, tool and human-control details—not only the base model.</x:v>
      </x:c>
      <x:c r="K36" s="115" t="str">
        <x:v>https://docs.aws.amazon.com/sagemaker/latest/dg/model-cards.html</x:v>
      </x:c>
      <x:c r="L36" s="115" t="str">
        <x:v>2026-07-12</x:v>
      </x:c>
    </x:row>
    <x:row r="37">
      <x:c r="A37" s="155" t="str">
        <x:v>Documentation and accountability</x:v>
      </x:c>
      <x:c r="B37" s="156" t="str">
        <x:v>Policy versioning and assignments</x:v>
      </x:c>
      <x:c r="C37" s="115" t="str">
        <x:v>Version policies, track where they are applied and preserve auditability.</x:v>
      </x:c>
      <x:c r="D37" s="115" t="str">
        <x:v>Unity Catalog privileges/policies, tags and service-policy attachments.</x:v>
      </x:c>
      <x:c r="E37" s="115" t="str">
        <x:v>Foundry Compliance pane supports versioned policies and assignment tracking.</x:v>
      </x:c>
      <x:c r="F37" s="115" t="str">
        <x:v>AWS Config, Organizations policies, IAM versions, Audit Manager and infrastructure as code.</x:v>
      </x:c>
      <x:c r="G37" s="115" t="str">
        <x:v>Bedrock Guardrails versions and aliases plus AWS governance tooling.</x:v>
      </x:c>
      <x:c r="H37" s="115" t="str">
        <x:v>Organization policies, IAM governance policies and Agent Gateway configuration.</x:v>
      </x:c>
      <x:c r="I37" s="115" t="str">
        <x:v>Organization Policy Service and Terraform/IaC.</x:v>
      </x:c>
      <x:c r="J37" s="157" t="str">
        <x:v>Treat policy changes as controlled releases with testing and rollback.</x:v>
      </x:c>
      <x:c r="K37" s="115" t="str">
        <x:v>https://learn.microsoft.com/en-us/azure/foundry/control-plane/overview</x:v>
      </x:c>
      <x:c r="L37" s="115" t="str">
        <x:v>2026-07-12</x:v>
      </x:c>
    </x:row>
    <x:row r="38">
      <x:c r="A38" s="155" t="str">
        <x:v>Documentation and accountability</x:v>
      </x:c>
      <x:c r="B38" s="156" t="str">
        <x:v>Audit trail</x:v>
      </x:c>
      <x:c r="C38" s="115" t="str">
        <x:v>Record administrative, access, model, agent, tool and data events.</x:v>
      </x:c>
      <x:c r="D38" s="115" t="str">
        <x:v>Unity Catalog audit logs, system tables, lineage and inference tables.</x:v>
      </x:c>
      <x:c r="E38" s="115" t="str">
        <x:v>Azure Activity Log, Entra audit logs, Foundry telemetry, Purview and Defender alerts.</x:v>
      </x:c>
      <x:c r="F38" s="115" t="str">
        <x:v>CloudTrail, SageMaker lineage, CloudWatch and Audit Manager.</x:v>
      </x:c>
      <x:c r="G38" s="115" t="str">
        <x:v>CloudTrail, Bedrock invocation logs and CloudWatch.</x:v>
      </x:c>
      <x:c r="H38" s="115" t="str">
        <x:v>Cloud Audit Logs, Agent Registry/Gateway logs and request-response logs.</x:v>
      </x:c>
      <x:c r="I38" s="115" t="str">
        <x:v>Cloud Audit Logs, Security Command Center and BigQuery.</x:v>
      </x:c>
      <x:c r="J38" s="157" t="str">
        <x:v>Audit evidence must be immutable enough for the relevant regulatory and investigative needs.</x:v>
      </x:c>
      <x:c r="K38" s="115" t="str">
        <x:v>https://docs.databricks.com/aws/en/data-governance/unity-catalog/</x:v>
      </x:c>
      <x:c r="L38" s="115" t="str">
        <x:v>2026-07-12</x:v>
      </x:c>
    </x:row>
    <x:row r="39">
      <x:c r="A39" s="155" t="str">
        <x:v>Operations</x:v>
      </x:c>
      <x:c r="B39" s="156" t="str">
        <x:v>Tracing</x:v>
      </x:c>
      <x:c r="C39" s="115" t="str">
        <x:v>Trace model calls, tool calls, retrieval and agent execution paths.</x:v>
      </x:c>
      <x:c r="D39" s="115" t="str">
        <x:v>MLflow Tracing and inference tables.</x:v>
      </x:c>
      <x:c r="E39" s="115" t="str">
        <x:v>Foundry tracing using OpenTelemetry and Application Insights.</x:v>
      </x:c>
      <x:c r="F39" s="115" t="str">
        <x:v>SageMaker Debugger/Experiments and application tracing with X-Ray/OpenTelemetry.</x:v>
      </x:c>
      <x:c r="G39" s="115" t="str">
        <x:v>Bedrock agent and flow traces plus X-Ray/application tracing.</x:v>
      </x:c>
      <x:c r="H39" s="115" t="str">
        <x:v>Agent Observability traces and topology.</x:v>
      </x:c>
      <x:c r="I39" s="115" t="str">
        <x:v>Cloud Trace and OpenTelemetry.</x:v>
      </x:c>
      <x:c r="J39" s="157" t="str">
        <x:v>Use trace correlation IDs across API, retrieval, model, tool and downstream systems.</x:v>
      </x:c>
      <x:c r="K39" s="115" t="str">
        <x:v>https://learn.microsoft.com/en-us/azure/foundry/concepts/observability</x:v>
      </x:c>
      <x:c r="L39" s="115" t="str">
        <x:v>2026-07-12</x:v>
      </x:c>
    </x:row>
    <x:row r="40">
      <x:c r="A40" s="155" t="str">
        <x:v>Operations</x:v>
      </x:c>
      <x:c r="B40" s="156" t="str">
        <x:v>Performance and health monitoring</x:v>
      </x:c>
      <x:c r="C40" s="115" t="str">
        <x:v>Monitor latency, failures, throughput, quality and resource health.</x:v>
      </x:c>
      <x:c r="D40" s="115" t="str">
        <x:v>System tables, inference tables, Lakehouse Monitoring and MLflow monitoring.</x:v>
      </x:c>
      <x:c r="E40" s="115" t="str">
        <x:v>Foundry dashboards, Azure Monitor and Application Insights.</x:v>
      </x:c>
      <x:c r="F40" s="115" t="str">
        <x:v>SageMaker Model Dashboard, Model Monitor and CloudWatch.</x:v>
      </x:c>
      <x:c r="G40" s="115" t="str">
        <x:v>CloudWatch metrics/logs and Bedrock application monitoring.</x:v>
      </x:c>
      <x:c r="H40" s="115" t="str">
        <x:v>Agent Observability, online monitoring and Cloud Monitoring.</x:v>
      </x:c>
      <x:c r="I40" s="115" t="str">
        <x:v>Cloud Monitoring, Logging and Error Reporting.</x:v>
      </x:c>
      <x:c r="J40" s="157" t="str">
        <x:v>Operational health and AI quality are different signals and should have separate SLOs.</x:v>
      </x:c>
      <x:c r="K40" s="115" t="str">
        <x:v>https://docs.aws.amazon.com/sagemaker/latest/dg/model-monitor.html</x:v>
      </x:c>
      <x:c r="L40" s="115" t="str">
        <x:v>2026-07-12</x:v>
      </x:c>
    </x:row>
    <x:row r="41">
      <x:c r="A41" s="155" t="str">
        <x:v>Operations</x:v>
      </x:c>
      <x:c r="B41" s="156" t="str">
        <x:v>Model drift and data drift</x:v>
      </x:c>
      <x:c r="C41" s="115" t="str">
        <x:v>Detect production input or prediction changes.</x:v>
      </x:c>
      <x:c r="D41" s="115" t="str">
        <x:v>Lakehouse Monitoring, MLflow metrics and custom drift jobs.</x:v>
      </x:c>
      <x:c r="E41" s="115" t="str">
        <x:v>Azure ML model monitoring and data drift capabilities.</x:v>
      </x:c>
      <x:c r="F41" s="115" t="str">
        <x:v>SageMaker Model Monitor.</x:v>
      </x:c>
      <x:c r="G41" s="115" t="str">
        <x:v>Bedrock application drift needs outcome/evaluation monitoring rather than traditional feature drift.</x:v>
      </x:c>
      <x:c r="H41" s="115" t="str">
        <x:v>Model Monitoring on Agent Platform.</x:v>
      </x:c>
      <x:c r="I41" s="115" t="str">
        <x:v>BigQuery/Cloud Monitoring and Model Monitoring.</x:v>
      </x:c>
      <x:c r="J41" s="157" t="str">
        <x:v>For LLM systems, monitor prompt, retrieval, tool, policy and user-distribution drift.</x:v>
      </x:c>
      <x:c r="K41" s="115" t="str">
        <x:v>https://docs.aws.amazon.com/sagemaker/latest/dg/model-monitor.html</x:v>
      </x:c>
      <x:c r="L41" s="115" t="str">
        <x:v>2026-07-12</x:v>
      </x:c>
    </x:row>
    <x:row r="42">
      <x:c r="A42" s="155" t="str">
        <x:v>Operations</x:v>
      </x:c>
      <x:c r="B42" s="156" t="str">
        <x:v>Token, usage and cost observability</x:v>
      </x:c>
      <x:c r="C42" s="115" t="str">
        <x:v>Attribute model usage and cost to teams, applications and users.</x:v>
      </x:c>
      <x:c r="D42" s="115" t="str">
        <x:v>Unity AI Gateway system tables, usage tracking, principals, tags and budgets.</x:v>
      </x:c>
      <x:c r="E42" s="115" t="str">
        <x:v>Foundry token/cost views and Azure Cost Management.</x:v>
      </x:c>
      <x:c r="F42" s="115" t="str">
        <x:v>SageMaker metrics, Cost Explorer and cost allocation tags.</x:v>
      </x:c>
      <x:c r="G42" s="115" t="str">
        <x:v>Bedrock model invocation metrics, cost tags and CloudWatch.</x:v>
      </x:c>
      <x:c r="H42" s="115" t="str">
        <x:v>Agent Platform utilization, cost management and billing export.</x:v>
      </x:c>
      <x:c r="I42" s="115" t="str">
        <x:v>Cloud Billing and BigQuery billing export.</x:v>
      </x:c>
      <x:c r="J42" s="157" t="str">
        <x:v>Include failed retries, agent loops, context growth, embeddings, vector queries and tool costs.</x:v>
      </x:c>
      <x:c r="K42" s="115" t="str">
        <x:v>https://docs.databricks.com/aws/en/ai-gateway/</x:v>
      </x:c>
      <x:c r="L42" s="115" t="str">
        <x:v>2026-07-12</x:v>
      </x:c>
    </x:row>
    <x:row r="43">
      <x:c r="A43" s="155" t="str">
        <x:v>ML engineering</x:v>
      </x:c>
      <x:c r="B43" s="156" t="str">
        <x:v>Experiment tracking</x:v>
      </x:c>
      <x:c r="C43" s="115" t="str">
        <x:v>Track runs, parameters, metrics, artifacts and comparisons.</x:v>
      </x:c>
      <x:c r="D43" s="115" t="str">
        <x:v>MLflow 3 Tracking.</x:v>
      </x:c>
      <x:c r="E43" s="115" t="str">
        <x:v>Azure ML MLflow tracking and Foundry evaluation runs.</x:v>
      </x:c>
      <x:c r="F43" s="115" t="str">
        <x:v>SageMaker Experiments.</x:v>
      </x:c>
      <x:c r="G43" s="115" t="str">
        <x:v>Bedrock evaluations and prompt/model experiments are more application-focused.</x:v>
      </x:c>
      <x:c r="H43" s="115" t="str">
        <x:v>Experiments on Agent Platform.</x:v>
      </x:c>
      <x:c r="I43" s="115" t="str">
        <x:v>TensorBoard, BigQuery and ML Metadata.</x:v>
      </x:c>
      <x:c r="J43" s="157" t="str">
        <x:v>Use the same identifiers across experiment, dataset, model and deployment records.</x:v>
      </x:c>
      <x:c r="K43" s="115" t="str">
        <x:v>https://docs.databricks.com/aws/en/mlflow/</x:v>
      </x:c>
      <x:c r="L43" s="115" t="str">
        <x:v>2026-07-12</x:v>
      </x:c>
    </x:row>
    <x:row r="44">
      <x:c r="A44" s="155" t="str">
        <x:v>ML engineering</x:v>
      </x:c>
      <x:c r="B44" s="156" t="str">
        <x:v>Training and fine-tuning</x:v>
      </x:c>
      <x:c r="C44" s="115" t="str">
        <x:v>Train traditional models and adapt foundation models.</x:v>
      </x:c>
      <x:c r="D44" s="115" t="str">
        <x:v>Databricks ML runtimes, distributed training and foundation-model fine-tuning.</x:v>
      </x:c>
      <x:c r="E44" s="115" t="str">
        <x:v>Azure Machine Learning training and Foundry model fine-tuning.</x:v>
      </x:c>
      <x:c r="F44" s="115" t="str">
        <x:v>SageMaker Training, HyperPod, distributed training and JumpStart.</x:v>
      </x:c>
      <x:c r="G44" s="115" t="str">
        <x:v>Bedrock Model Customization.</x:v>
      </x:c>
      <x:c r="H44" s="115" t="str">
        <x:v>Agent Platform Managed Training, Serverless Training, tuning and reinforcement learning.</x:v>
      </x:c>
      <x:c r="I44" s="115" t="str">
        <x:v>Cloud GPUs/TPUs and AI Hypercomputer.</x:v>
      </x:c>
      <x:c r="J44" s="157" t="str">
        <x:v>Traditional training platform choice and managed foundation-model customization are separate decisions.</x:v>
      </x:c>
      <x:c r="K44" s="115" t="str">
        <x:v>https://docs.cloud.google.com/gemini-enterprise-agent-platform/release-notes</x:v>
      </x:c>
      <x:c r="L44" s="115" t="str">
        <x:v>2026-07-12</x:v>
      </x:c>
    </x:row>
    <x:row r="45">
      <x:c r="A45" s="155" t="str">
        <x:v>ML engineering</x:v>
      </x:c>
      <x:c r="B45" s="156" t="str">
        <x:v>Automated machine learning</x:v>
      </x:c>
      <x:c r="C45" s="115" t="str">
        <x:v>Automate feature/algorithm/model selection for supported ML tasks.</x:v>
      </x:c>
      <x:c r="D45" s="115" t="str">
        <x:v>Databricks AutoML.</x:v>
      </x:c>
      <x:c r="E45" s="115" t="str">
        <x:v>Azure Automated ML.</x:v>
      </x:c>
      <x:c r="F45" s="115" t="str">
        <x:v>SageMaker Autopilot.</x:v>
      </x:c>
      <x:c r="G45" s="115" t="str">
        <x:v>No direct Bedrock equivalent for traditional AutoML.</x:v>
      </x:c>
      <x:c r="H45" s="115" t="str">
        <x:v>Agent Platform AutoML.</x:v>
      </x:c>
      <x:c r="I45" s="115" t="str">
        <x:v>BigQuery ML AutoML capabilities.</x:v>
      </x:c>
      <x:c r="J45" s="157" t="str">
        <x:v>AutoML does not remove the need for validation, governance and monitoring.</x:v>
      </x:c>
      <x:c r="K45" s="115" t="str">
        <x:v>https://docs.cloud.google.com/gemini-enterprise-agent-platform/release-notes</x:v>
      </x:c>
      <x:c r="L45" s="115" t="str">
        <x:v>2026-07-12</x:v>
      </x:c>
    </x:row>
    <x:row r="46">
      <x:c r="A46" s="155" t="str">
        <x:v>ML engineering</x:v>
      </x:c>
      <x:c r="B46" s="156" t="str">
        <x:v>Feature store</x:v>
      </x:c>
      <x:c r="C46" s="115" t="str">
        <x:v>Create and serve governed reusable ML features.</x:v>
      </x:c>
      <x:c r="D46" s="115" t="str">
        <x:v>Databricks Feature Engineering integrated with Unity Catalog.</x:v>
      </x:c>
      <x:c r="E46" s="115" t="str">
        <x:v>Azure ML managed feature store.</x:v>
      </x:c>
      <x:c r="F46" s="115" t="str">
        <x:v>SageMaker Feature Store.</x:v>
      </x:c>
      <x:c r="G46" s="115" t="str">
        <x:v>Not a Bedrock capability.</x:v>
      </x:c>
      <x:c r="H46" s="115" t="str">
        <x:v>Agent Platform Feature Store.</x:v>
      </x:c>
      <x:c r="I46" s="115" t="str">
        <x:v>BigQuery, Spanner and Feast patterns.</x:v>
      </x:c>
      <x:c r="J46" s="157" t="str">
        <x:v>A feature store is useful only when reuse, online/offline consistency and ownership justify it.</x:v>
      </x:c>
      <x:c r="K46" s="115" t="str">
        <x:v>https://docs.cloud.google.com/gemini-enterprise-agent-platform/release-notes</x:v>
      </x:c>
      <x:c r="L46" s="115" t="str">
        <x:v>2026-07-12</x:v>
      </x:c>
    </x:row>
    <x:row r="47">
      <x:c r="A47" s="155" t="str">
        <x:v>ML engineering</x:v>
      </x:c>
      <x:c r="B47" s="156" t="str">
        <x:v>ML pipelines</x:v>
      </x:c>
      <x:c r="C47" s="115" t="str">
        <x:v>Orchestrate repeatable training, validation and deployment workflows.</x:v>
      </x:c>
      <x:c r="D47" s="115" t="str">
        <x:v>Databricks Workflows/Lakeflow and MLflow deployment jobs.</x:v>
      </x:c>
      <x:c r="E47" s="115" t="str">
        <x:v>Azure ML pipelines and Foundry workflows.</x:v>
      </x:c>
      <x:c r="F47" s="115" t="str">
        <x:v>SageMaker Pipelines.</x:v>
      </x:c>
      <x:c r="G47" s="115" t="str">
        <x:v>Bedrock Flows orchestrates GenAI application steps, not traditional ML pipelines.</x:v>
      </x:c>
      <x:c r="H47" s="115" t="str">
        <x:v>Agent Platform Pipelines.</x:v>
      </x:c>
      <x:c r="I47" s="115" t="str">
        <x:v>Cloud Composer, Workflows and Dataflow.</x:v>
      </x:c>
      <x:c r="J47" s="157" t="str">
        <x:v>Distinguish data pipelines, ML pipelines and agent/application workflows.</x:v>
      </x:c>
      <x:c r="K47" s="115" t="str">
        <x:v>https://docs.cloud.google.com/gemini-enterprise-agent-platform/release-notes</x:v>
      </x:c>
      <x:c r="L47" s="115" t="str">
        <x:v>2026-07-12</x:v>
      </x:c>
    </x:row>
    <x:row r="48">
      <x:c r="A48" s="155" t="str">
        <x:v>Deployment</x:v>
      </x:c>
      <x:c r="B48" s="156" t="str">
        <x:v>Online model inference</x:v>
      </x:c>
      <x:c r="C48" s="115" t="str">
        <x:v>Serve models through managed scalable endpoints.</x:v>
      </x:c>
      <x:c r="D48" s="115" t="str">
        <x:v>Databricks Model Serving/model services.</x:v>
      </x:c>
      <x:c r="E48" s="115" t="str">
        <x:v>Foundry model deployments and Azure ML managed online endpoints.</x:v>
      </x:c>
      <x:c r="F48" s="115" t="str">
        <x:v>SageMaker real-time/serverless inference.</x:v>
      </x:c>
      <x:c r="G48" s="115" t="str">
        <x:v>Bedrock managed model invocation endpoints.</x:v>
      </x:c>
      <x:c r="H48" s="115" t="str">
        <x:v>Agent Platform Online Inference and Endpoints.</x:v>
      </x:c>
      <x:c r="I48" s="115" t="str">
        <x:v>Cloud Run/GKE for custom serving.</x:v>
      </x:c>
      <x:c r="J48" s="157" t="str">
        <x:v>Evaluate concurrency, cold start, model size, accelerator, residency and scaling controls.</x:v>
      </x:c>
      <x:c r="K48" s="115" t="str">
        <x:v>https://docs.cloud.google.com/gemini-enterprise-agent-platform/release-notes</x:v>
      </x:c>
      <x:c r="L48" s="115" t="str">
        <x:v>2026-07-12</x:v>
      </x:c>
    </x:row>
    <x:row r="49">
      <x:c r="A49" s="155" t="str">
        <x:v>Deployment</x:v>
      </x:c>
      <x:c r="B49" s="156" t="str">
        <x:v>Batch inference</x:v>
      </x:c>
      <x:c r="C49" s="115" t="str">
        <x:v>Run predictions over large datasets asynchronously.</x:v>
      </x:c>
      <x:c r="D49" s="115" t="str">
        <x:v>Databricks batch inference with Spark/SQL/MLflow.</x:v>
      </x:c>
      <x:c r="E49" s="115" t="str">
        <x:v>Azure ML batch endpoints.</x:v>
      </x:c>
      <x:c r="F49" s="115" t="str">
        <x:v>SageMaker Batch Transform and asynchronous inference.</x:v>
      </x:c>
      <x:c r="G49" s="115" t="str">
        <x:v>Bedrock batch inference for supported models.</x:v>
      </x:c>
      <x:c r="H49" s="115" t="str">
        <x:v>Agent Platform Batch Inference.</x:v>
      </x:c>
      <x:c r="I49" s="115" t="str">
        <x:v>BigQuery ML and Dataflow.</x:v>
      </x:c>
      <x:c r="J49" s="157" t="str">
        <x:v>Batch is often cheaper and easier to govern when real-time response is unnecessary.</x:v>
      </x:c>
      <x:c r="K49" s="115" t="str">
        <x:v>https://docs.cloud.google.com/gemini-enterprise-agent-platform/release-notes</x:v>
      </x:c>
      <x:c r="L49" s="115" t="str">
        <x:v>2026-07-12</x:v>
      </x:c>
    </x:row>
    <x:row r="50">
      <x:c r="A50" s="155" t="str">
        <x:v>Agentic AI</x:v>
      </x:c>
      <x:c r="B50" s="156" t="str">
        <x:v>Managed agent runtime</x:v>
      </x:c>
      <x:c r="C50" s="115" t="str">
        <x:v>Host, scale and operate agents.</x:v>
      </x:c>
      <x:c r="D50" s="115" t="str">
        <x:v>Databricks Apps/agent framework with MLflow tracing and Unity Catalog governance.</x:v>
      </x:c>
      <x:c r="E50" s="115" t="str">
        <x:v>Foundry Agent Service for prompt and hosted code agents.</x:v>
      </x:c>
      <x:c r="F50" s="115" t="str">
        <x:v>SageMaker can host agent applications, but Bedrock/AgentCore is the closer managed agent platform.</x:v>
      </x:c>
      <x:c r="G50" s="115" t="str">
        <x:v>Agents for Amazon Bedrock and Amazon Bedrock AgentCore.</x:v>
      </x:c>
      <x:c r="H50" s="115" t="str">
        <x:v>Agent Runtime (renamed from Agent Engine).</x:v>
      </x:c>
      <x:c r="I50" s="115" t="str">
        <x:v>Cloud Run and GKE for custom runtimes.</x:v>
      </x:c>
      <x:c r="J50" s="157" t="str">
        <x:v>Runtime, registry, gateway and development framework are distinct components.</x:v>
      </x:c>
      <x:c r="K50" s="115" t="str">
        <x:v>https://learn.microsoft.com/en-us/azure/foundry/agents/overview</x:v>
      </x:c>
      <x:c r="L50" s="115" t="str">
        <x:v>2026-07-12</x:v>
      </x:c>
    </x:row>
    <x:row r="51">
      <x:c r="A51" s="155" t="str">
        <x:v>Agentic AI</x:v>
      </x:c>
      <x:c r="B51" s="156" t="str">
        <x:v>Agent registry</x:v>
      </x:c>
      <x:c r="C51" s="115" t="str">
        <x:v>Catalog and discover agents across teams.</x:v>
      </x:c>
      <x:c r="D51" s="115" t="str">
        <x:v>Agents are governed as Unity Catalog models; MCP services and model services are cataloged securables.</x:v>
      </x:c>
      <x:c r="E51" s="115" t="str">
        <x:v>Foundry Control Plane asset inventory and registered external/custom agents.</x:v>
      </x:c>
      <x:c r="F51" s="115" t="str">
        <x:v>No single SageMaker-wide agent registry; use tags, Service Catalog and application inventory patterns.</x:v>
      </x:c>
      <x:c r="G51" s="115" t="str">
        <x:v>Bedrock agent resources plus AWS asset/governance services.</x:v>
      </x:c>
      <x:c r="H51" s="115" t="str">
        <x:v>Agent Registry for agents, tools and MCP servers.</x:v>
      </x:c>
      <x:c r="I51" s="115" t="str">
        <x:v>Cloud Asset Inventory.</x:v>
      </x:c>
      <x:c r="J51" s="157" t="str">
        <x:v>A registry should capture owner, purpose, risk, tools, data, model, version and deployment status.</x:v>
      </x:c>
      <x:c r="K51" s="115" t="str">
        <x:v>https://docs.cloud.google.com/gemini-enterprise-agent-platform/govern</x:v>
      </x:c>
      <x:c r="L51" s="115" t="str">
        <x:v>2026-07-12</x:v>
      </x:c>
    </x:row>
    <x:row r="52">
      <x:c r="A52" s="155" t="str">
        <x:v>Agentic AI</x:v>
      </x:c>
      <x:c r="B52" s="156" t="str">
        <x:v>Agent sessions and state</x:v>
      </x:c>
      <x:c r="C52" s="115" t="str">
        <x:v>Maintain conversational or task state across interactions.</x:v>
      </x:c>
      <x:c r="D52" s="115" t="str">
        <x:v>Application-managed state, MLflow traces and Databricks data stores.</x:v>
      </x:c>
      <x:c r="E52" s="115" t="str">
        <x:v>Foundry Agent Service threads/conversations and application state services.</x:v>
      </x:c>
      <x:c r="F52" s="115" t="str">
        <x:v>DynamoDB, ElastiCache/MemoryDB and application state.</x:v>
      </x:c>
      <x:c r="G52" s="115" t="str">
        <x:v>Bedrock agent session state and AgentCore Memory capabilities.</x:v>
      </x:c>
      <x:c r="H52" s="115" t="str">
        <x:v>Agent Platform Sessions.</x:v>
      </x:c>
      <x:c r="I52" s="115" t="str">
        <x:v>Firestore, Memorystore and Spanner.</x:v>
      </x:c>
      <x:c r="J52" s="157" t="str">
        <x:v>Session state has retention, privacy and deletion implications.</x:v>
      </x:c>
      <x:c r="K52" s="115" t="str">
        <x:v>https://docs.cloud.google.com/gemini-enterprise-agent-platform/release-notes</x:v>
      </x:c>
      <x:c r="L52" s="115" t="str">
        <x:v>2026-07-12</x:v>
      </x:c>
    </x:row>
    <x:row r="53">
      <x:c r="A53" s="155" t="str">
        <x:v>Agentic AI</x:v>
      </x:c>
      <x:c r="B53" s="156" t="str">
        <x:v>Long-term agent memory</x:v>
      </x:c>
      <x:c r="C53" s="115" t="str">
        <x:v>Store reusable learned/user context under governance.</x:v>
      </x:c>
      <x:c r="D53" s="115" t="str">
        <x:v>Unity Catalog tables/vector stores and application-managed memory patterns.</x:v>
      </x:c>
      <x:c r="E53" s="115" t="str">
        <x:v>Foundry/application memory using Azure data stores and agent features.</x:v>
      </x:c>
      <x:c r="F53" s="115" t="str">
        <x:v>DynamoDB, OpenSearch, MemoryDB and application-managed memory.</x:v>
      </x:c>
      <x:c r="G53" s="115" t="str">
        <x:v>Amazon Bedrock AgentCore Memory.</x:v>
      </x:c>
      <x:c r="H53" s="115" t="str">
        <x:v>Agent Platform Memory Bank with memory revision history.</x:v>
      </x:c>
      <x:c r="I53" s="115" t="str">
        <x:v>Firestore, Spanner and vector services.</x:v>
      </x:c>
      <x:c r="J53" s="157" t="str">
        <x:v>Memory should have provenance, user controls, expiry, correction and deletion mechanisms.</x:v>
      </x:c>
      <x:c r="K53" s="115" t="str">
        <x:v>https://docs.cloud.google.com/gemini-enterprise-agent-platform/release-notes</x:v>
      </x:c>
      <x:c r="L53" s="115" t="str">
        <x:v>2026-07-12</x:v>
      </x:c>
    </x:row>
    <x:row r="54">
      <x:c r="A54" s="155" t="str">
        <x:v>Agentic AI</x:v>
      </x:c>
      <x:c r="B54" s="156" t="str">
        <x:v>Agent skills and reusable capabilities</x:v>
      </x:c>
      <x:c r="C54" s="115" t="str">
        <x:v>Publish reusable skills/tools for agents.</x:v>
      </x:c>
      <x:c r="D54" s="115" t="str">
        <x:v>Unity Catalog functions, MCP Services and connections.</x:v>
      </x:c>
      <x:c r="E54" s="115" t="str">
        <x:v>Foundry tools, functions and connected resources.</x:v>
      </x:c>
      <x:c r="F54" s="115" t="str">
        <x:v>Lambda, Step Functions, API Gateway and service catalog patterns.</x:v>
      </x:c>
      <x:c r="G54" s="115" t="str">
        <x:v>Bedrock action groups, AgentCore tools/gateway and Lambda.</x:v>
      </x:c>
      <x:c r="H54" s="115" t="str">
        <x:v>Skill Registry and Agent Garden.</x:v>
      </x:c>
      <x:c r="I54" s="115" t="str">
        <x:v>Cloud Run, Workflows, Integration Connectors and API Gateway.</x:v>
      </x:c>
      <x:c r="J54" s="157" t="str">
        <x:v>Reusable skills require interface contracts, authorization, testing and ownership.</x:v>
      </x:c>
      <x:c r="K54" s="115" t="str">
        <x:v>https://docs.cloud.google.com/gemini-enterprise-agent-platform</x:v>
      </x:c>
      <x:c r="L54" s="115" t="str">
        <x:v>2026-07-12</x:v>
      </x:c>
    </x:row>
    <x:row r="55">
      <x:c r="A55" s="155" t="str">
        <x:v>RAG and knowledge</x:v>
      </x:c>
      <x:c r="B55" s="156" t="str">
        <x:v>Managed RAG knowledge base</x:v>
      </x:c>
      <x:c r="C55" s="115" t="str">
        <x:v>Connect governed enterprise data to models for grounded responses.</x:v>
      </x:c>
      <x:c r="D55" s="115" t="str">
        <x:v>Vector Search, Genie/SQL tools, Unity Catalog data and agent tool patterns.</x:v>
      </x:c>
      <x:c r="E55" s="115" t="str">
        <x:v>Foundry IQ and Azure AI Search knowledge sources.</x:v>
      </x:c>
      <x:c r="F55" s="115" t="str">
        <x:v>SageMaker and OpenSearch/Aurora patterns.</x:v>
      </x:c>
      <x:c r="G55" s="115" t="str">
        <x:v>Knowledge Bases for Amazon Bedrock.</x:v>
      </x:c>
      <x:c r="H55" s="115" t="str">
        <x:v>RAG Engine.</x:v>
      </x:c>
      <x:c r="I55" s="115" t="str">
        <x:v>Vertex AI Search, BigQuery, AlloyDB, Spanner and Vector Search.</x:v>
      </x:c>
      <x:c r="J55" s="157" t="str">
        <x:v>Managed RAG does not remove document permissions, freshness and retrieval-evaluation requirements.</x:v>
      </x:c>
      <x:c r="K55" s="115" t="str">
        <x:v>https://docs.aws.amazon.com/bedrock/latest/userguide/knowledge-base.html</x:v>
      </x:c>
      <x:c r="L55" s="115" t="str">
        <x:v>2026-07-12</x:v>
      </x:c>
    </x:row>
    <x:row r="56">
      <x:c r="A56" s="155" t="str">
        <x:v>RAG and knowledge</x:v>
      </x:c>
      <x:c r="B56" s="156" t="str">
        <x:v>Enterprise search and grounding</x:v>
      </x:c>
      <x:c r="C56" s="115" t="str">
        <x:v>Search enterprise content with ACL-aware semantic retrieval.</x:v>
      </x:c>
      <x:c r="D56" s="115" t="str">
        <x:v>Databricks Vector Search, Genie and governed data tools.</x:v>
      </x:c>
      <x:c r="E56" s="115" t="str">
        <x:v>Azure AI Search and Foundry IQ.</x:v>
      </x:c>
      <x:c r="F56" s="115" t="str">
        <x:v>Amazon Kendra and OpenSearch.</x:v>
      </x:c>
      <x:c r="G56" s="115" t="str">
        <x:v>Bedrock Knowledge Bases and Kendra/OpenSearch integration patterns.</x:v>
      </x:c>
      <x:c r="H56" s="115" t="str">
        <x:v>Agent Search / Gemini Enterprise search and grounding capabilities.</x:v>
      </x:c>
      <x:c r="I56" s="115" t="str">
        <x:v>Vertex AI Search and Google Workspace connectors.</x:v>
      </x:c>
      <x:c r="J56" s="157" t="str">
        <x:v>Validate ACL propagation, freshness, citations, data residency and connector scope.</x:v>
      </x:c>
      <x:c r="K56" s="115" t="str">
        <x:v>https://docs.cloud.google.com/gemini-enterprise-agent-platform</x:v>
      </x:c>
      <x:c r="L56" s="115" t="str">
        <x:v>2026-07-12</x:v>
      </x:c>
    </x:row>
    <x:row r="57">
      <x:c r="A57" s="155" t="str">
        <x:v>RAG and knowledge</x:v>
      </x:c>
      <x:c r="B57" s="156" t="str">
        <x:v>Vector storage and retrieval</x:v>
      </x:c>
      <x:c r="C57" s="115" t="str">
        <x:v>Store embeddings and execute similarity search.</x:v>
      </x:c>
      <x:c r="D57" s="115" t="str">
        <x:v>Databricks Vector Search with Unity Catalog governance.</x:v>
      </x:c>
      <x:c r="E57" s="115" t="str">
        <x:v>Azure AI Search, Cosmos DB vector search, Azure PostgreSQL pgvector and Azure DocumentDB vector search.</x:v>
      </x:c>
      <x:c r="F57" s="115" t="str">
        <x:v>OpenSearch vector engine, Aurora/PostgreSQL pgvector and DocumentDB vector search.</x:v>
      </x:c>
      <x:c r="G57" s="115" t="str">
        <x:v>Knowledge Bases can use supported vector stores; Bedrock is not itself the general vector database.</x:v>
      </x:c>
      <x:c r="H57" s="115" t="str">
        <x:v>Agent Platform Vector Search 2.0 and RAG Engine.</x:v>
      </x:c>
      <x:c r="I57" s="115" t="str">
        <x:v>AlloyDB AI, Spanner, Cloud SQL pgvector and Bigtable patterns.</x:v>
      </x:c>
      <x:c r="J57" s="157" t="str">
        <x:v>Choose by scale, filtering, transactions, hybrid search, latency and operational data integration.</x:v>
      </x:c>
      <x:c r="K57" s="115" t="str">
        <x:v>https://docs.cloud.google.com/architecture/gen-ai-rag-vertex-ai-vector-search</x:v>
      </x:c>
      <x:c r="L57" s="115" t="str">
        <x:v>2026-07-12</x:v>
      </x:c>
    </x:row>
    <x:row r="58">
      <x:c r="A58" s="155" t="str">
        <x:v>Compliance integration</x:v>
      </x:c>
      <x:c r="B58" s="156" t="str">
        <x:v>Enterprise compliance posture</x:v>
      </x:c>
      <x:c r="C58" s="115" t="str">
        <x:v>Aggregate policy status, risk signals and noncompliance across AI assets.</x:v>
      </x:c>
      <x:c r="D58" s="115" t="str">
        <x:v>Unity Catalog audit/system tables plus external GRC reporting.</x:v>
      </x:c>
      <x:c r="E58" s="115" t="str">
        <x:v>Foundry Control Plane Compliance pane with Azure Policy, Defender and Purview integrations.</x:v>
      </x:c>
      <x:c r="F58" s="115" t="str">
        <x:v>AWS Audit Manager, Security Hub, Config and SageMaker governance artifacts.</x:v>
      </x:c>
      <x:c r="G58" s="115" t="str">
        <x:v>Bedrock controls feed AWS governance and audit services.</x:v>
      </x:c>
      <x:c r="H58" s="115" t="str">
        <x:v>Govern view, Agent Registry, audit logs, Model Armor and Security Command Center.</x:v>
      </x:c>
      <x:c r="I58" s="115" t="str">
        <x:v>Security Command Center, Assured Workloads and Audit Manager patterns.</x:v>
      </x:c>
      <x:c r="J58" s="157" t="str">
        <x:v>Cloud product controls provide evidence; they do not automatically establish legal compliance.</x:v>
      </x:c>
      <x:c r="K58" s="115" t="str">
        <x:v>https://learn.microsoft.com/en-us/azure/foundry/control-plane/overview</x:v>
      </x:c>
      <x:c r="L58" s="115" t="str">
        <x:v>2026-07-12</x:v>
      </x:c>
    </x:row>
    <x:row r="59">
      <x:c r="A59" s="155" t="str">
        <x:v>Compliance integration</x:v>
      </x:c>
      <x:c r="B59" s="156" t="str">
        <x:v>Bulk remediation and enforcement</x:v>
      </x:c>
      <x:c r="C59" s="115" t="str">
        <x:v>Identify noncompliant AI resources and apply corrective controls at scale.</x:v>
      </x:c>
      <x:c r="D59" s="115" t="str">
        <x:v>Policy/IaC automation, Unity Catalog privileges and service-policy updates.</x:v>
      </x:c>
      <x:c r="E59" s="115" t="str">
        <x:v>Foundry Control Plane bulk remediation and Azure Policy.</x:v>
      </x:c>
      <x:c r="F59" s="115" t="str">
        <x:v>AWS Config remediation, Systems Manager Automation and Organizations policies.</x:v>
      </x:c>
      <x:c r="G59" s="115" t="str">
        <x:v>Bedrock resource changes through CloudFormation, Config and IAM automation.</x:v>
      </x:c>
      <x:c r="H59" s="115" t="str">
        <x:v>Organization Policy, Terraform and policy automation.</x:v>
      </x:c>
      <x:c r="I59" s="115" t="str">
        <x:v>Organization Policy Service and Security Command Center automation.</x:v>
      </x:c>
      <x:c r="J59" s="157" t="str">
        <x:v>Automated remediation needs change control, rollback and exception handling.</x:v>
      </x:c>
      <x:c r="K59" s="115" t="str">
        <x:v>https://learn.microsoft.com/en-us/azure/foundry/control-plane/overview</x:v>
      </x:c>
      <x:c r="L59" s="115" t="str">
        <x:v>2026-07-12</x:v>
      </x:c>
    </x:row>
  </x:sheetData>
  <x:mergeCells>
    <x:mergeCell ref="A1:L1"/>
    <x:mergeCell ref="A2:L2"/>
  </x:mergeCells>
  <x:pageMargins left="0.7" right="0.7" top="0.75" bottom="0.75" header="0.3" footer="0.3"/>
  <x:tableParts count="1">
    <x:tablePart xmlns:r="http://schemas.openxmlformats.org/officeDocument/2006/relationships" r:id="Rc0f13b622672450c"/>
  </x:tableParts>
</x:worksheet>
</file>

<file path=xl/worksheets/sheet20.xml><?xml version="1.0" encoding="utf-8"?>
<x:worksheet xmlns:x="http://schemas.openxmlformats.org/spreadsheetml/2006/main">
  <x:sheetFormatPr defaultRowHeight="15"/>
  <x:cols>
    <x:col min="1" max="1" width="13" hidden="0" customWidth="1"/>
    <x:col min="2" max="2" width="25" hidden="0" customWidth="1"/>
    <x:col min="3" max="3" width="50" hidden="0" customWidth="1"/>
    <x:col min="4" max="4" width="58" hidden="0" customWidth="1"/>
    <x:col min="5" max="5" width="52" hidden="0" customWidth="1"/>
    <x:col min="6" max="6" width="22" hidden="0" customWidth="1"/>
    <x:col min="7" max="7" width="44" hidden="0" customWidth="1"/>
    <x:col min="8" max="8" width="46" hidden="0" customWidth="1"/>
    <x:col min="9" max="9" width="46" hidden="0" customWidth="1"/>
    <x:col min="10" max="10" width="46" hidden="0" customWidth="1"/>
    <x:col min="11" max="11" width="22" hidden="0" customWidth="1"/>
    <x:col min="12" max="12" width="42" hidden="0" customWidth="1"/>
    <x:col min="13" max="13" width="34" hidden="0" customWidth="1"/>
    <x:col min="14" max="14" width="26" hidden="0" customWidth="1"/>
    <x:col min="15" max="15" width="58" hidden="0" customWidth="1"/>
    <x:col min="16" max="16" width="68" hidden="0" customWidth="1"/>
    <x:col min="17" max="17" width="14" hidden="0" customWidth="1"/>
  </x:cols>
  <x:sheetData>
    <x:row r="1" ht="30" customHeight="1">
      <x:c r="A1" s="144" t="str">
        <x:v>AI Governance Control Framework</x:v>
      </x:c>
      <x:c r="B1" s="144"/>
      <x:c r="C1" s="144"/>
      <x:c r="D1" s="144"/>
      <x:c r="E1" s="144"/>
      <x:c r="F1" s="144"/>
      <x:c r="G1" s="144"/>
      <x:c r="H1" s="144"/>
      <x:c r="I1" s="144"/>
      <x:c r="J1" s="144"/>
      <x:c r="K1" s="144"/>
      <x:c r="L1" s="144"/>
      <x:c r="M1" s="144"/>
      <x:c r="N1" s="144"/>
      <x:c r="O1" s="144"/>
      <x:c r="P1" s="144"/>
      <x:c r="Q1" s="144"/>
    </x:row>
    <x:row r="2" ht="40" customHeight="1">
      <x:c r="A2" s="148" t="str">
        <x:v>Detailed controls mapped to Unity Catalog, Microsoft Foundry, SageMaker/Bedrock and Gemini Enterprise Agent Platform. Regulatory mappings are indicative only and require legal/compliance validation.</x:v>
      </x:c>
      <x:c r="B2" s="148"/>
      <x:c r="C2" s="148"/>
      <x:c r="D2" s="148"/>
      <x:c r="E2" s="148"/>
      <x:c r="F2" s="148"/>
      <x:c r="G2" s="148"/>
      <x:c r="H2" s="148"/>
      <x:c r="I2" s="148"/>
      <x:c r="J2" s="148"/>
      <x:c r="K2" s="148"/>
      <x:c r="L2" s="148"/>
      <x:c r="M2" s="148"/>
      <x:c r="N2" s="148"/>
      <x:c r="O2" s="148"/>
      <x:c r="P2" s="148"/>
      <x:c r="Q2" s="148"/>
    </x:row>
    <x:row r="4" ht="38" customHeight="1">
      <x:c r="A4" s="154" t="str">
        <x:v>Control ID</x:v>
      </x:c>
      <x:c r="B4" s="154" t="str">
        <x:v>Control domain</x:v>
      </x:c>
      <x:c r="C4" s="154" t="str">
        <x:v>Governance control objective</x:v>
      </x:c>
      <x:c r="D4" s="154" t="str">
        <x:v>Minimum implementation</x:v>
      </x:c>
      <x:c r="E4" s="154" t="str">
        <x:v>Required evidence</x:v>
      </x:c>
      <x:c r="F4" s="154" t="str">
        <x:v>Lifecycle gate</x:v>
      </x:c>
      <x:c r="G4" s="154" t="str">
        <x:v>Databricks implementation</x:v>
      </x:c>
      <x:c r="H4" s="154" t="str">
        <x:v>Microsoft implementation</x:v>
      </x:c>
      <x:c r="I4" s="154" t="str">
        <x:v>AWS implementation</x:v>
      </x:c>
      <x:c r="J4" s="154" t="str">
        <x:v>Google Cloud implementation</x:v>
      </x:c>
      <x:c r="K4" s="154" t="str">
        <x:v>NIST AI RMF alignment</x:v>
      </x:c>
      <x:c r="L4" s="154" t="str">
        <x:v>EU AI Act / GDPR relevance</x:v>
      </x:c>
      <x:c r="M4" s="154" t="str">
        <x:v>ISO/IEC 42001 theme</x:v>
      </x:c>
      <x:c r="N4" s="154" t="str">
        <x:v>Control owner</x:v>
      </x:c>
      <x:c r="O4" s="154" t="str">
        <x:v>Important note</x:v>
      </x:c>
      <x:c r="P4" s="154" t="str">
        <x:v>Primary source</x:v>
      </x:c>
      <x:c r="Q4" s="154" t="str">
        <x:v>Verified date</x:v>
      </x:c>
    </x:row>
    <x:row r="5">
      <x:c r="A5" s="155" t="str">
        <x:v>GOV-01</x:v>
      </x:c>
      <x:c r="B5" s="156" t="str">
        <x:v>Inventory and accountability</x:v>
      </x:c>
      <x:c r="C5" s="115" t="str">
        <x:v>Maintain a complete inventory of AI systems, models, agents, tools, owners and deployments.</x:v>
      </x:c>
      <x:c r="D5" s="115" t="str">
        <x:v>Register every AI system before production and assign accountable business and technical owners.</x:v>
      </x:c>
      <x:c r="E5" s="115" t="str">
        <x:v>AI register; asset ID; owner; purpose; model; data; tools; risk status; deployment locations.</x:v>
      </x:c>
      <x:c r="F5" s="115" t="str">
        <x:v>Idea intake and production approval</x:v>
      </x:c>
      <x:c r="G5" s="115" t="str">
        <x:v>Unity Catalog securables, Catalog Explorer, model/MCP services and MLflow registry.</x:v>
      </x:c>
      <x:c r="H5" s="115" t="str">
        <x:v>Foundry Control Plane Assets and Admin panes.</x:v>
      </x:c>
      <x:c r="I5" s="115" t="str">
        <x:v>SageMaker Model Registry/Dashboard, Bedrock resources, tags, AWS Config and asset inventory patterns.</x:v>
      </x:c>
      <x:c r="J5" s="115" t="str">
        <x:v>Agent Registry, Model Registry, Cloud Asset Inventory and Gemini Enterprise Admin.</x:v>
      </x:c>
      <x:c r="K5" s="115" t="str">
        <x:v>GOVERN, MAP</x:v>
      </x:c>
      <x:c r="L5" s="158" t="str">
        <x:v>Governance, technical documentation and accountability; GDPR accountability.</x:v>
      </x:c>
      <x:c r="M5" s="158" t="str">
        <x:v>Context, leadership, planning and documented information.</x:v>
      </x:c>
      <x:c r="N5" s="115" t="str">
        <x:v>AI Governance Lead</x:v>
      </x:c>
      <x:c r="O5" s="157" t="str">
        <x:v>Inventory must include shadow AI and externally hosted agents/models, not only provider-native resources.</x:v>
      </x:c>
      <x:c r="P5" s="115" t="str">
        <x:v>https://learn.microsoft.com/en-us/azure/foundry/control-plane/overview</x:v>
      </x:c>
      <x:c r="Q5" s="115" t="str">
        <x:v>2026-07-12</x:v>
      </x:c>
    </x:row>
    <x:row r="6">
      <x:c r="A6" s="155" t="str">
        <x:v>GOV-02</x:v>
      </x:c>
      <x:c r="B6" s="156" t="str">
        <x:v>Ownership and decision rights</x:v>
      </x:c>
      <x:c r="C6" s="115" t="str">
        <x:v>Define who approves, builds, operates, monitors, changes and retires each AI system.</x:v>
      </x:c>
      <x:c r="D6" s="115" t="str">
        <x:v>Use a RACI and named risk acceptance authority by use-case risk tier.</x:v>
      </x:c>
      <x:c r="E6" s="115" t="str">
        <x:v>RACI; approval authority; escalation path; system owner acceptance.</x:v>
      </x:c>
      <x:c r="F6" s="115" t="str">
        <x:v>Use-case approval</x:v>
      </x:c>
      <x:c r="G6" s="115" t="str">
        <x:v>Unity Catalog owners, grants and workspace/account administrator roles.</x:v>
      </x:c>
      <x:c r="H6" s="115" t="str">
        <x:v>Foundry project roles, Entra groups and Control Plane Admin.</x:v>
      </x:c>
      <x:c r="I6" s="115" t="str">
        <x:v>IAM roles, SageMaker Role Manager, Organizations and resource ownership tags.</x:v>
      </x:c>
      <x:c r="J6" s="115" t="str">
        <x:v>IAM roles, Agent Identity, organization/folder/project ownership.</x:v>
      </x:c>
      <x:c r="K6" s="115" t="str">
        <x:v>GOVERN</x:v>
      </x:c>
      <x:c r="L6" s="158" t="str">
        <x:v>Accountability and human oversight; GDPR accountability.</x:v>
      </x:c>
      <x:c r="M6" s="158" t="str">
        <x:v>Leadership, roles, responsibilities and authorities.</x:v>
      </x:c>
      <x:c r="N6" s="115" t="str">
        <x:v>Business Owner</x:v>
      </x:c>
      <x:c r="O6" s="157" t="str">
        <x:v>A cloud administrator is not automatically the accountable AI-system owner.</x:v>
      </x:c>
      <x:c r="P6" s="115" t="str">
        <x:v>https://www.iso.org/standard/42001</x:v>
      </x:c>
      <x:c r="Q6" s="115" t="str">
        <x:v>2026-07-12</x:v>
      </x:c>
    </x:row>
    <x:row r="7">
      <x:c r="A7" s="155" t="str">
        <x:v>GOV-03</x:v>
      </x:c>
      <x:c r="B7" s="156" t="str">
        <x:v>Use-case and risk classification</x:v>
      </x:c>
      <x:c r="C7" s="115" t="str">
        <x:v>Classify AI use cases by impact, autonomy, users, data sensitivity and regulatory context.</x:v>
      </x:c>
      <x:c r="D7" s="115" t="str">
        <x:v>Use a documented risk taxonomy before model or platform selection.</x:v>
      </x:c>
      <x:c r="E7" s="115" t="str">
        <x:v>Risk assessment; impact level; prohibited/high-risk screening; rationale.</x:v>
      </x:c>
      <x:c r="F7" s="115" t="str">
        <x:v>Discovery and qualification</x:v>
      </x:c>
      <x:c r="G7" s="115" t="str">
        <x:v>Tags/classifications in Unity Catalog and governance workflow outside the platform.</x:v>
      </x:c>
      <x:c r="H7" s="115" t="str">
        <x:v>Foundry compliance metadata, Purview classifications and GRC workflow.</x:v>
      </x:c>
      <x:c r="I7" s="115" t="str">
        <x:v>SageMaker Model Cards risk rating, Audit Manager and GRC workflow.</x:v>
      </x:c>
      <x:c r="J7" s="115" t="str">
        <x:v>Labels/metadata, governance policies and external GRC workflow.</x:v>
      </x:c>
      <x:c r="K7" s="115" t="str">
        <x:v>MAP</x:v>
      </x:c>
      <x:c r="L7" s="158" t="str">
        <x:v>AI Act risk classification and GDPR risk-based accountability.</x:v>
      </x:c>
      <x:c r="M7" s="158" t="str">
        <x:v>Risk assessment and AI system impact assessment.</x:v>
      </x:c>
      <x:c r="N7" s="115" t="str">
        <x:v>Risk and Compliance</x:v>
      </x:c>
      <x:c r="O7" s="157" t="str">
        <x:v>Provider controls do not determine whether a use case is legally high risk.</x:v>
      </x:c>
      <x:c r="P7" s="115" t="str">
        <x:v>https://digital-strategy.ec.europa.eu/en/policies/regulatory-framework-ai</x:v>
      </x:c>
      <x:c r="Q7" s="115" t="str">
        <x:v>2026-07-12</x:v>
      </x:c>
    </x:row>
    <x:row r="8">
      <x:c r="A8" s="155" t="str">
        <x:v>GOV-04</x:v>
      </x:c>
      <x:c r="B8" s="156" t="str">
        <x:v>Prohibited-use screening</x:v>
      </x:c>
      <x:c r="C8" s="115" t="str">
        <x:v>Prevent deployment of use cases that breach organizational policy or applicable law.</x:v>
      </x:c>
      <x:c r="D8" s="115" t="str">
        <x:v>Screen at intake and before material changes; block prohibited categories.</x:v>
      </x:c>
      <x:c r="E8" s="115" t="str">
        <x:v>Signed screening checklist; policy outcome; exception record.</x:v>
      </x:c>
      <x:c r="F8" s="115" t="str">
        <x:v>Idea intake</x:v>
      </x:c>
      <x:c r="G8" s="115" t="str">
        <x:v>Service policies and catalog access can enforce technical blocks after policy decision.</x:v>
      </x:c>
      <x:c r="H8" s="115" t="str">
        <x:v>Foundry Compliance guardrail policies and Azure Policy.</x:v>
      </x:c>
      <x:c r="I8" s="115" t="str">
        <x:v>Organizations SCPs, IAM, Service Catalog restrictions and Guardrails.</x:v>
      </x:c>
      <x:c r="J8" s="115" t="str">
        <x:v>Organization Policy, semantic governance and access controls.</x:v>
      </x:c>
      <x:c r="K8" s="115" t="str">
        <x:v>GOVERN, MAP</x:v>
      </x:c>
      <x:c r="L8" s="158" t="str">
        <x:v>AI Act prohibited-practice screening; GDPR fairness/lawfulness.</x:v>
      </x:c>
      <x:c r="M8" s="158" t="str">
        <x:v>Policy, objectives and operational controls.</x:v>
      </x:c>
      <x:c r="N8" s="115" t="str">
        <x:v>Legal and Compliance</x:v>
      </x:c>
      <x:c r="O8" s="157" t="str">
        <x:v>This control requires legal interpretation and cannot be automated solely by the cloud platform.</x:v>
      </x:c>
      <x:c r="P8" s="115" t="str">
        <x:v>https://digital-strategy.ec.europa.eu/en/policies/regulatory-framework-ai</x:v>
      </x:c>
      <x:c r="Q8" s="115" t="str">
        <x:v>2026-07-12</x:v>
      </x:c>
    </x:row>
    <x:row r="9">
      <x:c r="A9" s="155" t="str">
        <x:v>GOV-05</x:v>
      </x:c>
      <x:c r="B9" s="156" t="str">
        <x:v>AI literacy and competency</x:v>
      </x:c>
      <x:c r="C9" s="115" t="str">
        <x:v>Ensure staff understand AI capabilities, limitations, risks and their assigned responsibilities.</x:v>
      </x:c>
      <x:c r="D9" s="115" t="str">
        <x:v>Role-based training for executives, product owners, engineers, validators, operators and users.</x:v>
      </x:c>
      <x:c r="E9" s="115" t="str">
        <x:v>Training curriculum; attendance; competency records; refresh schedule.</x:v>
      </x:c>
      <x:c r="F9" s="115" t="str">
        <x:v>Before access and annually</x:v>
      </x:c>
      <x:c r="G9" s="115" t="str">
        <x:v>Databricks training plus organization policy and role enablement.</x:v>
      </x:c>
      <x:c r="H9" s="115" t="str">
        <x:v>Microsoft Learn/organizational training linked to Foundry roles.</x:v>
      </x:c>
      <x:c r="I9" s="115" t="str">
        <x:v>AWS Skill Builder/organizational training linked to IAM roles.</x:v>
      </x:c>
      <x:c r="J9" s="115" t="str">
        <x:v>Google Cloud Skills Boost/organizational training linked to IAM roles.</x:v>
      </x:c>
      <x:c r="K9" s="115" t="str">
        <x:v>GOVERN</x:v>
      </x:c>
      <x:c r="L9" s="158" t="str">
        <x:v>AI literacy obligations; GDPR staff awareness.</x:v>
      </x:c>
      <x:c r="M9" s="158" t="str">
        <x:v>Competence, awareness and communication.</x:v>
      </x:c>
      <x:c r="N9" s="115" t="str">
        <x:v>AI Governance Lead and HR</x:v>
      </x:c>
      <x:c r="O9" s="157" t="str">
        <x:v>Training must cover the actual system, not only generic prompt-writing.</x:v>
      </x:c>
      <x:c r="P9" s="115" t="str">
        <x:v>https://digital-strategy.ec.europa.eu/en/policies/regulatory-framework-ai</x:v>
      </x:c>
      <x:c r="Q9" s="115" t="str">
        <x:v>2026-07-12</x:v>
      </x:c>
    </x:row>
    <x:row r="10">
      <x:c r="A10" s="155" t="str">
        <x:v>DATA-01</x:v>
      </x:c>
      <x:c r="B10" s="156" t="str">
        <x:v>Data provenance and lineage</x:v>
      </x:c>
      <x:c r="C10" s="115" t="str">
        <x:v>Trace training, tuning, grounding and evaluation data to source and permitted use.</x:v>
      </x:c>
      <x:c r="D10" s="115" t="str">
        <x:v>Record source, owner, collection basis, transformations, versions and downstream use.</x:v>
      </x:c>
      <x:c r="E10" s="115" t="str">
        <x:v>Data lineage; dataset card; source contracts; licence and consent records.</x:v>
      </x:c>
      <x:c r="F10" s="115" t="str">
        <x:v>Data readiness</x:v>
      </x:c>
      <x:c r="G10" s="115" t="str">
        <x:v>Unity Catalog lineage, tables/volumes, tags and MLflow run/model lineage.</x:v>
      </x:c>
      <x:c r="H10" s="115" t="str">
        <x:v>Microsoft Purview lineage, Azure ML lineage and data assets.</x:v>
      </x:c>
      <x:c r="I10" s="115" t="str">
        <x:v>Glue/DataZone/Lake Formation lineage, SageMaker lineage and S3 inventory.</x:v>
      </x:c>
      <x:c r="J10" s="115" t="str">
        <x:v>Dataplex lineage, ML Metadata, BigQuery/Cloud Storage metadata.</x:v>
      </x:c>
      <x:c r="K10" s="115" t="str">
        <x:v>MAP, MEASURE</x:v>
      </x:c>
      <x:c r="L10" s="158" t="str">
        <x:v>Data governance and technical documentation; GDPR purpose limitation and lawfulness.</x:v>
      </x:c>
      <x:c r="M10" s="158" t="str">
        <x:v>Data for AI systems and impact assessment.</x:v>
      </x:c>
      <x:c r="N10" s="115" t="str">
        <x:v>Data Owner</x:v>
      </x:c>
      <x:c r="O10" s="157" t="str">
        <x:v>A model-provider training-data statement does not replace lineage for enterprise grounding data.</x:v>
      </x:c>
      <x:c r="P10" s="115" t="str">
        <x:v>https://ico.org.uk/for-organisations/uk-gdpr-guidance-and-resources/artificial-intelligence/</x:v>
      </x:c>
      <x:c r="Q10" s="115" t="str">
        <x:v>2026-07-12</x:v>
      </x:c>
    </x:row>
    <x:row r="11">
      <x:c r="A11" s="155" t="str">
        <x:v>DATA-02</x:v>
      </x:c>
      <x:c r="B11" s="156" t="str">
        <x:v>Data quality and representativeness</x:v>
      </x:c>
      <x:c r="C11" s="115" t="str">
        <x:v>Demonstrate that data is sufficiently accurate, complete, relevant and representative for the use case.</x:v>
      </x:c>
      <x:c r="D11" s="115" t="str">
        <x:v>Define data-quality rules, population coverage and known limitations.</x:v>
      </x:c>
      <x:c r="E11" s="115" t="str">
        <x:v>Data-quality report; sampling analysis; bias analysis; remediation log.</x:v>
      </x:c>
      <x:c r="F11" s="115" t="str">
        <x:v>Training or grounding approval</x:v>
      </x:c>
      <x:c r="G11" s="115" t="str">
        <x:v>Unity Catalog metadata, data-quality tooling and MLflow evaluation datasets.</x:v>
      </x:c>
      <x:c r="H11" s="115" t="str">
        <x:v>Purview Data Quality, Fabric/Databricks, Azure ML data validation.</x:v>
      </x:c>
      <x:c r="I11" s="115" t="str">
        <x:v>Glue Data Quality, SageMaker Data Wrangler/Clarify and Model Monitor.</x:v>
      </x:c>
      <x:c r="J11" s="115" t="str">
        <x:v>Dataplex/Knowledge Catalog data quality, Agent Platform evaluation.</x:v>
      </x:c>
      <x:c r="K11" s="115" t="str">
        <x:v>MEASURE</x:v>
      </x:c>
      <x:c r="L11" s="158" t="str">
        <x:v>High-risk data governance; GDPR accuracy.</x:v>
      </x:c>
      <x:c r="M11" s="158" t="str">
        <x:v>Data quality, impact assessment and operational planning.</x:v>
      </x:c>
      <x:c r="N11" s="115" t="str">
        <x:v>Data Owner and Model Validator</x:v>
      </x:c>
      <x:c r="O11" s="157" t="str">
        <x:v>RAG document quality and model-training-data quality are different assessments.</x:v>
      </x:c>
      <x:c r="P11" s="115" t="str">
        <x:v>https://www.nist.gov/itl/ai-risk-management-framework</x:v>
      </x:c>
      <x:c r="Q11" s="115" t="str">
        <x:v>2026-07-12</x:v>
      </x:c>
    </x:row>
    <x:row r="12">
      <x:c r="A12" s="155" t="str">
        <x:v>DATA-03</x:v>
      </x:c>
      <x:c r="B12" s="156" t="str">
        <x:v>Privacy impact and DPIA</x:v>
      </x:c>
      <x:c r="C12" s="115" t="str">
        <x:v>Assess privacy risks where personal data is used in prompts, training, retrieval, logs or decisions.</x:v>
      </x:c>
      <x:c r="D12" s="115" t="str">
        <x:v>Perform DPIA or equivalent risk assessment when required; identify lawful basis and mitigations.</x:v>
      </x:c>
      <x:c r="E12" s="115" t="str">
        <x:v>DPIA; data-flow diagram; lawful-basis decision; privacy controls; consultation record.</x:v>
      </x:c>
      <x:c r="F12" s="115" t="str">
        <x:v>Before data access and production</x:v>
      </x:c>
      <x:c r="G12" s="115" t="str">
        <x:v>Unity Catalog classifications, access controls, logging and external privacy workflow.</x:v>
      </x:c>
      <x:c r="H12" s="115" t="str">
        <x:v>Microsoft Purview/Priva, Foundry controls and Azure privacy/security configuration.</x:v>
      </x:c>
      <x:c r="I12" s="115" t="str">
        <x:v>Macie, Audit Manager, Lake Formation and organizational privacy workflow.</x:v>
      </x:c>
      <x:c r="J12" s="115" t="str">
        <x:v>Sensitive Data Protection, Cloud DLP, IAM and privacy workflow.</x:v>
      </x:c>
      <x:c r="K12" s="115" t="str">
        <x:v>MAP, GOVERN</x:v>
      </x:c>
      <x:c r="L12" s="158" t="str">
        <x:v>GDPR DPIA, lawfulness, fairness and transparency; AI Act privacy considerations.</x:v>
      </x:c>
      <x:c r="M12" s="158" t="str">
        <x:v>Impact assessment and risk treatment.</x:v>
      </x:c>
      <x:c r="N12" s="115" t="str">
        <x:v>DPO / Privacy Lead</x:v>
      </x:c>
      <x:c r="O12" s="157" t="str">
        <x:v>Cloud certification does not remove the deployer's GDPR responsibilities.</x:v>
      </x:c>
      <x:c r="P12" s="115" t="str">
        <x:v>https://ico.org.uk/for-organisations/uk-gdpr-guidance-and-resources/artificial-intelligence/</x:v>
      </x:c>
      <x:c r="Q12" s="115" t="str">
        <x:v>2026-07-12</x:v>
      </x:c>
    </x:row>
    <x:row r="13">
      <x:c r="A13" s="155" t="str">
        <x:v>DATA-04</x:v>
      </x:c>
      <x:c r="B13" s="156" t="str">
        <x:v>Data minimisation</x:v>
      </x:c>
      <x:c r="C13" s="115" t="str">
        <x:v>Limit data collected, retrieved, logged and retained to what the AI task needs.</x:v>
      </x:c>
      <x:c r="D13" s="115" t="str">
        <x:v>Minimise context, tool outputs, logs, memory and copied data fields.</x:v>
      </x:c>
      <x:c r="E13" s="115" t="str">
        <x:v>Field-level data map; redaction rules; retrieval filters; logging configuration.</x:v>
      </x:c>
      <x:c r="F13" s="115" t="str">
        <x:v>Design and pre-production</x:v>
      </x:c>
      <x:c r="G13" s="115" t="str">
        <x:v>Row/column controls, views, service policies and selective inference logging.</x:v>
      </x:c>
      <x:c r="H13" s="115" t="str">
        <x:v>Purview, DLP, Prompt Shields/Content Safety and logging configuration.</x:v>
      </x:c>
      <x:c r="I13" s="115" t="str">
        <x:v>Macie, Lake Formation, Bedrock Guardrails PII filters and logging controls.</x:v>
      </x:c>
      <x:c r="J13" s="115" t="str">
        <x:v>Sensitive Data Protection, Model Armor, RAG filters and logging configuration.</x:v>
      </x:c>
      <x:c r="K13" s="115" t="str">
        <x:v>MAP, MANAGE</x:v>
      </x:c>
      <x:c r="L13" s="158" t="str">
        <x:v>GDPR data minimisation and purpose limitation.</x:v>
      </x:c>
      <x:c r="M13" s="158" t="str">
        <x:v>Data management and operational controls.</x:v>
      </x:c>
      <x:c r="N13" s="115" t="str">
        <x:v>Data Owner and Privacy Lead</x:v>
      </x:c>
      <x:c r="O13" s="157" t="str">
        <x:v>More context can improve quality but increases privacy, cost and prompt-injection exposure.</x:v>
      </x:c>
      <x:c r="P13" s="115" t="str">
        <x:v>https://ico.org.uk/for-organisations/uk-gdpr-guidance-and-resources/artificial-intelligence/</x:v>
      </x:c>
      <x:c r="Q13" s="115" t="str">
        <x:v>2026-07-12</x:v>
      </x:c>
    </x:row>
    <x:row r="14">
      <x:c r="A14" s="155" t="str">
        <x:v>DATA-05</x:v>
      </x:c>
      <x:c r="B14" s="156" t="str">
        <x:v>Retention, deletion and memory governance</x:v>
      </x:c>
      <x:c r="C14" s="115" t="str">
        <x:v>Define how long prompts, responses, traces, embeddings, sessions and learned memory persist.</x:v>
      </x:c>
      <x:c r="D14" s="115" t="str">
        <x:v>Set retention periods, deletion workflows, legal holds and user correction/deletion mechanisms.</x:v>
      </x:c>
      <x:c r="E14" s="115" t="str">
        <x:v>Retention schedule; TTL/lifecycle configuration; deletion test; exception register.</x:v>
      </x:c>
      <x:c r="F14" s="115" t="str">
        <x:v>Before production</x:v>
      </x:c>
      <x:c r="G14" s="115" t="str">
        <x:v>Unity Catalog Delta retention/lifecycle, system-table constraints and application deletion workflows.</x:v>
      </x:c>
      <x:c r="H14" s="115" t="str">
        <x:v>Azure Monitor/storage retention, Foundry data settings and application deletion workflows.</x:v>
      </x:c>
      <x:c r="I14" s="115" t="str">
        <x:v>S3/CloudWatch lifecycle, Bedrock/SageMaker logging settings and application deletion workflows.</x:v>
      </x:c>
      <x:c r="J14" s="115" t="str">
        <x:v>Zero-data-retention settings, BigQuery TTL, Logging retention and Memory Bank controls.</x:v>
      </x:c>
      <x:c r="K14" s="115" t="str">
        <x:v>MANAGE</x:v>
      </x:c>
      <x:c r="L14" s="158" t="str">
        <x:v>GDPR storage limitation and rights; AI Act record-keeping interactions.</x:v>
      </x:c>
      <x:c r="M14" s="158" t="str">
        <x:v>Lifecycle controls and documented information.</x:v>
      </x:c>
      <x:c r="N14" s="115" t="str">
        <x:v>Data Owner and DPO</x:v>
      </x:c>
      <x:c r="O14" s="157" t="str">
        <x:v>Deleting an application record might not delete derived embeddings, caches or model memory unless designed explicitly.</x:v>
      </x:c>
      <x:c r="P14" s="115" t="str">
        <x:v>https://docs.cloud.google.com/gemini-enterprise-agent-platform/resources/zero-data-retention</x:v>
      </x:c>
      <x:c r="Q14" s="115" t="str">
        <x:v>2026-07-12</x:v>
      </x:c>
    </x:row>
    <x:row r="15">
      <x:c r="A15" s="155" t="str">
        <x:v>IAM-01</x:v>
      </x:c>
      <x:c r="B15" s="156" t="str">
        <x:v>Least-privilege access</x:v>
      </x:c>
      <x:c r="C15" s="115" t="str">
        <x:v>Restrict humans and workloads to the minimum AI, data and administrative privileges.</x:v>
      </x:c>
      <x:c r="D15" s="115" t="str">
        <x:v>Separate builder, validator, approver, operator and auditor roles.</x:v>
      </x:c>
      <x:c r="E15" s="115" t="str">
        <x:v>Access matrix; role definitions; access review; privileged-access evidence.</x:v>
      </x:c>
      <x:c r="F15" s="115" t="str">
        <x:v>Environment access and quarterly review</x:v>
      </x:c>
      <x:c r="G15" s="115" t="str">
        <x:v>Unity Catalog privileges, ABAC, workspace bindings and admin roles.</x:v>
      </x:c>
      <x:c r="H15" s="115" t="str">
        <x:v>Entra ID, Azure RBAC, Conditional Access and Foundry roles.</x:v>
      </x:c>
      <x:c r="I15" s="115" t="str">
        <x:v>IAM, SageMaker Role Manager, Organizations and permission boundaries.</x:v>
      </x:c>
      <x:c r="J15" s="115" t="str">
        <x:v>IAM, Agent Identity, service accounts and Access Context Manager.</x:v>
      </x:c>
      <x:c r="K15" s="115" t="str">
        <x:v>GOVERN, MANAGE</x:v>
      </x:c>
      <x:c r="L15" s="158" t="str">
        <x:v>Cybersecurity and access controls; GDPR integrity/confidentiality.</x:v>
      </x:c>
      <x:c r="M15" s="158" t="str">
        <x:v>Roles, access and security controls.</x:v>
      </x:c>
      <x:c r="N15" s="115" t="str">
        <x:v>Security / IAM Owner</x:v>
      </x:c>
      <x:c r="O15" s="157" t="str">
        <x:v>Model invocation, tool execution and data access are separate permissions.</x:v>
      </x:c>
      <x:c r="P15" s="115" t="str">
        <x:v>https://www.nist.gov/itl/ai-risk-management-framework</x:v>
      </x:c>
      <x:c r="Q15" s="115" t="str">
        <x:v>2026-07-12</x:v>
      </x:c>
    </x:row>
    <x:row r="16">
      <x:c r="A16" s="155" t="str">
        <x:v>IAM-02</x:v>
      </x:c>
      <x:c r="B16" s="156" t="str">
        <x:v>Agent and workload identity</x:v>
      </x:c>
      <x:c r="C16" s="115" t="str">
        <x:v>Assign non-human identities and control delegation to downstream tools.</x:v>
      </x:c>
      <x:c r="D16" s="115" t="str">
        <x:v>Use managed identities; prohibit shared API keys; document on-behalf-of flows.</x:v>
      </x:c>
      <x:c r="E16" s="115" t="str">
        <x:v>Identity diagram; service account/role; token scope; rotation and delegation tests.</x:v>
      </x:c>
      <x:c r="F16" s="115" t="str">
        <x:v>Agent production approval</x:v>
      </x:c>
      <x:c r="G16" s="115" t="str">
        <x:v>Unified authentication, service principals and Unity Catalog authorization.</x:v>
      </x:c>
      <x:c r="H16" s="115" t="str">
        <x:v>Microsoft Entra agent identity and managed identity.</x:v>
      </x:c>
      <x:c r="I16" s="115" t="str">
        <x:v>IAM roles for Bedrock/SageMaker agents and workload federation.</x:v>
      </x:c>
      <x:c r="J16" s="115" t="str">
        <x:v>Agent Identity, service accounts and Workload Identity Federation.</x:v>
      </x:c>
      <x:c r="K16" s="115" t="str">
        <x:v>GOVERN, MANAGE</x:v>
      </x:c>
      <x:c r="L16" s="158" t="str">
        <x:v>Cybersecurity, human oversight and accountability.</x:v>
      </x:c>
      <x:c r="M16" s="158" t="str">
        <x:v>Access control and operational control.</x:v>
      </x:c>
      <x:c r="N16" s="115" t="str">
        <x:v>Security Architect</x:v>
      </x:c>
      <x:c r="O16" s="157" t="str">
        <x:v>Agent identity must persist through tool calls so actions remain attributable.</x:v>
      </x:c>
      <x:c r="P16" s="115" t="str">
        <x:v>https://docs.cloud.google.com/gemini-enterprise-agent-platform/release-notes</x:v>
      </x:c>
      <x:c r="Q16" s="115" t="str">
        <x:v>2026-07-12</x:v>
      </x:c>
    </x:row>
    <x:row r="17">
      <x:c r="A17" s="155" t="str">
        <x:v>IAM-03</x:v>
      </x:c>
      <x:c r="B17" s="156" t="str">
        <x:v>Tool and action authorization</x:v>
      </x:c>
      <x:c r="C17" s="115" t="str">
        <x:v>Prevent agents from invoking unauthorized tools, functions, records or actions.</x:v>
      </x:c>
      <x:c r="D17" s="115" t="str">
        <x:v>Allowlist tools, filter operations, enforce resource-level permissions and transaction limits.</x:v>
      </x:c>
      <x:c r="E17" s="115" t="str">
        <x:v>Tool inventory; permission map; negative tests; approval thresholds.</x:v>
      </x:c>
      <x:c r="F17" s="115" t="str">
        <x:v>Agent integration gate</x:v>
      </x:c>
      <x:c r="G17" s="115" t="str">
        <x:v>MCP Services, tool filtering, functions, connections and service policies.</x:v>
      </x:c>
      <x:c r="H17" s="115" t="str">
        <x:v>Foundry tools, Entra permissions, API Management and workflow approvals.</x:v>
      </x:c>
      <x:c r="I17" s="115" t="str">
        <x:v>Bedrock action groups, IAM, Lambda resource policies and Verified Permissions.</x:v>
      </x:c>
      <x:c r="J17" s="115" t="str">
        <x:v>Agent Gateway, Agent Registry, IAM and semantic governance policies.</x:v>
      </x:c>
      <x:c r="K17" s="115" t="str">
        <x:v>MANAGE</x:v>
      </x:c>
      <x:c r="L17" s="158" t="str">
        <x:v>Human oversight and cybersecurity; GDPR access limitation.</x:v>
      </x:c>
      <x:c r="M17" s="158" t="str">
        <x:v>Operational controls and risk treatment.</x:v>
      </x:c>
      <x:c r="N17" s="115" t="str">
        <x:v>Agent Product Owner and Security</x:v>
      </x:c>
      <x:c r="O17" s="157" t="str">
        <x:v>A safe model can still cause harm through an over-privileged tool.</x:v>
      </x:c>
      <x:c r="P17" s="115" t="str">
        <x:v>https://docs.cloud.google.com/gemini-enterprise-agent-platform/govern</x:v>
      </x:c>
      <x:c r="Q17" s="115" t="str">
        <x:v>2026-07-12</x:v>
      </x:c>
    </x:row>
    <x:row r="18">
      <x:c r="A18" s="155" t="str">
        <x:v>MODEL-01</x:v>
      </x:c>
      <x:c r="B18" s="156" t="str">
        <x:v>Model selection and vendor risk</x:v>
      </x:c>
      <x:c r="C18" s="115" t="str">
        <x:v>Select models using quality, risk, privacy, licensing, region and support evidence.</x:v>
      </x:c>
      <x:c r="D18" s="115" t="str">
        <x:v>Compare candidate models on representative tasks and complete provider due diligence.</x:v>
      </x:c>
      <x:c r="E18" s="115" t="str">
        <x:v>Model evaluation; provider terms; data-use review; licence; region; exit plan.</x:v>
      </x:c>
      <x:c r="F18" s="115" t="str">
        <x:v>Architecture and model approval</x:v>
      </x:c>
      <x:c r="G18" s="115" t="str">
        <x:v>Model services can expose Databricks-hosted and external-provider models under common governance.</x:v>
      </x:c>
      <x:c r="H18" s="115" t="str">
        <x:v>Foundry Models benchmark, model catalog and provider documentation.</x:v>
      </x:c>
      <x:c r="I18" s="115" t="str">
        <x:v>SageMaker JumpStart and AWS Marketplace evaluation; Bedrock model catalog.</x:v>
      </x:c>
      <x:c r="J18" s="115" t="str">
        <x:v>Agent Platform models, benchmark/evaluation and provider/model cards.</x:v>
      </x:c>
      <x:c r="K18" s="115" t="str">
        <x:v>MAP, MEASURE</x:v>
      </x:c>
      <x:c r="L18" s="158" t="str">
        <x:v>GPAI/provider obligations and deployer due diligence; GDPR processor/vendor governance.</x:v>
      </x:c>
      <x:c r="M18" s="158" t="str">
        <x:v>External-provider and acquisition controls.</x:v>
      </x:c>
      <x:c r="N18" s="115" t="str">
        <x:v>AI Architect and Procurement</x:v>
      </x:c>
      <x:c r="O18" s="157" t="str">
        <x:v>The highest benchmark model is not automatically the lowest-risk or lowest-TCO model.</x:v>
      </x:c>
      <x:c r="P18" s="115" t="str">
        <x:v>https://learn.microsoft.com/en-us/azure/foundry/concepts/foundry-models-overview</x:v>
      </x:c>
      <x:c r="Q18" s="115" t="str">
        <x:v>2026-07-12</x:v>
      </x:c>
    </x:row>
    <x:row r="19">
      <x:c r="A19" s="155" t="str">
        <x:v>MODEL-02</x:v>
      </x:c>
      <x:c r="B19" s="156" t="str">
        <x:v>System and model documentation</x:v>
      </x:c>
      <x:c r="C19" s="115" t="str">
        <x:v>Document intended use, limitations, architecture, data, model, prompts, tools and owners.</x:v>
      </x:c>
      <x:c r="D19" s="115" t="str">
        <x:v>Maintain model cards plus an end-to-end AI system card.</x:v>
      </x:c>
      <x:c r="E19" s="115" t="str">
        <x:v>System card; model card; architecture; limitations; risk rating; approvals.</x:v>
      </x:c>
      <x:c r="F19" s="115" t="str">
        <x:v>Pre-production and every major release</x:v>
      </x:c>
      <x:c r="G19" s="115" t="str">
        <x:v>Unity Catalog/MLflow metadata, tags, descriptions, lineage and registered models.</x:v>
      </x:c>
      <x:c r="H19" s="115" t="str">
        <x:v>Foundry/Azure ML metadata, Purview and Responsible AI artifacts.</x:v>
      </x:c>
      <x:c r="I19" s="115" t="str">
        <x:v>SageMaker Model Cards and Model Registry; Bedrock provider model cards plus customer-maintained system documentation.</x:v>
      </x:c>
      <x:c r="J19" s="115" t="str">
        <x:v>Model Registry metadata, labels and customer-maintained system card.</x:v>
      </x:c>
      <x:c r="K19" s="115" t="str">
        <x:v>GOVERN, MAP</x:v>
      </x:c>
      <x:c r="L19" s="158" t="str">
        <x:v>Technical documentation, transparency and record keeping.</x:v>
      </x:c>
      <x:c r="M19" s="158" t="str">
        <x:v>Documented information and AI-system lifecycle.</x:v>
      </x:c>
      <x:c r="N19" s="115" t="str">
        <x:v>Model Owner</x:v>
      </x:c>
      <x:c r="O19" s="157" t="str">
        <x:v>The system card must cover orchestration and tools, not only the foundation model.</x:v>
      </x:c>
      <x:c r="P19" s="115" t="str">
        <x:v>https://docs.aws.amazon.com/sagemaker/latest/dg/governance.html</x:v>
      </x:c>
      <x:c r="Q19" s="115" t="str">
        <x:v>2026-07-12</x:v>
      </x:c>
    </x:row>
    <x:row r="20">
      <x:c r="A20" s="155" t="str">
        <x:v>MODEL-03</x:v>
      </x:c>
      <x:c r="B20" s="156" t="str">
        <x:v>Pre-deployment evaluation</x:v>
      </x:c>
      <x:c r="C20" s="115" t="str">
        <x:v>Prove that quality, safety, security and operational thresholds are met before release.</x:v>
      </x:c>
      <x:c r="D20" s="115" t="str">
        <x:v>Use a versioned evaluation dataset, pass/fail thresholds and independent review for higher-risk systems.</x:v>
      </x:c>
      <x:c r="E20" s="115" t="str">
        <x:v>Evaluation plan; dataset; results; defects; approval and residual risk.</x:v>
      </x:c>
      <x:c r="F20" s="115" t="str">
        <x:v>Model/application release gate</x:v>
      </x:c>
      <x:c r="G20" s="115" t="str">
        <x:v>MLflow 3 evaluation, traces, scorers and human feedback.</x:v>
      </x:c>
      <x:c r="H20" s="115" t="str">
        <x:v>Foundry evaluations, agent evaluators and red-team results.</x:v>
      </x:c>
      <x:c r="I20" s="115" t="str">
        <x:v>SageMaker Clarify/Experiments/custom eval; Bedrock Evaluations.</x:v>
      </x:c>
      <x:c r="J20" s="115" t="str">
        <x:v>Agent Platform Model/Agent Evaluation, offline and simulated evaluation.</x:v>
      </x:c>
      <x:c r="K20" s="115" t="str">
        <x:v>MEASURE</x:v>
      </x:c>
      <x:c r="L20" s="158" t="str">
        <x:v>Accuracy, robustness, cybersecurity, risk management and conformity evidence.</x:v>
      </x:c>
      <x:c r="M20" s="158" t="str">
        <x:v>Performance evaluation, monitoring and risk treatment.</x:v>
      </x:c>
      <x:c r="N20" s="115" t="str">
        <x:v>Independent Model Validator</x:v>
      </x:c>
      <x:c r="O20" s="157" t="str">
        <x:v>Average scores can conceal severe subgroup or edge-case failures.</x:v>
      </x:c>
      <x:c r="P20" s="115" t="str">
        <x:v>https://www.nist.gov/itl/ai-risk-management-framework</x:v>
      </x:c>
      <x:c r="Q20" s="115" t="str">
        <x:v>2026-07-12</x:v>
      </x:c>
    </x:row>
    <x:row r="21">
      <x:c r="A21" s="155" t="str">
        <x:v>MODEL-04</x:v>
      </x:c>
      <x:c r="B21" s="156" t="str">
        <x:v>Fairness and explainability</x:v>
      </x:c>
      <x:c r="C21" s="115" t="str">
        <x:v>Assess whether outcomes are unjustifiably different and provide appropriate explanations.</x:v>
      </x:c>
      <x:c r="D21" s="115" t="str">
        <x:v>Define affected groups, fairness metrics and explanation needs based on the decision context.</x:v>
      </x:c>
      <x:c r="E21" s="115" t="str">
        <x:v>Bias/fairness report; explanation design; user testing; limitations.</x:v>
      </x:c>
      <x:c r="F21" s="115" t="str">
        <x:v>Pre-production and periodic review</x:v>
      </x:c>
      <x:c r="G21" s="115" t="str">
        <x:v>MLflow/custom analysis with governed artifacts.</x:v>
      </x:c>
      <x:c r="H21" s="115" t="str">
        <x:v>Azure ML Responsible AI dashboard and explainability.</x:v>
      </x:c>
      <x:c r="I21" s="115" t="str">
        <x:v>SageMaker Clarify.</x:v>
      </x:c>
      <x:c r="J21" s="115" t="str">
        <x:v>Agent Platform Explainable AI and custom fairness analysis.</x:v>
      </x:c>
      <x:c r="K21" s="115" t="str">
        <x:v>MEASURE</x:v>
      </x:c>
      <x:c r="L21" s="158" t="str">
        <x:v>Fairness, non-discrimination, transparency and GDPR fairness.</x:v>
      </x:c>
      <x:c r="M21" s="158" t="str">
        <x:v>Impact assessment, transparency and responsible use.</x:v>
      </x:c>
      <x:c r="N21" s="115" t="str">
        <x:v>Model Validator and Ethics/Risk</x:v>
      </x:c>
      <x:c r="O21" s="157" t="str">
        <x:v>LLM explanation text is not necessarily a faithful explanation of model reasoning.</x:v>
      </x:c>
      <x:c r="P21" s="115" t="str">
        <x:v>https://docs.aws.amazon.com/sagemaker/latest/dg/clarify-configure-processing-jobs.html</x:v>
      </x:c>
      <x:c r="Q21" s="115" t="str">
        <x:v>2026-07-12</x:v>
      </x:c>
    </x:row>
    <x:row r="22">
      <x:c r="A22" s="155" t="str">
        <x:v>SAFE-01</x:v>
      </x:c>
      <x:c r="B22" s="156" t="str">
        <x:v>Content safety</x:v>
      </x:c>
      <x:c r="C22" s="115" t="str">
        <x:v>Detect and control harmful or disallowed input and output content.</x:v>
      </x:c>
      <x:c r="D22" s="115" t="str">
        <x:v>Apply domain-specific policies, thresholds, testing and exception handling.</x:v>
      </x:c>
      <x:c r="E22" s="115" t="str">
        <x:v>Guardrail configuration; test set; blocked/allowed examples; override process.</x:v>
      </x:c>
      <x:c r="F22" s="115" t="str">
        <x:v>Pre-production and continuous</x:v>
      </x:c>
      <x:c r="G22" s="115" t="str">
        <x:v>Unity AI Gateway service policies and guardrail patterns.</x:v>
      </x:c>
      <x:c r="H22" s="115" t="str">
        <x:v>Azure AI Content Safety and Foundry guardrail policies.</x:v>
      </x:c>
      <x:c r="I22" s="115" t="str">
        <x:v>Bedrock Guardrails; SageMaker/custom classifiers where needed.</x:v>
      </x:c>
      <x:c r="J22" s="115" t="str">
        <x:v>Model Armor and Agent Platform safety controls.</x:v>
      </x:c>
      <x:c r="K22" s="115" t="str">
        <x:v>MEASURE, MANAGE</x:v>
      </x:c>
      <x:c r="L22" s="158" t="str">
        <x:v>Risk management, cybersecurity and transparency.</x:v>
      </x:c>
      <x:c r="M22" s="158" t="str">
        <x:v>Operational controls and risk treatment.</x:v>
      </x:c>
      <x:c r="N22" s="115" t="str">
        <x:v>AI Safety Owner</x:v>
      </x:c>
      <x:c r="O22" s="157" t="str">
        <x:v>Generic toxicity filters do not cover every sector-specific policy or harm.</x:v>
      </x:c>
      <x:c r="P22" s="115" t="str">
        <x:v>https://docs.aws.amazon.com/bedrock/latest/userguide/guardrails.html</x:v>
      </x:c>
      <x:c r="Q22" s="115" t="str">
        <x:v>2026-07-12</x:v>
      </x:c>
    </x:row>
    <x:row r="23">
      <x:c r="A23" s="155" t="str">
        <x:v>SAFE-02</x:v>
      </x:c>
      <x:c r="B23" s="156" t="str">
        <x:v>Prompt injection and jailbreak defence</x:v>
      </x:c>
      <x:c r="C23" s="115" t="str">
        <x:v>Reduce direct and indirect attempts to override instructions or exfiltrate data.</x:v>
      </x:c>
      <x:c r="D23" s="115" t="str">
        <x:v>Use layered controls: input screening, retrieval filtering, least privilege, tool authorization and output validation.</x:v>
      </x:c>
      <x:c r="E23" s="115" t="str">
        <x:v>Threat model; adversarial tests; prompt-attack metrics; mitigation evidence.</x:v>
      </x:c>
      <x:c r="F23" s="115" t="str">
        <x:v>Security test gate and continuous monitoring</x:v>
      </x:c>
      <x:c r="G23" s="115" t="str">
        <x:v>Service policies, tool filtering, access controls and custom policies.</x:v>
      </x:c>
      <x:c r="H23" s="115" t="str">
        <x:v>Prompt Shields, red teaming, agent evaluation and Defender integration.</x:v>
      </x:c>
      <x:c r="I23" s="115" t="str">
        <x:v>Bedrock Guardrails prompt filters, IAM, WAF and application controls.</x:v>
      </x:c>
      <x:c r="J23" s="115" t="str">
        <x:v>Model Armor, Semantic Governance Policy, Agent Gateway and SCC AI Protection.</x:v>
      </x:c>
      <x:c r="K23" s="115" t="str">
        <x:v>MEASURE, MANAGE</x:v>
      </x:c>
      <x:c r="L23" s="158" t="str">
        <x:v>Cybersecurity, robustness and data protection.</x:v>
      </x:c>
      <x:c r="M23" s="158" t="str">
        <x:v>Security controls and risk treatment.</x:v>
      </x:c>
      <x:c r="N23" s="115" t="str">
        <x:v>AI Security Lead</x:v>
      </x:c>
      <x:c r="O23" s="157" t="str">
        <x:v>Prompt filters alone cannot secure an agent with excessive tool privileges.</x:v>
      </x:c>
      <x:c r="P23" s="115" t="str">
        <x:v>https://docs.cloud.google.com/model-armor</x:v>
      </x:c>
      <x:c r="Q23" s="115" t="str">
        <x:v>2026-07-12</x:v>
      </x:c>
    </x:row>
    <x:row r="24">
      <x:c r="A24" s="155" t="str">
        <x:v>SAFE-03</x:v>
      </x:c>
      <x:c r="B24" s="156" t="str">
        <x:v>Sensitive-data leakage prevention</x:v>
      </x:c>
      <x:c r="C24" s="115" t="str">
        <x:v>Prevent models and agents from exposing confidential or personal data.</x:v>
      </x:c>
      <x:c r="D24" s="115" t="str">
        <x:v>Classify data, enforce ACLs, minimise context, inspect outputs and protect logs.</x:v>
      </x:c>
      <x:c r="E24" s="115" t="str">
        <x:v>DLP policy; data-access tests; redaction tests; leakage evaluation.</x:v>
      </x:c>
      <x:c r="F24" s="115" t="str">
        <x:v>Data and security approval</x:v>
      </x:c>
      <x:c r="G24" s="115" t="str">
        <x:v>Unity Catalog access controls, masks, service policies and governed logging.</x:v>
      </x:c>
      <x:c r="H24" s="115" t="str">
        <x:v>Purview DLP, Content Safety, Defender, Azure AI Search ACLs.</x:v>
      </x:c>
      <x:c r="I24" s="115" t="str">
        <x:v>Macie, Lake Formation, Bedrock Guardrails sensitive-information filters.</x:v>
      </x:c>
      <x:c r="J24" s="115" t="str">
        <x:v>Sensitive Data Protection, Model Armor, VPC Service Controls.</x:v>
      </x:c>
      <x:c r="K24" s="115" t="str">
        <x:v>MEASURE, MANAGE</x:v>
      </x:c>
      <x:c r="L24" s="158" t="str">
        <x:v>GDPR security, confidentiality and minimisation; AI Act cybersecurity.</x:v>
      </x:c>
      <x:c r="M24" s="158" t="str">
        <x:v>Privacy, security and operational controls.</x:v>
      </x:c>
      <x:c r="N24" s="115" t="str">
        <x:v>DPO and Security</x:v>
      </x:c>
      <x:c r="O24" s="157" t="str">
        <x:v>RAG can leak data even when the base model never stores customer prompts.</x:v>
      </x:c>
      <x:c r="P24" s="115" t="str">
        <x:v>https://ico.org.uk/for-organisations/uk-gdpr-guidance-and-resources/artificial-intelligence/</x:v>
      </x:c>
      <x:c r="Q24" s="115" t="str">
        <x:v>2026-07-12</x:v>
      </x:c>
    </x:row>
    <x:row r="25">
      <x:c r="A25" s="155" t="str">
        <x:v>SAFE-04</x:v>
      </x:c>
      <x:c r="B25" s="156" t="str">
        <x:v>Red teaming and misuse testing</x:v>
      </x:c>
      <x:c r="C25" s="115" t="str">
        <x:v>Test abuse paths, adversarial prompts, harmful autonomy and unexpected tool combinations.</x:v>
      </x:c>
      <x:c r="D25" s="115" t="str">
        <x:v>Create threat-led scenarios and retest after model, prompt, tool or policy changes.</x:v>
      </x:c>
      <x:c r="E25" s="115" t="str">
        <x:v>Red-team plan; findings; severity; remediation; retest results.</x:v>
      </x:c>
      <x:c r="F25" s="115" t="str">
        <x:v>Security release gate</x:v>
      </x:c>
      <x:c r="G25" s="115" t="str">
        <x:v>MLflow/custom adversarial evaluations and logged traces.</x:v>
      </x:c>
      <x:c r="H25" s="115" t="str">
        <x:v>AI Red Teaming Agent and scheduled scans.</x:v>
      </x:c>
      <x:c r="I25" s="115" t="str">
        <x:v>Bedrock/SageMaker custom test harness plus AWS security testing.</x:v>
      </x:c>
      <x:c r="J25" s="115" t="str">
        <x:v>Model Armor, SCC AI Protection and custom adversarial evaluation.</x:v>
      </x:c>
      <x:c r="K25" s="115" t="str">
        <x:v>MEASURE, MANAGE</x:v>
      </x:c>
      <x:c r="L25" s="158" t="str">
        <x:v>Cybersecurity, robustness and post-market risk management.</x:v>
      </x:c>
      <x:c r="M25" s="158" t="str">
        <x:v>Testing, corrective action and continual improvement.</x:v>
      </x:c>
      <x:c r="N25" s="115" t="str">
        <x:v>AI Security Lead</x:v>
      </x:c>
      <x:c r="O25" s="157" t="str">
        <x:v>Red teaming must include business-process abuse, not only unsafe text generation.</x:v>
      </x:c>
      <x:c r="P25" s="115" t="str">
        <x:v>https://learn.microsoft.com/en-us/azure/foundry/concepts/ai-red-teaming-agent</x:v>
      </x:c>
      <x:c r="Q25" s="115" t="str">
        <x:v>2026-07-12</x:v>
      </x:c>
    </x:row>
    <x:row r="26">
      <x:c r="A26" s="155" t="str">
        <x:v>SAFE-05</x:v>
      </x:c>
      <x:c r="B26" s="156" t="str">
        <x:v>Human oversight and contestability</x:v>
      </x:c>
      <x:c r="C26" s="115" t="str">
        <x:v>Ensure people can understand, intervene, override or challenge consequential AI outcomes.</x:v>
      </x:c>
      <x:c r="D26" s="115" t="str">
        <x:v>Define oversight role, intervention point, escalation, appeal and fallback process.</x:v>
      </x:c>
      <x:c r="E26" s="115" t="str">
        <x:v>Human-oversight SOP; decision thresholds; override logs; appeal mechanism.</x:v>
      </x:c>
      <x:c r="F26" s="115" t="str">
        <x:v>Use-case approval and operations</x:v>
      </x:c>
      <x:c r="G26" s="115" t="str">
        <x:v>Application workflow, service-policy approvals and audit logs.</x:v>
      </x:c>
      <x:c r="H26" s="115" t="str">
        <x:v>Foundry/Power Platform/Logic Apps workflows and operational controls.</x:v>
      </x:c>
      <x:c r="I26" s="115" t="str">
        <x:v>A2I, Step Functions, Connect and application approvals.</x:v>
      </x:c>
      <x:c r="J26" s="115" t="str">
        <x:v>Workflows, application approval patterns and Agent Gateway policies.</x:v>
      </x:c>
      <x:c r="K26" s="115" t="str">
        <x:v>GOVERN, MANAGE</x:v>
      </x:c>
      <x:c r="L26" s="158" t="str">
        <x:v>Human oversight, transparency and rights relating to automated decisions.</x:v>
      </x:c>
      <x:c r="M26" s="158" t="str">
        <x:v>Human oversight, communication and operational control.</x:v>
      </x:c>
      <x:c r="N26" s="115" t="str">
        <x:v>Business Owner</x:v>
      </x:c>
      <x:c r="O26" s="157" t="str">
        <x:v>A nominal human in the loop is ineffective if they lack time, information or authority.</x:v>
      </x:c>
      <x:c r="P26" s="115" t="str">
        <x:v>https://digital-strategy.ec.europa.eu/en/policies/regulatory-framework-ai</x:v>
      </x:c>
      <x:c r="Q26" s="115" t="str">
        <x:v>2026-07-12</x:v>
      </x:c>
    </x:row>
    <x:row r="27">
      <x:c r="A27" s="155" t="str">
        <x:v>DEP-01</x:v>
      </x:c>
      <x:c r="B27" s="156" t="str">
        <x:v>Release and change control</x:v>
      </x:c>
      <x:c r="C27" s="115" t="str">
        <x:v>Prevent untested model, prompt, RAG, agent or policy changes from reaching production.</x:v>
      </x:c>
      <x:c r="D27" s="115" t="str">
        <x:v>Version all material artifacts; require testing, approval, rollback and separation of duties.</x:v>
      </x:c>
      <x:c r="E27" s="115" t="str">
        <x:v>Change record; test results; approval; deployment ID; rollback test.</x:v>
      </x:c>
      <x:c r="F27" s="115" t="str">
        <x:v>Every production release</x:v>
      </x:c>
      <x:c r="G27" s="115" t="str">
        <x:v>MLflow Registry, deployment jobs, Unity Catalog tags and CI/CD.</x:v>
      </x:c>
      <x:c r="H27" s="115" t="str">
        <x:v>Foundry projects, Azure ML registry, GitHub/Azure DevOps and policies.</x:v>
      </x:c>
      <x:c r="I27" s="115" t="str">
        <x:v>SageMaker Registry/Pipelines, CodePipeline and infrastructure as code.</x:v>
      </x:c>
      <x:c r="J27" s="115" t="str">
        <x:v>Agent Platform Registry/Pipelines, Cloud Build/Deploy and IaC.</x:v>
      </x:c>
      <x:c r="K27" s="115" t="str">
        <x:v>GOVERN, MANAGE</x:v>
      </x:c>
      <x:c r="L27" s="158" t="str">
        <x:v>Quality-management and record-keeping requirements.</x:v>
      </x:c>
      <x:c r="M27" s="158" t="str">
        <x:v>Change management, operational control and documented information.</x:v>
      </x:c>
      <x:c r="N27" s="115" t="str">
        <x:v>Release Manager</x:v>
      </x:c>
      <x:c r="O27" s="157" t="str">
        <x:v>A foundation-model version change can be a material system change even when application code is unchanged.</x:v>
      </x:c>
      <x:c r="P27" s="115" t="str">
        <x:v>https://www.iso.org/standard/42001</x:v>
      </x:c>
      <x:c r="Q27" s="115" t="str">
        <x:v>2026-07-12</x:v>
      </x:c>
    </x:row>
    <x:row r="28">
      <x:c r="A28" s="155" t="str">
        <x:v>OBS-01</x:v>
      </x:c>
      <x:c r="B28" s="156" t="str">
        <x:v>Audit and event logging</x:v>
      </x:c>
      <x:c r="C28" s="115" t="str">
        <x:v>Capture security, administrative, data-access and AI-runtime events.</x:v>
      </x:c>
      <x:c r="D28" s="115" t="str">
        <x:v>Define required events, retention, access, integrity and correlation IDs.</x:v>
      </x:c>
      <x:c r="E28" s="115" t="str">
        <x:v>Logging standard; sample logs; retention; access review; integrity evidence.</x:v>
      </x:c>
      <x:c r="F28" s="115" t="str">
        <x:v>Production approval and continuous</x:v>
      </x:c>
      <x:c r="G28" s="115" t="str">
        <x:v>Audit logs, system tables, inference tables and Unity Catalog lineage.</x:v>
      </x:c>
      <x:c r="H28" s="115" t="str">
        <x:v>Azure Activity/Entra logs, Foundry traces, Purview and Defender alerts.</x:v>
      </x:c>
      <x:c r="I28" s="115" t="str">
        <x:v>CloudTrail, CloudWatch, SageMaker data capture and Bedrock invocation logging.</x:v>
      </x:c>
      <x:c r="J28" s="115" t="str">
        <x:v>Cloud Audit Logs, Agent Observability and request-response logs.</x:v>
      </x:c>
      <x:c r="K28" s="115" t="str">
        <x:v>GOVERN, MANAGE</x:v>
      </x:c>
      <x:c r="L28" s="158" t="str">
        <x:v>Record keeping, cybersecurity and GDPR accountability/security.</x:v>
      </x:c>
      <x:c r="M28" s="158" t="str">
        <x:v>Documented information and monitoring.</x:v>
      </x:c>
      <x:c r="N28" s="115" t="str">
        <x:v>Security Operations</x:v>
      </x:c>
      <x:c r="O28" s="157" t="str">
        <x:v>Prompt/response logs can themselves become a sensitive regulated dataset.</x:v>
      </x:c>
      <x:c r="P28" s="115" t="str">
        <x:v>https://docs.databricks.com/aws/en/ai-gateway/</x:v>
      </x:c>
      <x:c r="Q28" s="115" t="str">
        <x:v>2026-07-12</x:v>
      </x:c>
    </x:row>
    <x:row r="29">
      <x:c r="A29" s="155" t="str">
        <x:v>OBS-02</x:v>
      </x:c>
      <x:c r="B29" s="156" t="str">
        <x:v>End-to-end tracing</x:v>
      </x:c>
      <x:c r="C29" s="115" t="str">
        <x:v>Trace retrieval, model, agent, tool and downstream-system calls.</x:v>
      </x:c>
      <x:c r="D29" s="115" t="str">
        <x:v>Use a shared trace/correlation ID and preserve enough context to diagnose failures.</x:v>
      </x:c>
      <x:c r="E29" s="115" t="str">
        <x:v>Trace sample; topology; latency breakdown; tool-call records.</x:v>
      </x:c>
      <x:c r="F29" s="115" t="str">
        <x:v>Performance and production gate</x:v>
      </x:c>
      <x:c r="G29" s="115" t="str">
        <x:v>MLflow Tracing and inference tables.</x:v>
      </x:c>
      <x:c r="H29" s="115" t="str">
        <x:v>Foundry/OpenTelemetry/Application Insights tracing.</x:v>
      </x:c>
      <x:c r="I29" s="115" t="str">
        <x:v>X-Ray/OpenTelemetry, SageMaker and Bedrock traces.</x:v>
      </x:c>
      <x:c r="J29" s="115" t="str">
        <x:v>Agent Observability traces and topology with Cloud Trace.</x:v>
      </x:c>
      <x:c r="K29" s="115" t="str">
        <x:v>MEASURE, MANAGE</x:v>
      </x:c>
      <x:c r="L29" s="158" t="str">
        <x:v>Technical documentation, record keeping and incident investigation.</x:v>
      </x:c>
      <x:c r="M29" s="158" t="str">
        <x:v>Monitoring, measurement and corrective action.</x:v>
      </x:c>
      <x:c r="N29" s="115" t="str">
        <x:v>SRE / AI Platform Owner</x:v>
      </x:c>
      <x:c r="O29" s="157" t="str">
        <x:v>Do not log sensitive payloads simply to improve traceability.</x:v>
      </x:c>
      <x:c r="P29" s="115" t="str">
        <x:v>https://learn.microsoft.com/en-us/azure/foundry/concepts/observability</x:v>
      </x:c>
      <x:c r="Q29" s="115" t="str">
        <x:v>2026-07-12</x:v>
      </x:c>
    </x:row>
    <x:row r="30">
      <x:c r="A30" s="155" t="str">
        <x:v>OBS-03</x:v>
      </x:c>
      <x:c r="B30" s="156" t="str">
        <x:v>Continuous quality and safety monitoring</x:v>
      </x:c>
      <x:c r="C30" s="115" t="str">
        <x:v>Detect degradation, unsafe behaviour or policy violations in production.</x:v>
      </x:c>
      <x:c r="D30" s="115" t="str">
        <x:v>Define AI-specific SLIs, thresholds, sampling and escalation.</x:v>
      </x:c>
      <x:c r="E30" s="115" t="str">
        <x:v>Monitoring dashboard; alerts; quality trends; review minutes.</x:v>
      </x:c>
      <x:c r="F30" s="115" t="str">
        <x:v>Continuous after launch</x:v>
      </x:c>
      <x:c r="G30" s="115" t="str">
        <x:v>MLflow monitoring, inference tables and system tables.</x:v>
      </x:c>
      <x:c r="H30" s="115" t="str">
        <x:v>Foundry continuous evaluation and monitoring dashboards.</x:v>
      </x:c>
      <x:c r="I30" s="115" t="str">
        <x:v>Model Monitor, CloudWatch and scheduled Bedrock evaluations.</x:v>
      </x:c>
      <x:c r="J30" s="115" t="str">
        <x:v>Online monitoring, Agent Observability and Cloud Monitoring.</x:v>
      </x:c>
      <x:c r="K30" s="115" t="str">
        <x:v>MEASURE, MANAGE</x:v>
      </x:c>
      <x:c r="L30" s="158" t="str">
        <x:v>Post-market monitoring, risk management and incident detection.</x:v>
      </x:c>
      <x:c r="M30" s="158" t="str">
        <x:v>Monitoring, measurement and continual improvement.</x:v>
      </x:c>
      <x:c r="N30" s="115" t="str">
        <x:v>AI Operations Lead</x:v>
      </x:c>
      <x:c r="O30" s="157" t="str">
        <x:v>Availability can be healthy while answer quality is failing.</x:v>
      </x:c>
      <x:c r="P30" s="115" t="str">
        <x:v>https://learn.microsoft.com/en-us/azure/foundry/concepts/observability</x:v>
      </x:c>
      <x:c r="Q30" s="115" t="str">
        <x:v>2026-07-12</x:v>
      </x:c>
    </x:row>
    <x:row r="31">
      <x:c r="A31" s="155" t="str">
        <x:v>OBS-04</x:v>
      </x:c>
      <x:c r="B31" s="156" t="str">
        <x:v>Drift and change detection</x:v>
      </x:c>
      <x:c r="C31" s="115" t="str">
        <x:v>Detect changes in data, users, retrieval, models, prompts, tools or outcomes.</x:v>
      </x:c>
      <x:c r="D31" s="115" t="str">
        <x:v>Baseline relevant distributions and define review triggers.</x:v>
      </x:c>
      <x:c r="E31" s="115" t="str">
        <x:v>Drift report; thresholds; root-cause analysis; remediation.</x:v>
      </x:c>
      <x:c r="F31" s="115" t="str">
        <x:v>Continuous and periodic</x:v>
      </x:c>
      <x:c r="G31" s="115" t="str">
        <x:v>Lakehouse Monitoring, MLflow metrics and inference data.</x:v>
      </x:c>
      <x:c r="H31" s="115" t="str">
        <x:v>Azure ML monitoring and Foundry quality/risk trends.</x:v>
      </x:c>
      <x:c r="I31" s="115" t="str">
        <x:v>SageMaker Model Monitor and CloudWatch.</x:v>
      </x:c>
      <x:c r="J31" s="115" t="str">
        <x:v>Agent Platform Model Monitoring and online evaluation.</x:v>
      </x:c>
      <x:c r="K31" s="115" t="str">
        <x:v>MEASURE, MANAGE</x:v>
      </x:c>
      <x:c r="L31" s="158" t="str">
        <x:v>Accuracy/robustness and post-market monitoring.</x:v>
      </x:c>
      <x:c r="M31" s="158" t="str">
        <x:v>Monitoring, change management and improvement.</x:v>
      </x:c>
      <x:c r="N31" s="115" t="str">
        <x:v>Model Owner</x:v>
      </x:c>
      <x:c r="O31" s="157" t="str">
        <x:v>For agents, tool and workflow drift can be more important than statistical feature drift.</x:v>
      </x:c>
      <x:c r="P31" s="115" t="str">
        <x:v>https://docs.aws.amazon.com/sagemaker/latest/dg/model-monitor.html</x:v>
      </x:c>
      <x:c r="Q31" s="115" t="str">
        <x:v>2026-07-12</x:v>
      </x:c>
    </x:row>
    <x:row r="32">
      <x:c r="A32" s="155" t="str">
        <x:v>OPS-01</x:v>
      </x:c>
      <x:c r="B32" s="156" t="str">
        <x:v>AI incident response</x:v>
      </x:c>
      <x:c r="C32" s="115" t="str">
        <x:v>Respond to harmful output, data leakage, unauthorized action or material model failure.</x:v>
      </x:c>
      <x:c r="D32" s="115" t="str">
        <x:v>Define severity, containment, rollback, notification, investigation and corrective action.</x:v>
      </x:c>
      <x:c r="E32" s="115" t="str">
        <x:v>AI incident playbook; exercise results; incident log; root cause and corrective action.</x:v>
      </x:c>
      <x:c r="F32" s="115" t="str">
        <x:v>Before launch and annually tested</x:v>
      </x:c>
      <x:c r="G32" s="115" t="str">
        <x:v>Disable/revoke privileges, service-policy changes, audit/inference tables and rollback.</x:v>
      </x:c>
      <x:c r="H32" s="115" t="str">
        <x:v>Control Plane remediation, Defender/Purview alerts and deployment rollback.</x:v>
      </x:c>
      <x:c r="I32" s="115" t="str">
        <x:v>IAM revocation, Guardrails updates, endpoint rollback, Security Hub and incident tooling.</x:v>
      </x:c>
      <x:c r="J32" s="115" t="str">
        <x:v>Agent Gateway/policy changes, IAM revocation, SCC and deployment rollback.</x:v>
      </x:c>
      <x:c r="K32" s="115" t="str">
        <x:v>MANAGE</x:v>
      </x:c>
      <x:c r="L32" s="158" t="str">
        <x:v>Serious-incident and post-market obligations may apply; GDPR breach process may apply.</x:v>
      </x:c>
      <x:c r="M32" s="158" t="str">
        <x:v>Incident management, nonconformity and corrective action.</x:v>
      </x:c>
      <x:c r="N32" s="115" t="str">
        <x:v>Incident Commander and Legal</x:v>
      </x:c>
      <x:c r="O32" s="157" t="str">
        <x:v>Legal notification thresholds and timelines require specialist review.</x:v>
      </x:c>
      <x:c r="P32" s="115" t="str">
        <x:v>https://digital-strategy.ec.europa.eu/en/policies/regulatory-framework-ai</x:v>
      </x:c>
      <x:c r="Q32" s="115" t="str">
        <x:v>2026-07-12</x:v>
      </x:c>
    </x:row>
    <x:row r="33">
      <x:c r="A33" s="155" t="str">
        <x:v>OPS-02</x:v>
      </x:c>
      <x:c r="B33" s="156" t="str">
        <x:v>Cost, quota and abuse control</x:v>
      </x:c>
      <x:c r="C33" s="115" t="str">
        <x:v>Prevent runaway agents, excessive token use and resource exhaustion.</x:v>
      </x:c>
      <x:c r="D33" s="115" t="str">
        <x:v>Set budgets, rate limits, loop limits, timeouts, quotas and anomaly alerts.</x:v>
      </x:c>
      <x:c r="E33" s="115" t="str">
        <x:v>Budget; limits; alert; load test; abuse scenarios; monthly cost review.</x:v>
      </x:c>
      <x:c r="F33" s="115" t="str">
        <x:v>Pre-production and continuous</x:v>
      </x:c>
      <x:c r="G33" s="115" t="str">
        <x:v>Unity AI Gateway budgets, hard caps, rate limits and usage tables.</x:v>
      </x:c>
      <x:c r="H33" s="115" t="str">
        <x:v>Foundry token limits, quota pane, Azure budgets and cost monitoring.</x:v>
      </x:c>
      <x:c r="I33" s="115" t="str">
        <x:v>AWS Budgets, Service Quotas, API limits, SageMaker/Bedrock metrics.</x:v>
      </x:c>
      <x:c r="J33" s="115" t="str">
        <x:v>Agent Gateway, Cloud Quotas, budgets and billing export.</x:v>
      </x:c>
      <x:c r="K33" s="115" t="str">
        <x:v>MANAGE</x:v>
      </x:c>
      <x:c r="L33" s="158" t="str">
        <x:v>Operational resilience and governance; indirect compliance impact.</x:v>
      </x:c>
      <x:c r="M33" s="158" t="str">
        <x:v>Resource management and operational control.</x:v>
      </x:c>
      <x:c r="N33" s="115" t="str">
        <x:v>FinOps and AI Platform Owner</x:v>
      </x:c>
      <x:c r="O33" s="157" t="str">
        <x:v>Agent loops and long context can create both financial and denial-of-service risk.</x:v>
      </x:c>
      <x:c r="P33" s="115" t="str">
        <x:v>https://learn.microsoft.com/en-us/azure/foundry/control-plane/overview</x:v>
      </x:c>
      <x:c r="Q33" s="115" t="str">
        <x:v>2026-07-12</x:v>
      </x:c>
    </x:row>
    <x:row r="34">
      <x:c r="A34" s="155" t="str">
        <x:v>COMP-01</x:v>
      </x:c>
      <x:c r="B34" s="156" t="str">
        <x:v>Policy versioning and compliance monitoring</x:v>
      </x:c>
      <x:c r="C34" s="115" t="str">
        <x:v>Maintain versioned AI policies and continuously assess adherence.</x:v>
      </x:c>
      <x:c r="D34" s="115" t="str">
        <x:v>Attach controls to assets, track assignments, exceptions, review dates and remediation.</x:v>
      </x:c>
      <x:c r="E34" s="115" t="str">
        <x:v>Policy version; assignment list; exception; compliance dashboard; remediation evidence.</x:v>
      </x:c>
      <x:c r="F34" s="115" t="str">
        <x:v>Continuous governance</x:v>
      </x:c>
      <x:c r="G34" s="115" t="str">
        <x:v>Unity Catalog policies/privileges, service-policy attachments and system tables.</x:v>
      </x:c>
      <x:c r="H34" s="115" t="str">
        <x:v>Foundry Compliance pane, Azure Policy, Purview and Defender.</x:v>
      </x:c>
      <x:c r="I34" s="115" t="str">
        <x:v>AWS Config, Audit Manager, Organizations, IAM and Guardrail versions.</x:v>
      </x:c>
      <x:c r="J34" s="115" t="str">
        <x:v>Organization Policy, IAM governance, Agent Gateway and SCC.</x:v>
      </x:c>
      <x:c r="K34" s="115" t="str">
        <x:v>GOVERN, MANAGE</x:v>
      </x:c>
      <x:c r="L34" s="158" t="str">
        <x:v>Governance, risk management and technical documentation.</x:v>
      </x:c>
      <x:c r="M34" s="158" t="str">
        <x:v>Policy, control, audit and continual improvement.</x:v>
      </x:c>
      <x:c r="N34" s="115" t="str">
        <x:v>AI Governance Lead</x:v>
      </x:c>
      <x:c r="O34" s="157" t="str">
        <x:v>A framework mapping is evidence of intent, not proof that the control operates effectively.</x:v>
      </x:c>
      <x:c r="P34" s="115" t="str">
        <x:v>https://learn.microsoft.com/en-us/azure/foundry/control-plane/overview</x:v>
      </x:c>
      <x:c r="Q34" s="115" t="str">
        <x:v>2026-07-12</x:v>
      </x:c>
    </x:row>
    <x:row r="35">
      <x:c r="A35" s="155" t="str">
        <x:v>COMP-02</x:v>
      </x:c>
      <x:c r="B35" s="156" t="str">
        <x:v>Independent assurance and audit evidence</x:v>
      </x:c>
      <x:c r="C35" s="115" t="str">
        <x:v>Provide reproducible evidence that controls operated as designed.</x:v>
      </x:c>
      <x:c r="D35" s="115" t="str">
        <x:v>Preserve immutable-enough records, independent review and traceable samples.</x:v>
      </x:c>
      <x:c r="E35" s="115" t="str">
        <x:v>Audit pack; evidence index; test samples; findings; management response.</x:v>
      </x:c>
      <x:c r="F35" s="115" t="str">
        <x:v>Periodic assurance</x:v>
      </x:c>
      <x:c r="G35" s="115" t="str">
        <x:v>Unity Catalog audit/system tables, lineage, MLflow and policy records.</x:v>
      </x:c>
      <x:c r="H35" s="115" t="str">
        <x:v>Foundry/Purview/Defender evidence, Azure logs and policy compliance.</x:v>
      </x:c>
      <x:c r="I35" s="115" t="str">
        <x:v>Audit Manager, CloudTrail, Config, Model Cards and monitoring evidence.</x:v>
      </x:c>
      <x:c r="J35" s="115" t="str">
        <x:v>Cloud Audit Logs, SCC, Assured Workloads and platform evidence.</x:v>
      </x:c>
      <x:c r="K35" s="115" t="str">
        <x:v>GOVERN, MEASURE</x:v>
      </x:c>
      <x:c r="L35" s="158" t="str">
        <x:v>Conformity assessment and accountability; GDPR accountability.</x:v>
      </x:c>
      <x:c r="M35" s="158" t="str">
        <x:v>Internal audit, management review and documented information.</x:v>
      </x:c>
      <x:c r="N35" s="115" t="str">
        <x:v>Internal Audit / Compliance</x:v>
      </x:c>
      <x:c r="O35" s="157" t="str">
        <x:v>Cloud-provider certifications cover provider controls, not the customer's AI system design.</x:v>
      </x:c>
      <x:c r="P35" s="115" t="str">
        <x:v>https://www.iso.org/standard/42001</x:v>
      </x:c>
      <x:c r="Q35" s="115" t="str">
        <x:v>2026-07-12</x:v>
      </x:c>
    </x:row>
    <x:row r="36">
      <x:c r="A36" s="155" t="str">
        <x:v>COMP-03</x:v>
      </x:c>
      <x:c r="B36" s="156" t="str">
        <x:v>Transparency and user information</x:v>
      </x:c>
      <x:c r="C36" s="115" t="str">
        <x:v>Tell users when they interact with AI and provide meaningful limitations and escalation information.</x:v>
      </x:c>
      <x:c r="D36" s="115" t="str">
        <x:v>Create context-specific notices, AI-generated-content marking where applicable and support routes.</x:v>
      </x:c>
      <x:c r="E36" s="115" t="str">
        <x:v>User notice; interface screenshots; content marking tests; complaint/escalation process.</x:v>
      </x:c>
      <x:c r="F36" s="115" t="str">
        <x:v>User acceptance and production</x:v>
      </x:c>
      <x:c r="G36" s="115" t="str">
        <x:v>Application-level responsibility; metadata/logs can prove the deployed version.</x:v>
      </x:c>
      <x:c r="H36" s="115" t="str">
        <x:v>Foundry/application controls and Microsoft content credentials/labeling where supported.</x:v>
      </x:c>
      <x:c r="I36" s="115" t="str">
        <x:v>Application-level notices; Bedrock/SageMaker logs and model documentation.</x:v>
      </x:c>
      <x:c r="J36" s="115" t="str">
        <x:v>Application-level notices and Google model/content provenance features where supported.</x:v>
      </x:c>
      <x:c r="K36" s="115" t="str">
        <x:v>GOVERN, MAP</x:v>
      </x:c>
      <x:c r="L36" s="158" t="str">
        <x:v>AI Act transparency obligations and GDPR transparency.</x:v>
      </x:c>
      <x:c r="M36" s="158" t="str">
        <x:v>Communication, transparency and responsible use.</x:v>
      </x:c>
      <x:c r="N36" s="115" t="str">
        <x:v>Product Owner and Legal</x:v>
      </x:c>
      <x:c r="O36" s="157" t="str">
        <x:v>Transparency requirements depend on role, use case and content; obtain legal review.</x:v>
      </x:c>
      <x:c r="P36" s="115" t="str">
        <x:v>https://digital-strategy.ec.europa.eu/en/policies/code-practice-ai-generated-content</x:v>
      </x:c>
      <x:c r="Q36" s="115" t="str">
        <x:v>2026-07-12</x:v>
      </x:c>
    </x:row>
    <x:row r="37">
      <x:c r="A37" s="155" t="str">
        <x:v>COMP-04</x:v>
      </x:c>
      <x:c r="B37" s="156" t="str">
        <x:v>Post-market monitoring and periodic review</x:v>
      </x:c>
      <x:c r="C37" s="115" t="str">
        <x:v>Review real-world performance, incidents, complaints and material changes after deployment.</x:v>
      </x:c>
      <x:c r="D37" s="115" t="str">
        <x:v>Define monitoring plan, review cadence, triggers and responsible committee.</x:v>
      </x:c>
      <x:c r="E37" s="115" t="str">
        <x:v>Post-market plan; monthly/quarterly reviews; complaint trends; change decisions.</x:v>
      </x:c>
      <x:c r="F37" s="115" t="str">
        <x:v>Continuous and scheduled review</x:v>
      </x:c>
      <x:c r="G37" s="115" t="str">
        <x:v>Inference tables, MLflow monitoring, audit logs and governance reviews.</x:v>
      </x:c>
      <x:c r="H37" s="115" t="str">
        <x:v>Foundry monitoring/compliance dashboards and Control Plane reviews.</x:v>
      </x:c>
      <x:c r="I37" s="115" t="str">
        <x:v>Model Monitor, CloudWatch, Guardrails metrics and governance review.</x:v>
      </x:c>
      <x:c r="J37" s="115" t="str">
        <x:v>Online monitoring, Agent Observability, SCC and governance review.</x:v>
      </x:c>
      <x:c r="K37" s="115" t="str">
        <x:v>MANAGE</x:v>
      </x:c>
      <x:c r="L37" s="158" t="str">
        <x:v>Post-market monitoring and risk-management duties may apply.</x:v>
      </x:c>
      <x:c r="M37" s="158" t="str">
        <x:v>Monitoring, management review and continual improvement.</x:v>
      </x:c>
      <x:c r="N37" s="115" t="str">
        <x:v>AI Governance Committee</x:v>
      </x:c>
      <x:c r="O37" s="157" t="str">
        <x:v>A system that passed pre-deployment testing can become unacceptable as context or usage changes.</x:v>
      </x:c>
      <x:c r="P37" s="115" t="str">
        <x:v>https://digital-strategy.ec.europa.eu/en/policies/regulatory-framework-ai</x:v>
      </x:c>
      <x:c r="Q37" s="115" t="str">
        <x:v>2026-07-12</x:v>
      </x:c>
    </x:row>
  </x:sheetData>
  <x:mergeCells>
    <x:mergeCell ref="A1:Q1"/>
    <x:mergeCell ref="A2:Q2"/>
  </x:mergeCells>
  <x:pageMargins left="0.7" right="0.7" top="0.75" bottom="0.75" header="0.3" footer="0.3"/>
  <x:tableParts count="1">
    <x:tablePart xmlns:r="http://schemas.openxmlformats.org/officeDocument/2006/relationships" r:id="Rfb3147a2ba714e2a"/>
  </x:tableParts>
</x:worksheet>
</file>

<file path=xl/worksheets/sheet21.xml><?xml version="1.0" encoding="utf-8"?>
<x:worksheet xmlns:x="http://schemas.openxmlformats.org/spreadsheetml/2006/main">
  <x:sheetFormatPr defaultRowHeight="15"/>
  <x:cols>
    <x:col min="1" max="1" width="13" hidden="0" customWidth="1"/>
    <x:col min="2" max="2" width="36" hidden="0" customWidth="1"/>
    <x:col min="3" max="3" width="52" hidden="0" customWidth="1"/>
    <x:col min="4" max="4" width="26" hidden="0" customWidth="1"/>
    <x:col min="5" max="5" width="20" hidden="0" customWidth="1"/>
    <x:col min="6" max="6" width="23" hidden="0" customWidth="1"/>
    <x:col min="7" max="7" width="23" hidden="0" customWidth="1"/>
    <x:col min="8" max="8" width="42" hidden="0" customWidth="1"/>
    <x:col min="9" max="9" width="34" hidden="0" customWidth="1"/>
    <x:col min="10" max="10" width="43" hidden="0" customWidth="1"/>
    <x:col min="11" max="11" width="45" hidden="0" customWidth="1"/>
    <x:col min="12" max="12" width="45" hidden="0" customWidth="1"/>
    <x:col min="13" max="13" width="45" hidden="0" customWidth="1"/>
    <x:col min="14" max="14" width="58" hidden="0" customWidth="1"/>
    <x:col min="15" max="15" width="70" hidden="0" customWidth="1"/>
    <x:col min="16" max="16" width="14" hidden="0" customWidth="1"/>
  </x:cols>
  <x:sheetData>
    <x:row r="1" ht="30" customHeight="1">
      <x:c r="A1" s="144" t="str">
        <x:v>AI Compliance Evidence Register</x:v>
      </x:c>
      <x:c r="B1" s="144"/>
      <x:c r="C1" s="144"/>
      <x:c r="D1" s="144"/>
      <x:c r="E1" s="144"/>
      <x:c r="F1" s="144"/>
      <x:c r="G1" s="144"/>
      <x:c r="H1" s="144"/>
      <x:c r="I1" s="144"/>
      <x:c r="J1" s="144"/>
      <x:c r="K1" s="144"/>
      <x:c r="L1" s="144"/>
      <x:c r="M1" s="144"/>
      <x:c r="N1" s="144"/>
      <x:c r="O1" s="144"/>
      <x:c r="P1" s="144"/>
    </x:row>
    <x:row r="2" ht="40" customHeight="1">
      <x:c r="A2" s="148" t="str">
        <x:v>Reusable evidence artifacts for AI governance, regulatory readiness and assurance. The EU AI Act becomes broadly applicable on 2 August 2026 with specific exceptions and transition periods; obtain legal advice for classification and obligations.</x:v>
      </x:c>
      <x:c r="B2" s="148"/>
      <x:c r="C2" s="148"/>
      <x:c r="D2" s="148"/>
      <x:c r="E2" s="148"/>
      <x:c r="F2" s="148"/>
      <x:c r="G2" s="148"/>
      <x:c r="H2" s="148"/>
      <x:c r="I2" s="148"/>
      <x:c r="J2" s="148"/>
      <x:c r="K2" s="148"/>
      <x:c r="L2" s="148"/>
      <x:c r="M2" s="148"/>
      <x:c r="N2" s="148"/>
      <x:c r="O2" s="148"/>
      <x:c r="P2" s="148"/>
    </x:row>
    <x:row r="4" ht="38" customHeight="1">
      <x:c r="A4" s="154" t="str">
        <x:v>Evidence ID</x:v>
      </x:c>
      <x:c r="B4" s="154" t="str">
        <x:v>Evidence artifact</x:v>
      </x:c>
      <x:c r="C4" s="154" t="str">
        <x:v>What it demonstrates</x:v>
      </x:c>
      <x:c r="D4" s="154" t="str">
        <x:v>Primary owner</x:v>
      </x:c>
      <x:c r="E4" s="154" t="str">
        <x:v>Review frequency</x:v>
      </x:c>
      <x:c r="F4" s="154" t="str">
        <x:v>Lifecycle gate</x:v>
      </x:c>
      <x:c r="G4" s="154" t="str">
        <x:v>NIST AI RMF relevance</x:v>
      </x:c>
      <x:c r="H4" s="154" t="str">
        <x:v>EU AI Act / GDPR relevance</x:v>
      </x:c>
      <x:c r="I4" s="154" t="str">
        <x:v>ISO/IEC 42001 relevance</x:v>
      </x:c>
      <x:c r="J4" s="154" t="str">
        <x:v>Databricks evidence location</x:v>
      </x:c>
      <x:c r="K4" s="154" t="str">
        <x:v>Microsoft evidence location</x:v>
      </x:c>
      <x:c r="L4" s="154" t="str">
        <x:v>AWS evidence location</x:v>
      </x:c>
      <x:c r="M4" s="154" t="str">
        <x:v>Google Cloud evidence location</x:v>
      </x:c>
      <x:c r="N4" s="154" t="str">
        <x:v>Minimum acceptance criteria</x:v>
      </x:c>
      <x:c r="O4" s="154" t="str">
        <x:v>Primary source</x:v>
      </x:c>
      <x:c r="P4" s="154" t="str">
        <x:v>Verified date</x:v>
      </x:c>
    </x:row>
    <x:row r="5">
      <x:c r="A5" s="155" t="str">
        <x:v>EVD-01</x:v>
      </x:c>
      <x:c r="B5" s="115" t="str">
        <x:v>Enterprise AI system register</x:v>
      </x:c>
      <x:c r="C5" s="115" t="str">
        <x:v>All AI systems and agents are known, owned, classified and traceable.</x:v>
      </x:c>
      <x:c r="D5" s="115" t="str">
        <x:v>AI Governance Lead</x:v>
      </x:c>
      <x:c r="E5" s="115" t="str">
        <x:v>Continuous / monthly review</x:v>
      </x:c>
      <x:c r="F5" s="115" t="str">
        <x:v>Idea intake and production</x:v>
      </x:c>
      <x:c r="G5" s="158" t="str">
        <x:v>GOVERN, MAP</x:v>
      </x:c>
      <x:c r="H5" s="158" t="str">
        <x:v>Governance, accountability and technical documentation.</x:v>
      </x:c>
      <x:c r="I5" s="158" t="str">
        <x:v>AI system inventory and documented information.</x:v>
      </x:c>
      <x:c r="J5" s="115" t="str">
        <x:v>Unity Catalog/Catalog Explorer plus external GRC register.</x:v>
      </x:c>
      <x:c r="K5" s="115" t="str">
        <x:v>Foundry Control Plane Assets and Admin plus Purview/GRC.</x:v>
      </x:c>
      <x:c r="L5" s="115" t="str">
        <x:v>SageMaker Model Registry/Dashboard, Bedrock inventory, tags and AWS Config.</x:v>
      </x:c>
      <x:c r="M5" s="115" t="str">
        <x:v>Agent Registry, Model Registry and Cloud Asset Inventory.</x:v>
      </x:c>
      <x:c r="N5" s="157" t="str">
        <x:v>Every production AI system has owner, purpose, risk tier, model, data, tools, version and deployment location.</x:v>
      </x:c>
      <x:c r="O5" s="115" t="str">
        <x:v>https://learn.microsoft.com/en-us/azure/foundry/control-plane/overview</x:v>
      </x:c>
      <x:c r="P5" s="115" t="str">
        <x:v>2026-07-12</x:v>
      </x:c>
    </x:row>
    <x:row r="6">
      <x:c r="A6" s="155" t="str">
        <x:v>EVD-02</x:v>
      </x:c>
      <x:c r="B6" s="115" t="str">
        <x:v>AI use-case risk assessment</x:v>
      </x:c>
      <x:c r="C6" s="115" t="str">
        <x:v>Risk tier and approval path are justified before build or procurement.</x:v>
      </x:c>
      <x:c r="D6" s="115" t="str">
        <x:v>Risk and Compliance</x:v>
      </x:c>
      <x:c r="E6" s="115" t="str">
        <x:v>At intake and material change</x:v>
      </x:c>
      <x:c r="F6" s="115" t="str">
        <x:v>Discovery</x:v>
      </x:c>
      <x:c r="G6" s="158" t="str">
        <x:v>MAP</x:v>
      </x:c>
      <x:c r="H6" s="158" t="str">
        <x:v>AI Act risk classification and GDPR risk-based accountability.</x:v>
      </x:c>
      <x:c r="I6" s="158" t="str">
        <x:v>Risk assessment and impact assessment.</x:v>
      </x:c>
      <x:c r="J6" s="115" t="str">
        <x:v>Stored as governed document linked through tags/metadata.</x:v>
      </x:c>
      <x:c r="K6" s="115" t="str">
        <x:v>Foundry asset metadata plus Purview/GRC record.</x:v>
      </x:c>
      <x:c r="L6" s="115" t="str">
        <x:v>SageMaker Model Card risk rating plus Audit Manager/GRC.</x:v>
      </x:c>
      <x:c r="M6" s="115" t="str">
        <x:v>Metadata labels plus GRC record.</x:v>
      </x:c>
      <x:c r="N6" s="157" t="str">
        <x:v>Includes impact, autonomy, affected users, sensitive data, prohibited/high-risk screening and residual risk.</x:v>
      </x:c>
      <x:c r="O6" s="115" t="str">
        <x:v>https://digital-strategy.ec.europa.eu/en/policies/regulatory-framework-ai</x:v>
      </x:c>
      <x:c r="P6" s="115" t="str">
        <x:v>2026-07-12</x:v>
      </x:c>
    </x:row>
    <x:row r="7">
      <x:c r="A7" s="155" t="str">
        <x:v>EVD-03</x:v>
      </x:c>
      <x:c r="B7" s="115" t="str">
        <x:v>RACI and approval authority</x:v>
      </x:c>
      <x:c r="C7" s="115" t="str">
        <x:v>Decision rights and accountable owners are explicit.</x:v>
      </x:c>
      <x:c r="D7" s="115" t="str">
        <x:v>Business Owner</x:v>
      </x:c>
      <x:c r="E7" s="115" t="str">
        <x:v>Annual and organizational change</x:v>
      </x:c>
      <x:c r="F7" s="115" t="str">
        <x:v>Use-case approval</x:v>
      </x:c>
      <x:c r="G7" s="158" t="str">
        <x:v>GOVERN</x:v>
      </x:c>
      <x:c r="H7" s="158" t="str">
        <x:v>Accountability and human oversight.</x:v>
      </x:c>
      <x:c r="I7" s="158" t="str">
        <x:v>Leadership, roles and responsibilities.</x:v>
      </x:c>
      <x:c r="J7" s="115" t="str">
        <x:v>Unity Catalog ownership and external RACI.</x:v>
      </x:c>
      <x:c r="K7" s="115" t="str">
        <x:v>Foundry roles, Entra groups and external RACI.</x:v>
      </x:c>
      <x:c r="L7" s="115" t="str">
        <x:v>IAM roles, resource owners and external RACI.</x:v>
      </x:c>
      <x:c r="M7" s="115" t="str">
        <x:v>IAM roles, Agent Identity and external RACI.</x:v>
      </x:c>
      <x:c r="N7" s="157" t="str">
        <x:v>Named business owner, technical owner, validator, risk approver, operator and incident owner.</x:v>
      </x:c>
      <x:c r="O7" s="115" t="str">
        <x:v>https://www.iso.org/standard/42001</x:v>
      </x:c>
      <x:c r="P7" s="115" t="str">
        <x:v>2026-07-12</x:v>
      </x:c>
    </x:row>
    <x:row r="8">
      <x:c r="A8" s="155" t="str">
        <x:v>EVD-04</x:v>
      </x:c>
      <x:c r="B8" s="115" t="str">
        <x:v>AI literacy and competency record</x:v>
      </x:c>
      <x:c r="C8" s="115" t="str">
        <x:v>People with AI responsibilities have appropriate knowledge and training.</x:v>
      </x:c>
      <x:c r="D8" s="115" t="str">
        <x:v>HR / AI Governance</x:v>
      </x:c>
      <x:c r="E8" s="115" t="str">
        <x:v>Before access and annually</x:v>
      </x:c>
      <x:c r="F8" s="115" t="str">
        <x:v>Access approval</x:v>
      </x:c>
      <x:c r="G8" s="158" t="str">
        <x:v>GOVERN</x:v>
      </x:c>
      <x:c r="H8" s="158" t="str">
        <x:v>AI literacy obligations.</x:v>
      </x:c>
      <x:c r="I8" s="158" t="str">
        <x:v>Competence and awareness.</x:v>
      </x:c>
      <x:c r="J8" s="115" t="str">
        <x:v>Training record outside Unity Catalog; access tied to trained groups.</x:v>
      </x:c>
      <x:c r="K8" s="115" t="str">
        <x:v>Microsoft Learn/organizational training linked to Entra groups.</x:v>
      </x:c>
      <x:c r="L8" s="115" t="str">
        <x:v>AWS training linked to IAM role eligibility.</x:v>
      </x:c>
      <x:c r="M8" s="115" t="str">
        <x:v>Google Cloud training linked to IAM role eligibility.</x:v>
      </x:c>
      <x:c r="N8" s="157" t="str">
        <x:v>Role-specific curriculum, attendance, competency check and refresh schedule.</x:v>
      </x:c>
      <x:c r="O8" s="115" t="str">
        <x:v>https://digital-strategy.ec.europa.eu/en/policies/regulatory-framework-ai</x:v>
      </x:c>
      <x:c r="P8" s="115" t="str">
        <x:v>2026-07-12</x:v>
      </x:c>
    </x:row>
    <x:row r="9">
      <x:c r="A9" s="155" t="str">
        <x:v>EVD-05</x:v>
      </x:c>
      <x:c r="B9" s="115" t="str">
        <x:v>AI architecture and data-flow diagram</x:v>
      </x:c>
      <x:c r="C9" s="115" t="str">
        <x:v>System boundaries, data movement, trust zones, models and tools are understood.</x:v>
      </x:c>
      <x:c r="D9" s="115" t="str">
        <x:v>Solution Architect</x:v>
      </x:c>
      <x:c r="E9" s="115" t="str">
        <x:v>Every material release</x:v>
      </x:c>
      <x:c r="F9" s="115" t="str">
        <x:v>Architecture review</x:v>
      </x:c>
      <x:c r="G9" s="158" t="str">
        <x:v>MAP</x:v>
      </x:c>
      <x:c r="H9" s="158" t="str">
        <x:v>Technical documentation, privacy and cybersecurity.</x:v>
      </x:c>
      <x:c r="I9" s="158" t="str">
        <x:v>Context, design and documented information.</x:v>
      </x:c>
      <x:c r="J9" s="115" t="str">
        <x:v>Links to Unity Catalog objects, data lineage and model services.</x:v>
      </x:c>
      <x:c r="K9" s="115" t="str">
        <x:v>Foundry architecture, project resources, Purview lineage and network design.</x:v>
      </x:c>
      <x:c r="L9" s="115" t="str">
        <x:v>SageMaker/Bedrock architecture linked to AWS resources and CloudTrail.</x:v>
      </x:c>
      <x:c r="M9" s="115" t="str">
        <x:v>Agent Platform architecture linked to projects, Agent Gateway and data services.</x:v>
      </x:c>
      <x:c r="N9" s="157" t="str">
        <x:v>Shows users, prompts, data, retrieval, models, agents, tools, logs, regions and external processors.</x:v>
      </x:c>
      <x:c r="O9" s="115" t="str">
        <x:v>https://learn.microsoft.com/en-us/azure/foundry/concepts/architecture</x:v>
      </x:c>
      <x:c r="P9" s="115" t="str">
        <x:v>2026-07-12</x:v>
      </x:c>
    </x:row>
    <x:row r="10">
      <x:c r="A10" s="155" t="str">
        <x:v>EVD-06</x:v>
      </x:c>
      <x:c r="B10" s="115" t="str">
        <x:v>Data inventory and provenance record</x:v>
      </x:c>
      <x:c r="C10" s="115" t="str">
        <x:v>Training, tuning, grounding and evaluation data sources and permitted uses are traceable.</x:v>
      </x:c>
      <x:c r="D10" s="115" t="str">
        <x:v>Data Owner</x:v>
      </x:c>
      <x:c r="E10" s="115" t="str">
        <x:v>Continuous / release</x:v>
      </x:c>
      <x:c r="F10" s="115" t="str">
        <x:v>Data approval</x:v>
      </x:c>
      <x:c r="G10" s="158" t="str">
        <x:v>MAP, MEASURE</x:v>
      </x:c>
      <x:c r="H10" s="158" t="str">
        <x:v>Data governance and GDPR lawfulness/purpose limitation.</x:v>
      </x:c>
      <x:c r="I10" s="158" t="str">
        <x:v>Data for AI systems.</x:v>
      </x:c>
      <x:c r="J10" s="115" t="str">
        <x:v>Unity Catalog metadata and lineage.</x:v>
      </x:c>
      <x:c r="K10" s="115" t="str">
        <x:v>Purview data catalog/lineage and Azure ML data assets.</x:v>
      </x:c>
      <x:c r="L10" s="115" t="str">
        <x:v>DataZone/Glue/Lake Formation and SageMaker lineage.</x:v>
      </x:c>
      <x:c r="M10" s="115" t="str">
        <x:v>Dataplex lineage and ML Metadata.</x:v>
      </x:c>
      <x:c r="N10" s="157" t="str">
        <x:v>Source, owner, licence/lawful basis, transformations, classification, retention and downstream use recorded.</x:v>
      </x:c>
      <x:c r="O10" s="115" t="str">
        <x:v>https://ico.org.uk/for-organisations/uk-gdpr-guidance-and-resources/artificial-intelligence/</x:v>
      </x:c>
      <x:c r="P10" s="115" t="str">
        <x:v>2026-07-12</x:v>
      </x:c>
    </x:row>
    <x:row r="11">
      <x:c r="A11" s="155" t="str">
        <x:v>EVD-07</x:v>
      </x:c>
      <x:c r="B11" s="115" t="str">
        <x:v>DPIA or privacy risk assessment</x:v>
      </x:c>
      <x:c r="C11" s="115" t="str">
        <x:v>Personal-data risks and mitigations have been assessed.</x:v>
      </x:c>
      <x:c r="D11" s="115" t="str">
        <x:v>DPO / Privacy Lead</x:v>
      </x:c>
      <x:c r="E11" s="115" t="str">
        <x:v>At design and material change</x:v>
      </x:c>
      <x:c r="F11" s="115" t="str">
        <x:v>Privacy approval</x:v>
      </x:c>
      <x:c r="G11" s="158" t="str">
        <x:v>MAP, GOVERN</x:v>
      </x:c>
      <x:c r="H11" s="158" t="str">
        <x:v>GDPR DPIA, fairness, transparency and security.</x:v>
      </x:c>
      <x:c r="I11" s="158" t="str">
        <x:v>Impact assessment and risk treatment.</x:v>
      </x:c>
      <x:c r="J11" s="115" t="str">
        <x:v>External privacy system linked to governed datasets and assets.</x:v>
      </x:c>
      <x:c r="K11" s="115" t="str">
        <x:v>Microsoft Priva/Purview and external privacy system.</x:v>
      </x:c>
      <x:c r="L11" s="115" t="str">
        <x:v>Macie/Audit Manager evidence plus external privacy system.</x:v>
      </x:c>
      <x:c r="M11" s="115" t="str">
        <x:v>Sensitive Data Protection evidence plus external privacy system.</x:v>
      </x:c>
      <x:c r="N11" s="157" t="str">
        <x:v>Scope, lawful basis, necessity, proportionality, rights, retention, transfers and mitigations approved.</x:v>
      </x:c>
      <x:c r="O11" s="115" t="str">
        <x:v>https://ico.org.uk/for-organisations/uk-gdpr-guidance-and-resources/artificial-intelligence/</x:v>
      </x:c>
      <x:c r="P11" s="115" t="str">
        <x:v>2026-07-12</x:v>
      </x:c>
    </x:row>
    <x:row r="12">
      <x:c r="A12" s="155" t="str">
        <x:v>EVD-08</x:v>
      </x:c>
      <x:c r="B12" s="115" t="str">
        <x:v>Dataset card and data-quality report</x:v>
      </x:c>
      <x:c r="C12" s="115" t="str">
        <x:v>Data fitness, limitations, representation and known gaps are documented.</x:v>
      </x:c>
      <x:c r="D12" s="115" t="str">
        <x:v>Data Owner / Model Validator</x:v>
      </x:c>
      <x:c r="E12" s="115" t="str">
        <x:v>Each dataset version</x:v>
      </x:c>
      <x:c r="F12" s="115" t="str">
        <x:v>Training or RAG approval</x:v>
      </x:c>
      <x:c r="G12" s="158" t="str">
        <x:v>MEASURE</x:v>
      </x:c>
      <x:c r="H12" s="158" t="str">
        <x:v>High-risk data governance and GDPR accuracy.</x:v>
      </x:c>
      <x:c r="I12" s="158" t="str">
        <x:v>Data quality and impact assessment.</x:v>
      </x:c>
      <x:c r="J12" s="115" t="str">
        <x:v>Unity Catalog description/tags, quality metrics and linked documents.</x:v>
      </x:c>
      <x:c r="K12" s="115" t="str">
        <x:v>Purview Data Quality and Azure ML data asset documentation.</x:v>
      </x:c>
      <x:c r="L12" s="115" t="str">
        <x:v>Glue Data Quality, SageMaker Data Wrangler/Clarify outputs.</x:v>
      </x:c>
      <x:c r="M12" s="115" t="str">
        <x:v>Dataplex data quality and Agent Platform evaluation datasets.</x:v>
      </x:c>
      <x:c r="N12" s="157" t="str">
        <x:v>Coverage, missingness, duplication, timeliness, representativeness, bias and limitations documented.</x:v>
      </x:c>
      <x:c r="O12" s="115" t="str">
        <x:v>https://www.nist.gov/itl/ai-risk-management-framework</x:v>
      </x:c>
      <x:c r="P12" s="115" t="str">
        <x:v>2026-07-12</x:v>
      </x:c>
    </x:row>
    <x:row r="13">
      <x:c r="A13" s="155" t="str">
        <x:v>EVD-09</x:v>
      </x:c>
      <x:c r="B13" s="115" t="str">
        <x:v>Model card</x:v>
      </x:c>
      <x:c r="C13" s="115" t="str">
        <x:v>Model purpose, provenance, evaluation, risk and limitations are recorded.</x:v>
      </x:c>
      <x:c r="D13" s="115" t="str">
        <x:v>Model Owner</x:v>
      </x:c>
      <x:c r="E13" s="115" t="str">
        <x:v>Every model version</x:v>
      </x:c>
      <x:c r="F13" s="115" t="str">
        <x:v>Model approval</x:v>
      </x:c>
      <x:c r="G13" s="158" t="str">
        <x:v>GOVERN, MAP, MEASURE</x:v>
      </x:c>
      <x:c r="H13" s="158" t="str">
        <x:v>Technical documentation and transparency.</x:v>
      </x:c>
      <x:c r="I13" s="158" t="str">
        <x:v>Documented information and lifecycle.</x:v>
      </x:c>
      <x:c r="J13" s="115" t="str">
        <x:v>MLflow/Unity Catalog registered-model metadata.</x:v>
      </x:c>
      <x:c r="K13" s="115" t="str">
        <x:v>Azure ML/Foundry model metadata and Responsible AI artifacts.</x:v>
      </x:c>
      <x:c r="L13" s="115" t="str">
        <x:v>SageMaker Model Cards.</x:v>
      </x:c>
      <x:c r="M13" s="115" t="str">
        <x:v>Agent Platform Model Registry metadata and provider model documentation.</x:v>
      </x:c>
      <x:c r="N13" s="157" t="str">
        <x:v>Includes intended/non-intended use, version, provider, data, metrics, limitations, risk rating and owner.</x:v>
      </x:c>
      <x:c r="O13" s="115" t="str">
        <x:v>https://docs.aws.amazon.com/sagemaker/latest/dg/governance.html</x:v>
      </x:c>
      <x:c r="P13" s="115" t="str">
        <x:v>2026-07-12</x:v>
      </x:c>
    </x:row>
    <x:row r="14">
      <x:c r="A14" s="155" t="str">
        <x:v>EVD-10</x:v>
      </x:c>
      <x:c r="B14" s="115" t="str">
        <x:v>AI system card</x:v>
      </x:c>
      <x:c r="C14" s="115" t="str">
        <x:v>The complete application—not only the base model—is documented.</x:v>
      </x:c>
      <x:c r="D14" s="115" t="str">
        <x:v>Product Owner / Architect</x:v>
      </x:c>
      <x:c r="E14" s="115" t="str">
        <x:v>Every major release</x:v>
      </x:c>
      <x:c r="F14" s="115" t="str">
        <x:v>Production approval</x:v>
      </x:c>
      <x:c r="G14" s="158" t="str">
        <x:v>GOVERN, MAP</x:v>
      </x:c>
      <x:c r="H14" s="158" t="str">
        <x:v>Technical documentation, transparency and human oversight.</x:v>
      </x:c>
      <x:c r="I14" s="158" t="str">
        <x:v>AI system lifecycle documentation.</x:v>
      </x:c>
      <x:c r="J14" s="115" t="str">
        <x:v>Linked from Unity Catalog model/service metadata.</x:v>
      </x:c>
      <x:c r="K14" s="115" t="str">
        <x:v>Linked from Foundry asset/project metadata.</x:v>
      </x:c>
      <x:c r="L14" s="115" t="str">
        <x:v>Linked from SageMaker/Bedrock resources and tags.</x:v>
      </x:c>
      <x:c r="M14" s="115" t="str">
        <x:v>Linked from Agent Registry/model/deployment metadata.</x:v>
      </x:c>
      <x:c r="N14" s="157" t="str">
        <x:v>Covers prompts, RAG, tools, agents, memory, human controls, monitoring, fallback and limitations.</x:v>
      </x:c>
      <x:c r="O14" s="115" t="str">
        <x:v>https://www.iso.org/standard/42001</x:v>
      </x:c>
      <x:c r="P14" s="115" t="str">
        <x:v>2026-07-12</x:v>
      </x:c>
    </x:row>
    <x:row r="15">
      <x:c r="A15" s="155" t="str">
        <x:v>EVD-11</x:v>
      </x:c>
      <x:c r="B15" s="115" t="str">
        <x:v>Model/provider due-diligence pack</x:v>
      </x:c>
      <x:c r="C15" s="115" t="str">
        <x:v>Third-party model risks, data terms, licences and support are understood.</x:v>
      </x:c>
      <x:c r="D15" s="115" t="str">
        <x:v>Procurement / Legal / Security</x:v>
      </x:c>
      <x:c r="E15" s="115" t="str">
        <x:v>Initial procurement and renewal</x:v>
      </x:c>
      <x:c r="F15" s="115" t="str">
        <x:v>Vendor approval</x:v>
      </x:c>
      <x:c r="G15" s="158" t="str">
        <x:v>MAP, GOVERN</x:v>
      </x:c>
      <x:c r="H15" s="158" t="str">
        <x:v>GPAI/provider and deployer due diligence; GDPR processor governance.</x:v>
      </x:c>
      <x:c r="I15" s="158" t="str">
        <x:v>Supplier and external-provider control.</x:v>
      </x:c>
      <x:c r="J15" s="115" t="str">
        <x:v>External-provider model service and contract record.</x:v>
      </x:c>
      <x:c r="K15" s="115" t="str">
        <x:v>Foundry model catalog documentation, provider terms and contract record.</x:v>
      </x:c>
      <x:c r="L15" s="115" t="str">
        <x:v>Bedrock/JumpStart provider details, Marketplace terms and contract record.</x:v>
      </x:c>
      <x:c r="M15" s="115" t="str">
        <x:v>Agent Platform model documentation and contract record.</x:v>
      </x:c>
      <x:c r="N15" s="157" t="str">
        <x:v>Data use, retention, region, licence, IP, safety, security, support, deprecation and exit reviewed.</x:v>
      </x:c>
      <x:c r="O15" s="115" t="str">
        <x:v>https://digital-strategy.ec.europa.eu/en/policies/ai-code-practice</x:v>
      </x:c>
      <x:c r="P15" s="115" t="str">
        <x:v>2026-07-12</x:v>
      </x:c>
    </x:row>
    <x:row r="16">
      <x:c r="A16" s="155" t="str">
        <x:v>EVD-12</x:v>
      </x:c>
      <x:c r="B16" s="115" t="str">
        <x:v>Evaluation plan and acceptance criteria</x:v>
      </x:c>
      <x:c r="C16" s="115" t="str">
        <x:v>Success and failure are defined before testing.</x:v>
      </x:c>
      <x:c r="D16" s="115" t="str">
        <x:v>Model Validator</x:v>
      </x:c>
      <x:c r="E16" s="115" t="str">
        <x:v>Each release</x:v>
      </x:c>
      <x:c r="F16" s="115" t="str">
        <x:v>Evaluation readiness</x:v>
      </x:c>
      <x:c r="G16" s="158" t="str">
        <x:v>MEASURE</x:v>
      </x:c>
      <x:c r="H16" s="158" t="str">
        <x:v>Accuracy, robustness, cybersecurity and risk management.</x:v>
      </x:c>
      <x:c r="I16" s="158" t="str">
        <x:v>Performance evaluation and operational planning.</x:v>
      </x:c>
      <x:c r="J16" s="115" t="str">
        <x:v>MLflow evaluation configuration and dataset.</x:v>
      </x:c>
      <x:c r="K16" s="115" t="str">
        <x:v>Foundry evaluation configuration and datasets.</x:v>
      </x:c>
      <x:c r="L16" s="115" t="str">
        <x:v>SageMaker/Bedrock evaluation configuration and datasets.</x:v>
      </x:c>
      <x:c r="M16" s="115" t="str">
        <x:v>Agent Platform evaluation configuration and datasets.</x:v>
      </x:c>
      <x:c r="N16" s="157" t="str">
        <x:v>Representative users/tasks, pass thresholds, safety limits, subgroup checks and failure severity included.</x:v>
      </x:c>
      <x:c r="O16" s="115" t="str">
        <x:v>https://www.nist.gov/itl/ai-risk-management-framework</x:v>
      </x:c>
      <x:c r="P16" s="115" t="str">
        <x:v>2026-07-12</x:v>
      </x:c>
    </x:row>
    <x:row r="17">
      <x:c r="A17" s="155" t="str">
        <x:v>EVD-13</x:v>
      </x:c>
      <x:c r="B17" s="115" t="str">
        <x:v>Pre-deployment evaluation report</x:v>
      </x:c>
      <x:c r="C17" s="115" t="str">
        <x:v>The tested version meets defined quality, safety and operational thresholds.</x:v>
      </x:c>
      <x:c r="D17" s="115" t="str">
        <x:v>Independent Model Validator</x:v>
      </x:c>
      <x:c r="E17" s="115" t="str">
        <x:v>Each release</x:v>
      </x:c>
      <x:c r="F17" s="115" t="str">
        <x:v>Release approval</x:v>
      </x:c>
      <x:c r="G17" s="158" t="str">
        <x:v>MEASURE</x:v>
      </x:c>
      <x:c r="H17" s="158" t="str">
        <x:v>Conformity and technical evidence where applicable.</x:v>
      </x:c>
      <x:c r="I17" s="158" t="str">
        <x:v>Performance evaluation and verification.</x:v>
      </x:c>
      <x:c r="J17" s="115" t="str">
        <x:v>MLflow evaluation runs, traces and scorer outputs.</x:v>
      </x:c>
      <x:c r="K17" s="115" t="str">
        <x:v>Foundry evaluation, agent-evaluator and red-team results.</x:v>
      </x:c>
      <x:c r="L17" s="115" t="str">
        <x:v>SageMaker Clarify/Experiments and Bedrock Evaluation results.</x:v>
      </x:c>
      <x:c r="M17" s="115" t="str">
        <x:v>Agent Platform model/agent evaluation results.</x:v>
      </x:c>
      <x:c r="N17" s="157" t="str">
        <x:v>Version-linked, reproducible, independently reviewed and includes failed cases and residual risk.</x:v>
      </x:c>
      <x:c r="O17" s="115" t="str">
        <x:v>https://learn.microsoft.com/en-us/azure/foundry/concepts/observability</x:v>
      </x:c>
      <x:c r="P17" s="115" t="str">
        <x:v>2026-07-12</x:v>
      </x:c>
    </x:row>
    <x:row r="18">
      <x:c r="A18" s="155" t="str">
        <x:v>EVD-14</x:v>
      </x:c>
      <x:c r="B18" s="115" t="str">
        <x:v>Red-team and security-test report</x:v>
      </x:c>
      <x:c r="C18" s="115" t="str">
        <x:v>Adversarial and misuse risks were actively tested.</x:v>
      </x:c>
      <x:c r="D18" s="115" t="str">
        <x:v>AI Security Lead</x:v>
      </x:c>
      <x:c r="E18" s="115" t="str">
        <x:v>Each major release and annually</x:v>
      </x:c>
      <x:c r="F18" s="115" t="str">
        <x:v>Security approval</x:v>
      </x:c>
      <x:c r="G18" s="158" t="str">
        <x:v>MEASURE, MANAGE</x:v>
      </x:c>
      <x:c r="H18" s="158" t="str">
        <x:v>Cybersecurity, robustness and post-market risk management.</x:v>
      </x:c>
      <x:c r="I18" s="158" t="str">
        <x:v>Security testing and corrective action.</x:v>
      </x:c>
      <x:c r="J18" s="115" t="str">
        <x:v>MLflow/custom adversarial runs and traces.</x:v>
      </x:c>
      <x:c r="K18" s="115" t="str">
        <x:v>AI Red Teaming Agent results and Defender findings.</x:v>
      </x:c>
      <x:c r="L18" s="115" t="str">
        <x:v>Bedrock/SageMaker test harness and AWS security findings.</x:v>
      </x:c>
      <x:c r="M18" s="115" t="str">
        <x:v>Model Armor/SCC findings and custom adversarial tests.</x:v>
      </x:c>
      <x:c r="N18" s="157" t="str">
        <x:v>Threat-led scenarios, severity, remediation owner, retest and accepted residual risks.</x:v>
      </x:c>
      <x:c r="O18" s="115" t="str">
        <x:v>https://learn.microsoft.com/en-us/azure/foundry/concepts/ai-red-teaming-agent</x:v>
      </x:c>
      <x:c r="P18" s="115" t="str">
        <x:v>2026-07-12</x:v>
      </x:c>
    </x:row>
    <x:row r="19">
      <x:c r="A19" s="155" t="str">
        <x:v>EVD-15</x:v>
      </x:c>
      <x:c r="B19" s="115" t="str">
        <x:v>Guardrail and policy configuration</x:v>
      </x:c>
      <x:c r="C19" s="115" t="str">
        <x:v>Safety, privacy, tool-use and business rules are technically enforced.</x:v>
      </x:c>
      <x:c r="D19" s="115" t="str">
        <x:v>AI Safety / Security</x:v>
      </x:c>
      <x:c r="E19" s="115" t="str">
        <x:v>Each release and policy change</x:v>
      </x:c>
      <x:c r="F19" s="115" t="str">
        <x:v>Safety approval</x:v>
      </x:c>
      <x:c r="G19" s="158" t="str">
        <x:v>MANAGE</x:v>
      </x:c>
      <x:c r="H19" s="158" t="str">
        <x:v>Risk management, cybersecurity and human oversight.</x:v>
      </x:c>
      <x:c r="I19" s="158" t="str">
        <x:v>Operational controls.</x:v>
      </x:c>
      <x:c r="J19" s="115" t="str">
        <x:v>Unity AI Gateway service policies, access policies and rate limits.</x:v>
      </x:c>
      <x:c r="K19" s="115" t="str">
        <x:v>Foundry guardrail policies, Content Safety and Prompt Shields.</x:v>
      </x:c>
      <x:c r="L19" s="115" t="str">
        <x:v>Bedrock Guardrails, IAM and tool/action controls.</x:v>
      </x:c>
      <x:c r="M19" s="115" t="str">
        <x:v>Model Armor, Semantic Governance Policy and Agent Gateway.</x:v>
      </x:c>
      <x:c r="N19" s="157" t="str">
        <x:v>Versioned, tested, assigned to every applicable deployment and has exception/override process.</x:v>
      </x:c>
      <x:c r="O19" s="115" t="str">
        <x:v>https://docs.aws.amazon.com/bedrock/latest/userguide/guardrails.html</x:v>
      </x:c>
      <x:c r="P19" s="115" t="str">
        <x:v>2026-07-12</x:v>
      </x:c>
    </x:row>
    <x:row r="20">
      <x:c r="A20" s="155" t="str">
        <x:v>EVD-16</x:v>
      </x:c>
      <x:c r="B20" s="115" t="str">
        <x:v>Access-control matrix and review</x:v>
      </x:c>
      <x:c r="C20" s="115" t="str">
        <x:v>Human, workload and agent permissions match least privilege.</x:v>
      </x:c>
      <x:c r="D20" s="115" t="str">
        <x:v>IAM Owner</x:v>
      </x:c>
      <x:c r="E20" s="115" t="str">
        <x:v>Quarterly and role change</x:v>
      </x:c>
      <x:c r="F20" s="115" t="str">
        <x:v>Access approval</x:v>
      </x:c>
      <x:c r="G20" s="158" t="str">
        <x:v>GOVERN, MANAGE</x:v>
      </x:c>
      <x:c r="H20" s="158" t="str">
        <x:v>Cybersecurity, data protection and accountability.</x:v>
      </x:c>
      <x:c r="I20" s="158" t="str">
        <x:v>Access control.</x:v>
      </x:c>
      <x:c r="J20" s="115" t="str">
        <x:v>Unity Catalog grants, ABAC policies and workspace bindings.</x:v>
      </x:c>
      <x:c r="K20" s="115" t="str">
        <x:v>Entra groups, Azure RBAC and Foundry roles.</x:v>
      </x:c>
      <x:c r="L20" s="115" t="str">
        <x:v>IAM, SageMaker Role Manager and Bedrock resource policies.</x:v>
      </x:c>
      <x:c r="M20" s="115" t="str">
        <x:v>IAM roles, Agent Identity and Access Context Manager.</x:v>
      </x:c>
      <x:c r="N20" s="157" t="str">
        <x:v>Includes model invoke, data read, tool execute, administration, logging and approval permissions.</x:v>
      </x:c>
      <x:c r="O20" s="115" t="str">
        <x:v>https://www.nist.gov/itl/ai-risk-management-framework</x:v>
      </x:c>
      <x:c r="P20" s="115" t="str">
        <x:v>2026-07-12</x:v>
      </x:c>
    </x:row>
    <x:row r="21">
      <x:c r="A21" s="155" t="str">
        <x:v>EVD-17</x:v>
      </x:c>
      <x:c r="B21" s="115" t="str">
        <x:v>Agent/tool permission map</x:v>
      </x:c>
      <x:c r="C21" s="115" t="str">
        <x:v>Each agent's tools, operations, target resources and delegation are explicit.</x:v>
      </x:c>
      <x:c r="D21" s="115" t="str">
        <x:v>Agent Product Owner / Security</x:v>
      </x:c>
      <x:c r="E21" s="115" t="str">
        <x:v>Each agent release</x:v>
      </x:c>
      <x:c r="F21" s="115" t="str">
        <x:v>Agent approval</x:v>
      </x:c>
      <x:c r="G21" s="158" t="str">
        <x:v>MANAGE</x:v>
      </x:c>
      <x:c r="H21" s="158" t="str">
        <x:v>Human oversight and cybersecurity.</x:v>
      </x:c>
      <x:c r="I21" s="158" t="str">
        <x:v>Operational and access controls.</x:v>
      </x:c>
      <x:c r="J21" s="115" t="str">
        <x:v>MCP Services, functions, connections and tool filtering.</x:v>
      </x:c>
      <x:c r="K21" s="115" t="str">
        <x:v>Foundry tools, Entra permissions and API/workflow policies.</x:v>
      </x:c>
      <x:c r="L21" s="115" t="str">
        <x:v>Bedrock action groups, IAM and Lambda/API policies.</x:v>
      </x:c>
      <x:c r="M21" s="115" t="str">
        <x:v>Agent Registry/Gateway, IAM and semantic governance.</x:v>
      </x:c>
      <x:c r="N21" s="157" t="str">
        <x:v>Negative tests prove the agent cannot access prohibited tools or data.</x:v>
      </x:c>
      <x:c r="O21" s="115" t="str">
        <x:v>https://docs.cloud.google.com/gemini-enterprise-agent-platform/govern</x:v>
      </x:c>
      <x:c r="P21" s="115" t="str">
        <x:v>2026-07-12</x:v>
      </x:c>
    </x:row>
    <x:row r="22">
      <x:c r="A22" s="155" t="str">
        <x:v>EVD-18</x:v>
      </x:c>
      <x:c r="B22" s="115" t="str">
        <x:v>Human-oversight SOP</x:v>
      </x:c>
      <x:c r="C22" s="115" t="str">
        <x:v>People can intervene, override and escalate consequential outcomes.</x:v>
      </x:c>
      <x:c r="D22" s="115" t="str">
        <x:v>Business Owner</x:v>
      </x:c>
      <x:c r="E22" s="115" t="str">
        <x:v>Annual and material change</x:v>
      </x:c>
      <x:c r="F22" s="115" t="str">
        <x:v>Use-case approval</x:v>
      </x:c>
      <x:c r="G22" s="158" t="str">
        <x:v>GOVERN, MANAGE</x:v>
      </x:c>
      <x:c r="H22" s="158" t="str">
        <x:v>Human oversight and GDPR automated-decision safeguards.</x:v>
      </x:c>
      <x:c r="I22" s="158" t="str">
        <x:v>Human oversight and communication.</x:v>
      </x:c>
      <x:c r="J22" s="115" t="str">
        <x:v>Application workflow and logged approvals.</x:v>
      </x:c>
      <x:c r="K22" s="115" t="str">
        <x:v>Foundry/Power Platform/Logic Apps approval records.</x:v>
      </x:c>
      <x:c r="L22" s="115" t="str">
        <x:v>A2I/Step Functions/Connect approval records.</x:v>
      </x:c>
      <x:c r="M22" s="115" t="str">
        <x:v>Workflows/application approval records.</x:v>
      </x:c>
      <x:c r="N22" s="157" t="str">
        <x:v>Defines trigger, reviewer competency, information shown, authority, fallback and appeal route.</x:v>
      </x:c>
      <x:c r="O22" s="115" t="str">
        <x:v>https://digital-strategy.ec.europa.eu/en/policies/regulatory-framework-ai</x:v>
      </x:c>
      <x:c r="P22" s="115" t="str">
        <x:v>2026-07-12</x:v>
      </x:c>
    </x:row>
    <x:row r="23">
      <x:c r="A23" s="155" t="str">
        <x:v>EVD-19</x:v>
      </x:c>
      <x:c r="B23" s="115" t="str">
        <x:v>Deployment approval and change record</x:v>
      </x:c>
      <x:c r="C23" s="115" t="str">
        <x:v>Only tested and approved versions reach production.</x:v>
      </x:c>
      <x:c r="D23" s="115" t="str">
        <x:v>Release Manager</x:v>
      </x:c>
      <x:c r="E23" s="115" t="str">
        <x:v>Each release</x:v>
      </x:c>
      <x:c r="F23" s="115" t="str">
        <x:v>Production deployment</x:v>
      </x:c>
      <x:c r="G23" s="158" t="str">
        <x:v>GOVERN, MANAGE</x:v>
      </x:c>
      <x:c r="H23" s="158" t="str">
        <x:v>Quality management and record keeping.</x:v>
      </x:c>
      <x:c r="I23" s="158" t="str">
        <x:v>Change and configuration management.</x:v>
      </x:c>
      <x:c r="J23" s="115" t="str">
        <x:v>MLflow model version/deployment job and CI/CD record.</x:v>
      </x:c>
      <x:c r="K23" s="115" t="str">
        <x:v>Foundry/Azure ML deployment plus GitHub/Azure DevOps approval.</x:v>
      </x:c>
      <x:c r="L23" s="115" t="str">
        <x:v>SageMaker Registry/Pipelines or Bedrock configuration plus CodePipeline approval.</x:v>
      </x:c>
      <x:c r="M23" s="115" t="str">
        <x:v>Agent Platform Registry/Pipelines plus Cloud Build/Deploy approval.</x:v>
      </x:c>
      <x:c r="N23" s="157" t="str">
        <x:v>Links exact model, prompt, data, tool, guardrail and code versions with rollback plan.</x:v>
      </x:c>
      <x:c r="O23" s="115" t="str">
        <x:v>https://www.iso.org/standard/42001</x:v>
      </x:c>
      <x:c r="P23" s="115" t="str">
        <x:v>2026-07-12</x:v>
      </x:c>
    </x:row>
    <x:row r="24">
      <x:c r="A24" s="155" t="str">
        <x:v>EVD-20</x:v>
      </x:c>
      <x:c r="B24" s="115" t="str">
        <x:v>Request, response and trace sample</x:v>
      </x:c>
      <x:c r="C24" s="115" t="str">
        <x:v>Runtime behaviour is attributable and diagnosable.</x:v>
      </x:c>
      <x:c r="D24" s="115" t="str">
        <x:v>SRE / AI Operations</x:v>
      </x:c>
      <x:c r="E24" s="115" t="str">
        <x:v>Continuous / sampled review</x:v>
      </x:c>
      <x:c r="F24" s="115" t="str">
        <x:v>Operational readiness</x:v>
      </x:c>
      <x:c r="G24" s="158" t="str">
        <x:v>MEASURE, MANAGE</x:v>
      </x:c>
      <x:c r="H24" s="158" t="str">
        <x:v>Record keeping, incident investigation and accountability.</x:v>
      </x:c>
      <x:c r="I24" s="158" t="str">
        <x:v>Monitoring and documented information.</x:v>
      </x:c>
      <x:c r="J24" s="115" t="str">
        <x:v>Unity AI Gateway inference tables, system tables and MLflow traces.</x:v>
      </x:c>
      <x:c r="K24" s="115" t="str">
        <x:v>Application Insights/Foundry traces and evaluation logs.</x:v>
      </x:c>
      <x:c r="L24" s="115" t="str">
        <x:v>CloudWatch, CloudTrail, SageMaker capture and Bedrock invocation logs.</x:v>
      </x:c>
      <x:c r="M24" s="115" t="str">
        <x:v>Agent Observability, Cloud Logging and BigQuery request-response logs.</x:v>
      </x:c>
      <x:c r="N24" s="157" t="str">
        <x:v>Correlation ID, version, user/agent identity, latency, tool calls and policy outcomes captured with privacy controls.</x:v>
      </x:c>
      <x:c r="O24" s="115" t="str">
        <x:v>https://docs.databricks.com/aws/en/ai-gateway/</x:v>
      </x:c>
      <x:c r="P24" s="115" t="str">
        <x:v>2026-07-12</x:v>
      </x:c>
    </x:row>
    <x:row r="25">
      <x:c r="A25" s="155" t="str">
        <x:v>EVD-21</x:v>
      </x:c>
      <x:c r="B25" s="115" t="str">
        <x:v>Retention and deletion configuration</x:v>
      </x:c>
      <x:c r="C25" s="115" t="str">
        <x:v>AI data is retained only as long as approved and can be deleted or corrected.</x:v>
      </x:c>
      <x:c r="D25" s="115" t="str">
        <x:v>Data Owner / DPO</x:v>
      </x:c>
      <x:c r="E25" s="115" t="str">
        <x:v>Annual and configuration change</x:v>
      </x:c>
      <x:c r="F25" s="115" t="str">
        <x:v>Privacy approval</x:v>
      </x:c>
      <x:c r="G25" s="158" t="str">
        <x:v>MANAGE</x:v>
      </x:c>
      <x:c r="H25" s="158" t="str">
        <x:v>GDPR storage limitation and rights.</x:v>
      </x:c>
      <x:c r="I25" s="158" t="str">
        <x:v>Lifecycle and operational controls.</x:v>
      </x:c>
      <x:c r="J25" s="115" t="str">
        <x:v>Unity Catalog table lifecycle and application deletion workflow.</x:v>
      </x:c>
      <x:c r="K25" s="115" t="str">
        <x:v>Azure storage/monitor retention and application deletion workflow.</x:v>
      </x:c>
      <x:c r="L25" s="115" t="str">
        <x:v>S3/CloudWatch lifecycle and application deletion workflow.</x:v>
      </x:c>
      <x:c r="M25" s="115" t="str">
        <x:v>Zero-retention settings, BigQuery TTL, Logging retention and memory controls.</x:v>
      </x:c>
      <x:c r="N25" s="157" t="str">
        <x:v>Covers prompts, outputs, traces, embeddings, caches, sessions, memory and backups.</x:v>
      </x:c>
      <x:c r="O25" s="115" t="str">
        <x:v>https://docs.cloud.google.com/gemini-enterprise-agent-platform/resources/zero-data-retention</x:v>
      </x:c>
      <x:c r="P25" s="115" t="str">
        <x:v>2026-07-12</x:v>
      </x:c>
    </x:row>
    <x:row r="26">
      <x:c r="A26" s="155" t="str">
        <x:v>EVD-22</x:v>
      </x:c>
      <x:c r="B26" s="115" t="str">
        <x:v>Production monitoring dashboard</x:v>
      </x:c>
      <x:c r="C26" s="115" t="str">
        <x:v>Quality, safety, latency, cost and policy compliance are visible.</x:v>
      </x:c>
      <x:c r="D26" s="115" t="str">
        <x:v>AI Operations Lead</x:v>
      </x:c>
      <x:c r="E26" s="115" t="str">
        <x:v>Continuous / monthly review</x:v>
      </x:c>
      <x:c r="F26" s="115" t="str">
        <x:v>Operational readiness</x:v>
      </x:c>
      <x:c r="G26" s="158" t="str">
        <x:v>MEASURE, MANAGE</x:v>
      </x:c>
      <x:c r="H26" s="158" t="str">
        <x:v>Post-market monitoring and risk management.</x:v>
      </x:c>
      <x:c r="I26" s="158" t="str">
        <x:v>Monitoring and measurement.</x:v>
      </x:c>
      <x:c r="J26" s="115" t="str">
        <x:v>MLflow monitoring, inference tables and system tables.</x:v>
      </x:c>
      <x:c r="K26" s="115" t="str">
        <x:v>Foundry monitoring/continuous evaluation and Azure Monitor.</x:v>
      </x:c>
      <x:c r="L26" s="115" t="str">
        <x:v>Model Monitor/CloudWatch and Bedrock metrics.</x:v>
      </x:c>
      <x:c r="M26" s="115" t="str">
        <x:v>Agent Observability, online monitoring and Cloud Monitoring.</x:v>
      </x:c>
      <x:c r="N26" s="157" t="str">
        <x:v>Includes separate operational and AI-quality SLIs with thresholds, owners and escalation.</x:v>
      </x:c>
      <x:c r="O26" s="115" t="str">
        <x:v>https://learn.microsoft.com/en-us/azure/foundry/concepts/observability</x:v>
      </x:c>
      <x:c r="P26" s="115" t="str">
        <x:v>2026-07-12</x:v>
      </x:c>
    </x:row>
    <x:row r="27">
      <x:c r="A27" s="155" t="str">
        <x:v>EVD-23</x:v>
      </x:c>
      <x:c r="B27" s="115" t="str">
        <x:v>Incident-response playbook and exercise</x:v>
      </x:c>
      <x:c r="C27" s="115" t="str">
        <x:v>The organization can contain, investigate and recover from AI incidents.</x:v>
      </x:c>
      <x:c r="D27" s="115" t="str">
        <x:v>Incident Commander</x:v>
      </x:c>
      <x:c r="E27" s="115" t="str">
        <x:v>Annual exercise and after incident</x:v>
      </x:c>
      <x:c r="F27" s="115" t="str">
        <x:v>Production approval</x:v>
      </x:c>
      <x:c r="G27" s="158" t="str">
        <x:v>MANAGE</x:v>
      </x:c>
      <x:c r="H27" s="158" t="str">
        <x:v>Serious-incident, cybersecurity and GDPR breach processes may apply.</x:v>
      </x:c>
      <x:c r="I27" s="158" t="str">
        <x:v>Incident, nonconformity and corrective action.</x:v>
      </x:c>
      <x:c r="J27" s="115" t="str">
        <x:v>Privilege revocation, policy changes, logs and rollback procedures.</x:v>
      </x:c>
      <x:c r="K27" s="115" t="str">
        <x:v>Control Plane remediation, Defender/Purview alerts and rollback.</x:v>
      </x:c>
      <x:c r="L27" s="115" t="str">
        <x:v>IAM revocation, Guardrails updates, Security Hub and rollback.</x:v>
      </x:c>
      <x:c r="M27" s="115" t="str">
        <x:v>Agent Gateway/IAM changes, SCC and rollback.</x:v>
      </x:c>
      <x:c r="N27" s="157" t="str">
        <x:v>Covers harmful output, data leakage, unauthorized action, runaway cost, outage and model-provider withdrawal.</x:v>
      </x:c>
      <x:c r="O27" s="115" t="str">
        <x:v>https://digital-strategy.ec.europa.eu/en/policies/regulatory-framework-ai</x:v>
      </x:c>
      <x:c r="P27" s="115" t="str">
        <x:v>2026-07-12</x:v>
      </x:c>
    </x:row>
    <x:row r="28">
      <x:c r="A28" s="155" t="str">
        <x:v>EVD-24</x:v>
      </x:c>
      <x:c r="B28" s="115" t="str">
        <x:v>Complaint, appeal and correction process</x:v>
      </x:c>
      <x:c r="C28" s="115" t="str">
        <x:v>Affected users can challenge or correct AI-supported outcomes where appropriate.</x:v>
      </x:c>
      <x:c r="D28" s="115" t="str">
        <x:v>Business Owner / Legal</x:v>
      </x:c>
      <x:c r="E28" s="115" t="str">
        <x:v>Annual and service change</x:v>
      </x:c>
      <x:c r="F28" s="115" t="str">
        <x:v>User acceptance</x:v>
      </x:c>
      <x:c r="G28" s="158" t="str">
        <x:v>GOVERN, MANAGE</x:v>
      </x:c>
      <x:c r="H28" s="158" t="str">
        <x:v>Transparency, human oversight and GDPR rights.</x:v>
      </x:c>
      <x:c r="I28" s="158" t="str">
        <x:v>Communication and interested-party processes.</x:v>
      </x:c>
      <x:c r="J28" s="115" t="str">
        <x:v>Application-level process with linked audit evidence.</x:v>
      </x:c>
      <x:c r="K28" s="115" t="str">
        <x:v>Dynamics/Power Platform or application workflow linked to Foundry evidence.</x:v>
      </x:c>
      <x:c r="L28" s="115" t="str">
        <x:v>Connect/application workflow linked to AWS logs.</x:v>
      </x:c>
      <x:c r="M28" s="115" t="str">
        <x:v>Contact-center/application workflow linked to Google logs.</x:v>
      </x:c>
      <x:c r="N28" s="157" t="str">
        <x:v>User route, response SLA, human reviewer, correction mechanism and trend reporting defined.</x:v>
      </x:c>
      <x:c r="O28" s="115" t="str">
        <x:v>https://ico.org.uk/for-organisations/uk-gdpr-guidance-and-resources/artificial-intelligence/</x:v>
      </x:c>
      <x:c r="P28" s="115" t="str">
        <x:v>2026-07-12</x:v>
      </x:c>
    </x:row>
    <x:row r="29">
      <x:c r="A29" s="155" t="str">
        <x:v>EVD-25</x:v>
      </x:c>
      <x:c r="B29" s="115" t="str">
        <x:v>Transparency notice and AI-content marking test</x:v>
      </x:c>
      <x:c r="C29" s="115" t="str">
        <x:v>Users are informed appropriately about AI interaction and generated content.</x:v>
      </x:c>
      <x:c r="D29" s="115" t="str">
        <x:v>Product Owner / Legal</x:v>
      </x:c>
      <x:c r="E29" s="115" t="str">
        <x:v>Each user-experience release</x:v>
      </x:c>
      <x:c r="F29" s="115" t="str">
        <x:v>User acceptance</x:v>
      </x:c>
      <x:c r="G29" s="158" t="str">
        <x:v>GOVERN, MAP</x:v>
      </x:c>
      <x:c r="H29" s="158" t="str">
        <x:v>AI Act transparency obligations and GDPR transparency.</x:v>
      </x:c>
      <x:c r="I29" s="158" t="str">
        <x:v>Communication and transparency.</x:v>
      </x:c>
      <x:c r="J29" s="115" t="str">
        <x:v>Application-level notice linked to deployed model/service version.</x:v>
      </x:c>
      <x:c r="K29" s="115" t="str">
        <x:v>Application-level notice and Microsoft content credentials/labels where applicable.</x:v>
      </x:c>
      <x:c r="L29" s="115" t="str">
        <x:v>Application-level notice and provenance/labeling implementation.</x:v>
      </x:c>
      <x:c r="M29" s="115" t="str">
        <x:v>Application-level notice and supported provenance/labeling features.</x:v>
      </x:c>
      <x:c r="N29" s="157" t="str">
        <x:v>Tested wording, placement, accessibility, content marking and escalation information.</x:v>
      </x:c>
      <x:c r="O29" s="115" t="str">
        <x:v>https://digital-strategy.ec.europa.eu/en/policies/code-practice-ai-generated-content</x:v>
      </x:c>
      <x:c r="P29" s="115" t="str">
        <x:v>2026-07-12</x:v>
      </x:c>
    </x:row>
    <x:row r="30">
      <x:c r="A30" s="155" t="str">
        <x:v>EVD-26</x:v>
      </x:c>
      <x:c r="B30" s="115" t="str">
        <x:v>Cost, quota and abuse-control evidence</x:v>
      </x:c>
      <x:c r="C30" s="115" t="str">
        <x:v>The system cannot consume unbounded resources or run uncontrolled loops.</x:v>
      </x:c>
      <x:c r="D30" s="115" t="str">
        <x:v>FinOps / Platform Owner</x:v>
      </x:c>
      <x:c r="E30" s="115" t="str">
        <x:v>Monthly and configuration change</x:v>
      </x:c>
      <x:c r="F30" s="115" t="str">
        <x:v>Operational readiness</x:v>
      </x:c>
      <x:c r="G30" s="158" t="str">
        <x:v>MANAGE</x:v>
      </x:c>
      <x:c r="H30" s="158" t="str">
        <x:v>Operational risk and governance.</x:v>
      </x:c>
      <x:c r="I30" s="158" t="str">
        <x:v>Resource and operational control.</x:v>
      </x:c>
      <x:c r="J30" s="115" t="str">
        <x:v>Unity AI Gateway budgets, rate limits and usage tables.</x:v>
      </x:c>
      <x:c r="K30" s="115" t="str">
        <x:v>Foundry token limits, quotas and Azure budgets.</x:v>
      </x:c>
      <x:c r="L30" s="115" t="str">
        <x:v>AWS Budgets, quotas, endpoint limits and alarms.</x:v>
      </x:c>
      <x:c r="M30" s="115" t="str">
        <x:v>Cloud budgets, quotas, Agent Gateway and billing export.</x:v>
      </x:c>
      <x:c r="N30" s="157" t="str">
        <x:v>Per-user/application limits, loop/time limits, cost alerts, owner and tested shutdown/containment.</x:v>
      </x:c>
      <x:c r="O30" s="115" t="str">
        <x:v>https://learn.microsoft.com/en-us/azure/foundry/control-plane/overview</x:v>
      </x:c>
      <x:c r="P30" s="115" t="str">
        <x:v>2026-07-12</x:v>
      </x:c>
    </x:row>
    <x:row r="31">
      <x:c r="A31" s="155" t="str">
        <x:v>EVD-27</x:v>
      </x:c>
      <x:c r="B31" s="115" t="str">
        <x:v>Post-market monitoring plan and review minutes</x:v>
      </x:c>
      <x:c r="C31" s="115" t="str">
        <x:v>The system is reassessed using real-world evidence after launch.</x:v>
      </x:c>
      <x:c r="D31" s="115" t="str">
        <x:v>AI Governance Committee</x:v>
      </x:c>
      <x:c r="E31" s="115" t="str">
        <x:v>Monthly/quarterly</x:v>
      </x:c>
      <x:c r="F31" s="115" t="str">
        <x:v>Ongoing operation</x:v>
      </x:c>
      <x:c r="G31" s="158" t="str">
        <x:v>MANAGE</x:v>
      </x:c>
      <x:c r="H31" s="158" t="str">
        <x:v>Post-market monitoring and risk management.</x:v>
      </x:c>
      <x:c r="I31" s="158" t="str">
        <x:v>Management review and continual improvement.</x:v>
      </x:c>
      <x:c r="J31" s="115" t="str">
        <x:v>MLflow/inference evidence and governance review.</x:v>
      </x:c>
      <x:c r="K31" s="115" t="str">
        <x:v>Foundry compliance/monitoring evidence and governance review.</x:v>
      </x:c>
      <x:c r="L31" s="115" t="str">
        <x:v>CloudWatch/Model Monitor/Guardrails evidence and governance review.</x:v>
      </x:c>
      <x:c r="M31" s="115" t="str">
        <x:v>Agent Observability/SCC evidence and governance review.</x:v>
      </x:c>
      <x:c r="N31" s="157" t="str">
        <x:v>Reviews quality, incidents, complaints, drift, policy violations, cost, model changes and emerging regulation.</x:v>
      </x:c>
      <x:c r="O31" s="115" t="str">
        <x:v>https://digital-strategy.ec.europa.eu/en/policies/regulatory-framework-ai</x:v>
      </x:c>
      <x:c r="P31" s="115" t="str">
        <x:v>2026-07-12</x:v>
      </x:c>
    </x:row>
    <x:row r="32">
      <x:c r="A32" s="155" t="str">
        <x:v>EVD-28</x:v>
      </x:c>
      <x:c r="B32" s="115" t="str">
        <x:v>Audit evidence index and management response</x:v>
      </x:c>
      <x:c r="C32" s="115" t="str">
        <x:v>Evidence is organized, reproducible and linked to control owners and findings.</x:v>
      </x:c>
      <x:c r="D32" s="115" t="str">
        <x:v>Compliance / Internal Audit</x:v>
      </x:c>
      <x:c r="E32" s="115" t="str">
        <x:v>At audit and annual review</x:v>
      </x:c>
      <x:c r="F32" s="115" t="str">
        <x:v>Assurance</x:v>
      </x:c>
      <x:c r="G32" s="158" t="str">
        <x:v>GOVERN, MEASURE</x:v>
      </x:c>
      <x:c r="H32" s="158" t="str">
        <x:v>Accountability and conformity evidence.</x:v>
      </x:c>
      <x:c r="I32" s="158" t="str">
        <x:v>Internal audit, management review and corrective action.</x:v>
      </x:c>
      <x:c r="J32" s="115" t="str">
        <x:v>Unity Catalog/system-table exports and evidence links.</x:v>
      </x:c>
      <x:c r="K32" s="115" t="str">
        <x:v>Foundry/Purview/Defender exports and evidence links.</x:v>
      </x:c>
      <x:c r="L32" s="115" t="str">
        <x:v>Audit Manager, Config, CloudTrail and AI artifacts.</x:v>
      </x:c>
      <x:c r="M32" s="115" t="str">
        <x:v>Cloud Audit Logs, SCC, Assured Workloads and AI artifacts.</x:v>
      </x:c>
      <x:c r="N32" s="157" t="str">
        <x:v>Every control has evidence period, owner, source, sample, finding, action and closure status.</x:v>
      </x:c>
      <x:c r="O32" s="115" t="str">
        <x:v>https://www.iso.org/standard/42001</x:v>
      </x:c>
      <x:c r="P32" s="115" t="str">
        <x:v>2026-07-12</x:v>
      </x:c>
    </x:row>
  </x:sheetData>
  <x:mergeCells>
    <x:mergeCell ref="A1:P1"/>
    <x:mergeCell ref="A2:P2"/>
  </x:mergeCells>
  <x:pageMargins left="0.7" right="0.7" top="0.75" bottom="0.75" header="0.3" footer="0.3"/>
  <x:tableParts count="1">
    <x:tablePart xmlns:r="http://schemas.openxmlformats.org/officeDocument/2006/relationships" r:id="Rc25c26c8a95f44b4"/>
  </x:tableParts>
</x:worksheet>
</file>

<file path=xl/worksheets/sheet22.xml><?xml version="1.0" encoding="utf-8"?>
<x:worksheet xmlns:x="http://schemas.openxmlformats.org/spreadsheetml/2006/main">
  <x:sheetFormatPr defaultRowHeight="15"/>
  <x:cols>
    <x:col min="1" max="1" width="23" hidden="0" customWidth="1"/>
    <x:col min="2" max="2" width="36" hidden="0" customWidth="1"/>
    <x:col min="3" max="3" width="48" hidden="0" customWidth="1"/>
    <x:col min="4" max="4" width="48" hidden="0" customWidth="1"/>
    <x:col min="5" max="5" width="42" hidden="0" customWidth="1"/>
    <x:col min="6" max="6" width="40" hidden="0" customWidth="1"/>
    <x:col min="7" max="7" width="30" hidden="0" customWidth="1"/>
    <x:col min="8" max="8" width="42" hidden="0" customWidth="1"/>
    <x:col min="9" max="9" width="44" hidden="0" customWidth="1"/>
    <x:col min="10" max="10" width="44" hidden="0" customWidth="1"/>
    <x:col min="11" max="11" width="42" hidden="0" customWidth="1"/>
    <x:col min="12" max="12" width="54" hidden="0" customWidth="1"/>
    <x:col min="13" max="13" width="16" hidden="0" customWidth="1"/>
    <x:col min="14" max="14" width="22" hidden="0" customWidth="1"/>
    <x:col min="15" max="15" width="62" hidden="0" customWidth="1"/>
    <x:col min="16" max="16" width="14" hidden="0" customWidth="1"/>
    <x:col min="17" max="17" width="48" hidden="0" customWidth="1"/>
    <x:col min="18" max="18" width="70" hidden="0" customWidth="1"/>
    <x:col min="19" max="19" width="14" hidden="0" customWidth="1"/>
  </x:cols>
  <x:sheetData>
    <x:row r="1" ht="30" customHeight="1">
      <x:c r="A1" s="144" t="str">
        <x:v>SQL, NoSQL and Purpose-Built Database Decision Matrix</x:v>
      </x:c>
      <x:c r="B1" s="144"/>
      <x:c r="C1" s="144"/>
      <x:c r="D1" s="144"/>
      <x:c r="E1" s="144"/>
      <x:c r="F1" s="144"/>
      <x:c r="G1" s="144"/>
      <x:c r="H1" s="144"/>
      <x:c r="I1" s="144"/>
      <x:c r="J1" s="144"/>
      <x:c r="K1" s="144"/>
      <x:c r="L1" s="144"/>
      <x:c r="M1" s="144"/>
      <x:c r="N1" s="144"/>
      <x:c r="O1" s="144"/>
      <x:c r="P1" s="144"/>
      <x:c r="Q1" s="144"/>
      <x:c r="R1" s="144"/>
      <x:c r="S1" s="144"/>
    </x:row>
    <x:row r="2" ht="40" customHeight="1">
      <x:c r="A2" s="148" t="str">
        <x:v>Select the data model from access patterns, transaction needs, consistency, scale and governance before comparing provider products. Includes operational SQL, NoSQL, vector, graph, cache, ledger and analytical stores.</x:v>
      </x:c>
      <x:c r="B2" s="148"/>
      <x:c r="C2" s="148"/>
      <x:c r="D2" s="148"/>
      <x:c r="E2" s="148"/>
      <x:c r="F2" s="148"/>
      <x:c r="G2" s="148"/>
      <x:c r="H2" s="148"/>
      <x:c r="I2" s="148"/>
      <x:c r="J2" s="148"/>
      <x:c r="K2" s="148"/>
      <x:c r="L2" s="148"/>
      <x:c r="M2" s="148"/>
      <x:c r="N2" s="148"/>
      <x:c r="O2" s="148"/>
      <x:c r="P2" s="148"/>
      <x:c r="Q2" s="148"/>
      <x:c r="R2" s="148"/>
      <x:c r="S2" s="148"/>
    </x:row>
    <x:row r="4" ht="38" customHeight="1">
      <x:c r="A4" s="154" t="str">
        <x:v>Data-store family</x:v>
      </x:c>
      <x:c r="B4" s="154" t="str">
        <x:v>Database model / capability</x:v>
      </x:c>
      <x:c r="C4" s="154" t="str">
        <x:v>Use when</x:v>
      </x:c>
      <x:c r="D4" s="154" t="str">
        <x:v>Avoid when</x:v>
      </x:c>
      <x:c r="E4" s="154" t="str">
        <x:v>Transaction and consistency profile</x:v>
      </x:c>
      <x:c r="F4" s="154" t="str">
        <x:v>Primary access pattern</x:v>
      </x:c>
      <x:c r="G4" s="154" t="str">
        <x:v>Scale pattern</x:v>
      </x:c>
      <x:c r="H4" s="154" t="str">
        <x:v>AWS services</x:v>
      </x:c>
      <x:c r="I4" s="154" t="str">
        <x:v>Microsoft Azure services</x:v>
      </x:c>
      <x:c r="J4" s="154" t="str">
        <x:v>Google Cloud services</x:v>
      </x:c>
      <x:c r="K4" s="154" t="str">
        <x:v>Vector / AI capability</x:v>
      </x:c>
      <x:c r="L4" s="154" t="str">
        <x:v>Governance and security focus</x:v>
      </x:c>
      <x:c r="M4" s="154" t="str">
        <x:v>Relative ease</x:v>
      </x:c>
      <x:c r="N4" s="154" t="str">
        <x:v>Portability / lock-in</x:v>
      </x:c>
      <x:c r="O4" s="154" t="str">
        <x:v>Solution-engineer decision rule</x:v>
      </x:c>
      <x:c r="P4" s="154" t="str">
        <x:v>Equivalence</x:v>
      </x:c>
      <x:c r="Q4" s="154" t="str">
        <x:v>Important lifecycle note</x:v>
      </x:c>
      <x:c r="R4" s="154" t="str">
        <x:v>Primary official source</x:v>
      </x:c>
      <x:c r="S4" s="154" t="str">
        <x:v>Verified date</x:v>
      </x:c>
    </x:row>
    <x:row r="5">
      <x:c r="A5" s="155" t="str">
        <x:v>Operational SQL</x:v>
      </x:c>
      <x:c r="B5" s="156" t="str">
        <x:v>General managed relational database</x:v>
      </x:c>
      <x:c r="C5" s="115" t="str">
        <x:v>You need ACID transactions, joins, constraints and standard relational engines.</x:v>
      </x:c>
      <x:c r="D5" s="115" t="str">
        <x:v>The workload needs extreme horizontal/global scale or highly flexible schema.</x:v>
      </x:c>
      <x:c r="E5" s="115" t="str">
        <x:v>Strong ACID transactions; engine-specific isolation and replication.</x:v>
      </x:c>
      <x:c r="F5" s="115" t="str">
        <x:v>SQL queries, joins, indexed transactions and reporting.</x:v>
      </x:c>
      <x:c r="G5" s="115" t="str">
        <x:v>Vertical scale, read replicas and managed HA; horizontal scale depends on engine.</x:v>
      </x:c>
      <x:c r="H5" s="115" t="str">
        <x:v>Amazon RDS for PostgreSQL, MySQL, MariaDB, SQL Server, Oracle and Db2.</x:v>
      </x:c>
      <x:c r="I5" s="115" t="str">
        <x:v>Azure SQL Database; Azure SQL Managed Instance; Azure Database for PostgreSQL; Azure Database for MySQL.</x:v>
      </x:c>
      <x:c r="J5" s="115" t="str">
        <x:v>Cloud SQL for PostgreSQL, MySQL and SQL Server.</x:v>
      </x:c>
      <x:c r="K5" s="115" t="str">
        <x:v>pgvector and engine extensions where supported; connect to AI platforms.</x:v>
      </x:c>
      <x:c r="L5" s="115" t="str">
        <x:v>Private networking, encryption, backups, audit logs, row/column security and database identity.</x:v>
      </x:c>
      <x:c r="M5" s="115" t="str">
        <x:v>Easy–Moderate</x:v>
      </x:c>
      <x:c r="N5" s="115" t="str">
        <x:v>Medium; engine compatibility improves portability.</x:v>
      </x:c>
      <x:c r="O5" s="159" t="str">
        <x:v>Start with managed relational SQL unless access patterns clearly require a purpose-built NoSQL or distributed database.</x:v>
      </x:c>
      <x:c r="P5" s="115" t="str">
        <x:v>Close</x:v>
      </x:c>
      <x:c r="Q5" s="157" t="str">
        <x:v>Engine features, versions and HA models differ by provider.</x:v>
      </x:c>
      <x:c r="R5" s="115" t="str">
        <x:v>https://learn.microsoft.com/en-us/azure/architecture/data-guide/technology-choices/understand-data-store-models</x:v>
      </x:c>
      <x:c r="S5" s="115" t="str">
        <x:v>2026-07-12</x:v>
      </x:c>
    </x:row>
    <x:row r="6">
      <x:c r="A6" s="155" t="str">
        <x:v>Operational SQL</x:v>
      </x:c>
      <x:c r="B6" s="156" t="str">
        <x:v>Cloud-native relational database</x:v>
      </x:c>
      <x:c r="C6" s="115" t="str">
        <x:v>You want managed relational semantics with cloud-native replication, storage and scaling.</x:v>
      </x:c>
      <x:c r="D6" s="115" t="str">
        <x:v>You need exact portability to a self-managed engine or simple low-scale workloads.</x:v>
      </x:c>
      <x:c r="E6" s="115" t="str">
        <x:v>ACID with provider-specific distributed storage and HA architecture.</x:v>
      </x:c>
      <x:c r="F6" s="115" t="str">
        <x:v>Transactional SQL with high availability and read scaling.</x:v>
      </x:c>
      <x:c r="G6" s="115" t="str">
        <x:v>Storage/compute separation, replicas and provider-specific scaling.</x:v>
      </x:c>
      <x:c r="H6" s="115" t="str">
        <x:v>Amazon Aurora MySQL-Compatible and Aurora PostgreSQL-Compatible.</x:v>
      </x:c>
      <x:c r="I6" s="115" t="str">
        <x:v>Azure SQL Database and Hyperscale; Azure Database for PostgreSQL for open-source workloads.</x:v>
      </x:c>
      <x:c r="J6" s="115" t="str">
        <x:v>AlloyDB for PostgreSQL; Spanner for distributed/global requirements.</x:v>
      </x:c>
      <x:c r="K6" s="115" t="str">
        <x:v>Aurora/AlloyDB/PostgreSQL vector extensions; Azure SQL/PostgreSQL vector capabilities.</x:v>
      </x:c>
      <x:c r="L6" s="115" t="str">
        <x:v>Provider-managed HA, encryption, backups, auditing and private endpoints.</x:v>
      </x:c>
      <x:c r="M6" s="115" t="str">
        <x:v>Moderate</x:v>
      </x:c>
      <x:c r="N6" s="115" t="str">
        <x:v>Medium–High; cloud-native features increase lock-in.</x:v>
      </x:c>
      <x:c r="O6" s="159" t="str">
        <x:v>Choose when availability, performance or operational simplicity justify deeper provider coupling.</x:v>
      </x:c>
      <x:c r="P6" s="115" t="str">
        <x:v>Close</x:v>
      </x:c>
      <x:c r="Q6" s="157" t="str">
        <x:v>No single exact feature-equivalent trio; benchmark the actual workload.</x:v>
      </x:c>
      <x:c r="R6" s="115" t="str">
        <x:v>https://docs.cloud.google.com/docs/databases</x:v>
      </x:c>
      <x:c r="S6" s="115" t="str">
        <x:v>2026-07-12</x:v>
      </x:c>
    </x:row>
    <x:row r="7">
      <x:c r="A7" s="155" t="str">
        <x:v>Operational SQL</x:v>
      </x:c>
      <x:c r="B7" s="156" t="str">
        <x:v>PostgreSQL-compatible operational database</x:v>
      </x:c>
      <x:c r="C7" s="115" t="str">
        <x:v>You want PostgreSQL ecosystem, extensions and relational transactions.</x:v>
      </x:c>
      <x:c r="D7" s="115" t="str">
        <x:v>You rely on unsupported extensions or require full superuser/OS control.</x:v>
      </x:c>
      <x:c r="E7" s="115" t="str">
        <x:v>Strong ACID transactions using PostgreSQL semantics.</x:v>
      </x:c>
      <x:c r="F7" s="115" t="str">
        <x:v>OLTP, JSONB, geospatial, vector and mixed application queries.</x:v>
      </x:c>
      <x:c r="G7" s="115" t="str">
        <x:v>Single primary with replicas, sharding/scale-out options depending on service.</x:v>
      </x:c>
      <x:c r="H7" s="115" t="str">
        <x:v>Amazon RDS for PostgreSQL; Amazon Aurora PostgreSQL-Compatible.</x:v>
      </x:c>
      <x:c r="I7" s="115" t="str">
        <x:v>Azure Database for PostgreSQL.</x:v>
      </x:c>
      <x:c r="J7" s="115" t="str">
        <x:v>Cloud SQL for PostgreSQL; AlloyDB for PostgreSQL.</x:v>
      </x:c>
      <x:c r="K7" s="115" t="str">
        <x:v>pgvector/AI integrations; AlloyDB AI and provider embedding integrations.</x:v>
      </x:c>
      <x:c r="L7" s="115" t="str">
        <x:v>Extension allowlist, network isolation, encryption, audit and privileged-access design.</x:v>
      </x:c>
      <x:c r="M7" s="115" t="str">
        <x:v>Moderate</x:v>
      </x:c>
      <x:c r="N7" s="115" t="str">
        <x:v>Low–Medium; PostgreSQL compatibility supports migration, but managed features differ.</x:v>
      </x:c>
      <x:c r="O7" s="159" t="str">
        <x:v>Use PostgreSQL as the default relational engine when open ecosystem and portability matter.</x:v>
      </x:c>
      <x:c r="P7" s="115" t="str">
        <x:v>Close</x:v>
      </x:c>
      <x:c r="Q7" s="157" t="str">
        <x:v>Extension, replication, maintenance and performance behavior differ.</x:v>
      </x:c>
      <x:c r="R7" s="115" t="str">
        <x:v>https://learn.microsoft.com/en-us/azure/architecture/data-guide/technology-choices/understand-data-store-models</x:v>
      </x:c>
      <x:c r="S7" s="115" t="str">
        <x:v>2026-07-12</x:v>
      </x:c>
    </x:row>
    <x:row r="8">
      <x:c r="A8" s="155" t="str">
        <x:v>Operational SQL</x:v>
      </x:c>
      <x:c r="B8" s="156" t="str">
        <x:v>MySQL-compatible operational database</x:v>
      </x:c>
      <x:c r="C8" s="115" t="str">
        <x:v>You need a common open-source engine for web and transactional applications.</x:v>
      </x:c>
      <x:c r="D8" s="115" t="str">
        <x:v>You need advanced distributed SQL semantics or PostgreSQL-specific extensions.</x:v>
      </x:c>
      <x:c r="E8" s="115" t="str">
        <x:v>ACID transactions with MySQL engine behavior.</x:v>
      </x:c>
      <x:c r="F8" s="115" t="str">
        <x:v>OLTP, indexed reads/writes and web application data.</x:v>
      </x:c>
      <x:c r="G8" s="115" t="str">
        <x:v>Managed HA, replicas and cloud-native variants.</x:v>
      </x:c>
      <x:c r="H8" s="115" t="str">
        <x:v>Amazon RDS for MySQL; Amazon Aurora MySQL-Compatible.</x:v>
      </x:c>
      <x:c r="I8" s="115" t="str">
        <x:v>Azure Database for MySQL.</x:v>
      </x:c>
      <x:c r="J8" s="115" t="str">
        <x:v>Cloud SQL for MySQL.</x:v>
      </x:c>
      <x:c r="K8" s="115" t="str">
        <x:v>Application-level embeddings/vector integration; fewer native AI extensions than PostgreSQL.</x:v>
      </x:c>
      <x:c r="L8" s="115" t="str">
        <x:v>Backups, encryption, audit, private network and version compatibility.</x:v>
      </x:c>
      <x:c r="M8" s="115" t="str">
        <x:v>Easy–Moderate</x:v>
      </x:c>
      <x:c r="N8" s="115" t="str">
        <x:v>Low–Medium with standard MySQL; higher for Aurora-specific features.</x:v>
      </x:c>
      <x:c r="O8" s="159" t="str">
        <x:v>Choose for MySQL-compatible workloads; do not migrate engines without measurable business value.</x:v>
      </x:c>
      <x:c r="P8" s="115" t="str">
        <x:v>Exact</x:v>
      </x:c>
      <x:c r="Q8" s="157" t="str">
        <x:v>Cloud-native variants and supported versions still differ.</x:v>
      </x:c>
      <x:c r="R8" s="115" t="str">
        <x:v>https://learn.microsoft.com/en-us/azure/architecture/data-guide/technology-choices/understand-data-store-models</x:v>
      </x:c>
      <x:c r="S8" s="115" t="str">
        <x:v>2026-07-12</x:v>
      </x:c>
    </x:row>
    <x:row r="9">
      <x:c r="A9" s="155" t="str">
        <x:v>Operational SQL</x:v>
      </x:c>
      <x:c r="B9" s="156" t="str">
        <x:v>SQL Server platform</x:v>
      </x:c>
      <x:c r="C9" s="115" t="str">
        <x:v>You need Microsoft SQL Server compatibility, T-SQL, enterprise tooling or lift-and-shift.</x:v>
      </x:c>
      <x:c r="D9" s="115" t="str">
        <x:v>You want open-source portability or do not need SQL Server-specific features/licensing.</x:v>
      </x:c>
      <x:c r="E9" s="115" t="str">
        <x:v>Strong ACID and SQL Server transaction semantics.</x:v>
      </x:c>
      <x:c r="F9" s="115" t="str">
        <x:v>T-SQL, stored procedures, enterprise applications and reporting.</x:v>
      </x:c>
      <x:c r="G9" s="115" t="str">
        <x:v>Managed database, managed instance or VM depending on compatibility.</x:v>
      </x:c>
      <x:c r="H9" s="115" t="str">
        <x:v>Amazon RDS for SQL Server; SQL Server on Amazon EC2.</x:v>
      </x:c>
      <x:c r="I9" s="115" t="str">
        <x:v>Azure SQL Database; Azure SQL Managed Instance; SQL Server on Azure VMs; SQL Database in Microsoft Fabric.</x:v>
      </x:c>
      <x:c r="J9" s="115" t="str">
        <x:v>Cloud SQL for SQL Server; SQL Server on Compute Engine.</x:v>
      </x:c>
      <x:c r="K9" s="115" t="str">
        <x:v>Azure has the deepest Microsoft data/AI/Fabric integration.</x:v>
      </x:c>
      <x:c r="L9" s="115" t="str">
        <x:v>Licence rights, TDE, Entra/AD integration, auditing, backup and HA.</x:v>
      </x:c>
      <x:c r="M9" s="115" t="str">
        <x:v>Moderate</x:v>
      </x:c>
      <x:c r="N9" s="115" t="str">
        <x:v>High engine portability but licensing and Microsoft integration influence platform choice.</x:v>
      </x:c>
      <x:c r="O9" s="159" t="str">
        <x:v>Azure is usually first evaluation for Microsoft estates; use RDS/Cloud SQL when strategic-cloud alignment outweighs native Microsoft integration.</x:v>
      </x:c>
      <x:c r="P9" s="115" t="str">
        <x:v>Close</x:v>
      </x:c>
      <x:c r="Q9" s="157" t="str">
        <x:v>Azure offers the broadest SQL Server operating models.</x:v>
      </x:c>
      <x:c r="R9" s="115" t="str">
        <x:v>https://learn.microsoft.com/en-us/azure/architecture/data-guide/technology-choices/understand-data-store-models</x:v>
      </x:c>
      <x:c r="S9" s="115" t="str">
        <x:v>2026-07-12</x:v>
      </x:c>
    </x:row>
    <x:row r="10">
      <x:c r="A10" s="155" t="str">
        <x:v>Operational SQL</x:v>
      </x:c>
      <x:c r="B10" s="156" t="str">
        <x:v>Oracle database workloads</x:v>
      </x:c>
      <x:c r="C10" s="115" t="str">
        <x:v>You need Oracle compatibility for packaged or legacy enterprise systems.</x:v>
      </x:c>
      <x:c r="D10" s="115" t="str">
        <x:v>You can modernize to an open engine without unacceptable application risk.</x:v>
      </x:c>
      <x:c r="E10" s="115" t="str">
        <x:v>Oracle ACID semantics and enterprise features.</x:v>
      </x:c>
      <x:c r="F10" s="115" t="str">
        <x:v>Oracle SQL/PLSQL, packaged applications and enterprise transactions.</x:v>
      </x:c>
      <x:c r="G10" s="115" t="str">
        <x:v>Managed service or dedicated Oracle cloud infrastructure integrated with hyperscaler.</x:v>
      </x:c>
      <x:c r="H10" s="115" t="str">
        <x:v>Amazon RDS for Oracle; Oracle Database@AWS; Oracle on EC2.</x:v>
      </x:c>
      <x:c r="I10" s="115" t="str">
        <x:v>Oracle Database@Azure; Oracle on Azure VMs.</x:v>
      </x:c>
      <x:c r="J10" s="115" t="str">
        <x:v>Oracle Database@Google Cloud; Oracle on Compute Engine.</x:v>
      </x:c>
      <x:c r="K10" s="115" t="str">
        <x:v>Oracle AI/vector features depend on Oracle offering; integrate with cloud AI services.</x:v>
      </x:c>
      <x:c r="L10" s="115" t="str">
        <x:v>Licensing, support boundaries, network, encryption, backup and vendor responsibility.</x:v>
      </x:c>
      <x:c r="M10" s="115" t="str">
        <x:v>Advanced</x:v>
      </x:c>
      <x:c r="N10" s="115" t="str">
        <x:v>High commercial and technical lock-in.</x:v>
      </x:c>
      <x:c r="O10" s="159" t="str">
        <x:v>Prefer replatform only when compatibility and business risk justify Oracle; distinguish hyperscaler hosting from Oracle-managed database service.</x:v>
      </x:c>
      <x:c r="P10" s="115" t="str">
        <x:v>Close</x:v>
      </x:c>
      <x:c r="Q10" s="157" t="str">
        <x:v>Commercial availability and region coverage require validation.</x:v>
      </x:c>
      <x:c r="R10" s="115" t="str">
        <x:v>https://docs.cloud.google.com/docs/databases</x:v>
      </x:c>
      <x:c r="S10" s="115" t="str">
        <x:v>2026-07-12</x:v>
      </x:c>
    </x:row>
    <x:row r="11">
      <x:c r="A11" s="155" t="str">
        <x:v>Operational SQL</x:v>
      </x:c>
      <x:c r="B11" s="156" t="str">
        <x:v>IBM Db2 workloads</x:v>
      </x:c>
      <x:c r="C11" s="115" t="str">
        <x:v>You need Db2 compatibility for existing enterprise workloads.</x:v>
      </x:c>
      <x:c r="D11" s="115" t="str">
        <x:v>You can modernize to another engine without business risk.</x:v>
      </x:c>
      <x:c r="E11" s="115" t="str">
        <x:v>Db2 transactional semantics.</x:v>
      </x:c>
      <x:c r="F11" s="115" t="str">
        <x:v>Db2 SQL and enterprise application access.</x:v>
      </x:c>
      <x:c r="G11" s="115" t="str">
        <x:v>Managed AWS option or partner/self-managed deployments elsewhere.</x:v>
      </x:c>
      <x:c r="H11" s="115" t="str">
        <x:v>Amazon RDS for Db2; Db2 on Amazon EC2.</x:v>
      </x:c>
      <x:c r="I11" s="115" t="str">
        <x:v>IBM Db2 on Azure or Azure VMs.</x:v>
      </x:c>
      <x:c r="J11" s="115" t="str">
        <x:v>IBM Db2 on Google Cloud / Compute Engine.</x:v>
      </x:c>
      <x:c r="K11" s="115" t="str">
        <x:v>External AI integration.</x:v>
      </x:c>
      <x:c r="L11" s="115" t="str">
        <x:v>Licensing, supported editions, migration tools, backup and vendor support.</x:v>
      </x:c>
      <x:c r="M11" s="115" t="str">
        <x:v>Advanced</x:v>
      </x:c>
      <x:c r="N11" s="115" t="str">
        <x:v>High engine/vendor lock-in.</x:v>
      </x:c>
      <x:c r="O11" s="159" t="str">
        <x:v>Use where Db2 compatibility is mandatory; otherwise assess modernization economics.</x:v>
      </x:c>
      <x:c r="P11" s="115" t="str">
        <x:v>Partial</x:v>
      </x:c>
      <x:c r="Q11" s="157" t="str">
        <x:v>AWS has a direct managed RDS option; Azure/GCP are generally IBM/VM-led.</x:v>
      </x:c>
      <x:c r="R11" s="115" t="str">
        <x:v>https://docs.aws.amazon.com/whitepapers/latest/aws-overview/database.html</x:v>
      </x:c>
      <x:c r="S11" s="115" t="str">
        <x:v>2026-07-12</x:v>
      </x:c>
    </x:row>
    <x:row r="12">
      <x:c r="A12" s="155" t="str">
        <x:v>Distributed SQL</x:v>
      </x:c>
      <x:c r="B12" s="156" t="str">
        <x:v>Globally distributed relational SQL</x:v>
      </x:c>
      <x:c r="C12" s="115" t="str">
        <x:v>You need strong consistency, horizontal scale and multi-region resilience for mission-critical transactions.</x:v>
      </x:c>
      <x:c r="D12" s="115" t="str">
        <x:v>A regional managed relational database meets requirements; distributed SQL adds cost and design complexity.</x:v>
      </x:c>
      <x:c r="E12" s="115" t="str">
        <x:v>Strong transactions across distributed data; exact semantics vary.</x:v>
      </x:c>
      <x:c r="F12" s="115" t="str">
        <x:v>Global OLTP, high availability, relational queries and cross-region access.</x:v>
      </x:c>
      <x:c r="G12" s="115" t="str">
        <x:v>Horizontal partitioning and synchronous/distributed replication.</x:v>
      </x:c>
      <x:c r="H12" s="115" t="str">
        <x:v>Amazon Aurora DSQL.</x:v>
      </x:c>
      <x:c r="I12" s="115" t="str">
        <x:v>Azure SQL Database Hyperscale and distributed application patterns; no identical global distributed SQL equivalent.</x:v>
      </x:c>
      <x:c r="J12" s="115" t="str">
        <x:v>Spanner.</x:v>
      </x:c>
      <x:c r="K12" s="115" t="str">
        <x:v>Spanner supports relational, graph, key-value and search features; AI integration and vector capabilities.</x:v>
      </x:c>
      <x:c r="L12" s="115" t="str">
        <x:v>Region topology, consistency, quorum behavior, data residency and failover testing.</x:v>
      </x:c>
      <x:c r="M12" s="115" t="str">
        <x:v>Advanced</x:v>
      </x:c>
      <x:c r="N12" s="115" t="str">
        <x:v>High provider-specific lock-in.</x:v>
      </x:c>
      <x:c r="O12" s="159" t="str">
        <x:v>Only select distributed SQL after proving regional relational databases cannot meet scale, availability or geography requirements.</x:v>
      </x:c>
      <x:c r="P12" s="115" t="str">
        <x:v>Partial</x:v>
      </x:c>
      <x:c r="Q12" s="157" t="str">
        <x:v>Spanner is the most established direct global-distributed SQL service; alternatives differ materially.</x:v>
      </x:c>
      <x:c r="R12" s="115" t="str">
        <x:v>https://docs.cloud.google.com/spanner/docs</x:v>
      </x:c>
      <x:c r="S12" s="115" t="str">
        <x:v>2026-07-12</x:v>
      </x:c>
    </x:row>
    <x:row r="13">
      <x:c r="A13" s="155" t="str">
        <x:v>Operational SQL</x:v>
      </x:c>
      <x:c r="B13" s="156" t="str">
        <x:v>Serverless / auto-scaling relational</x:v>
      </x:c>
      <x:c r="C13" s="115" t="str">
        <x:v>Workload demand is variable and you want automated capacity management.</x:v>
      </x:c>
      <x:c r="D13" s="115" t="str">
        <x:v>You need fixed predictable latency, sustained high utilization or engine features not available in serverless tiers.</x:v>
      </x:c>
      <x:c r="E13" s="115" t="str">
        <x:v>Standard relational transactions; capacity behavior is service-specific.</x:v>
      </x:c>
      <x:c r="F13" s="115" t="str">
        <x:v>Intermittent OLTP, development, SaaS tenants and variable workloads.</x:v>
      </x:c>
      <x:c r="G13" s="115" t="str">
        <x:v>Pause/resume or fine-grained scaling depending on service.</x:v>
      </x:c>
      <x:c r="H13" s="115" t="str">
        <x:v>Aurora Serverless v2; RDS Proxy for connection management.</x:v>
      </x:c>
      <x:c r="I13" s="115" t="str">
        <x:v>Azure SQL Database serverless.</x:v>
      </x:c>
      <x:c r="J13" s="115" t="str">
        <x:v>Spanner autoscaling or AlloyDB/Cloud SQL managed scaling patterns; no exact Cloud SQL serverless equivalent.</x:v>
      </x:c>
      <x:c r="K13" s="115" t="str">
        <x:v>Same engine vector/AI options as underlying service.</x:v>
      </x:c>
      <x:c r="L13" s="115" t="str">
        <x:v>Cold starts, min/max capacity, connection limits, cost floors and quota.</x:v>
      </x:c>
      <x:c r="M13" s="115" t="str">
        <x:v>Easy–Moderate</x:v>
      </x:c>
      <x:c r="N13" s="115" t="str">
        <x:v>Medium–High due service-specific scaling model.</x:v>
      </x:c>
      <x:c r="O13" s="159" t="str">
        <x:v>Use when measured utilization variability creates real savings without violating latency objectives.</x:v>
      </x:c>
      <x:c r="P13" s="115" t="str">
        <x:v>Partial</x:v>
      </x:c>
      <x:c r="Q13" s="157" t="str">
        <x:v>Serverless behavior is not directly equivalent.</x:v>
      </x:c>
      <x:c r="R13" s="115" t="str">
        <x:v>https://learn.microsoft.com/en-us/azure/architecture/data-guide/technology-choices/understand-data-store-models</x:v>
      </x:c>
      <x:c r="S13" s="115" t="str">
        <x:v>2026-07-12</x:v>
      </x:c>
    </x:row>
    <x:row r="14">
      <x:c r="A14" s="155" t="str">
        <x:v>NoSQL</x:v>
      </x:c>
      <x:c r="B14" s="156" t="str">
        <x:v>Key-value database</x:v>
      </x:c>
      <x:c r="C14" s="115" t="str">
        <x:v>You need predictable low-latency access by primary key at very large scale.</x:v>
      </x:c>
      <x:c r="D14" s="115" t="str">
        <x:v>You need joins, complex ad-hoc queries or multi-record relational constraints.</x:v>
      </x:c>
      <x:c r="E14" s="115" t="str">
        <x:v>Atomic item operations; transaction and consistency options vary.</x:v>
      </x:c>
      <x:c r="F14" s="115" t="str">
        <x:v>Get/put by key, counters, sessions, profiles and high-scale state.</x:v>
      </x:c>
      <x:c r="G14" s="115" t="str">
        <x:v>Horizontal partitioning and serverless/provisioned throughput.</x:v>
      </x:c>
      <x:c r="H14" s="115" t="str">
        <x:v>Amazon DynamoDB.</x:v>
      </x:c>
      <x:c r="I14" s="115" t="str">
        <x:v>Azure Cosmos DB for NoSQL or Table; Azure Table Storage for simpler requirements.</x:v>
      </x:c>
      <x:c r="J14" s="115" t="str">
        <x:v>Bigtable for wide-column/key access; Firestore for application documents.</x:v>
      </x:c>
      <x:c r="K14" s="115" t="str">
        <x:v>DynamoDB/OpenSearch integrations; Cosmos/Firestore vector options differ.</x:v>
      </x:c>
      <x:c r="L14" s="115" t="str">
        <x:v>Partition-key design, hot keys, consistency, encryption, backup and fine-grained access.</x:v>
      </x:c>
      <x:c r="M14" s="115" t="str">
        <x:v>Moderate</x:v>
      </x:c>
      <x:c r="N14" s="115" t="str">
        <x:v>High provider lock-in because APIs and data modelling differ.</x:v>
      </x:c>
      <x:c r="O14" s="159" t="str">
        <x:v>Choose only when key-based access dominates; model access patterns before selecting the service.</x:v>
      </x:c>
      <x:c r="P14" s="115" t="str">
        <x:v>Close</x:v>
      </x:c>
      <x:c r="Q14" s="157" t="str">
        <x:v>Bigtable and Firestore serve different subpatterns rather than one exact equivalent.</x:v>
      </x:c>
      <x:c r="R14" s="115" t="str">
        <x:v>https://learn.microsoft.com/en-us/azure/architecture/data-guide/technology-choices/understand-data-store-models</x:v>
      </x:c>
      <x:c r="S14" s="115" t="str">
        <x:v>2026-07-12</x:v>
      </x:c>
    </x:row>
    <x:row r="15">
      <x:c r="A15" s="155" t="str">
        <x:v>NoSQL</x:v>
      </x:c>
      <x:c r="B15" s="156" t="str">
        <x:v>Document database</x:v>
      </x:c>
      <x:c r="C15" s="115" t="str">
        <x:v>You need flexible JSON/BSON-style documents and application-centric aggregates.</x:v>
      </x:c>
      <x:c r="D15" s="115" t="str">
        <x:v>You need complex joins, strict relational constraints or analytics as the primary workload.</x:v>
      </x:c>
      <x:c r="E15" s="115" t="str">
        <x:v>Document-level atomicity; multi-document transactions vary.</x:v>
      </x:c>
      <x:c r="F15" s="115" t="str">
        <x:v>Document lookup, nested data, flexible schema and application APIs.</x:v>
      </x:c>
      <x:c r="G15" s="115" t="str">
        <x:v>Horizontal partitioning with indexes and replicas.</x:v>
      </x:c>
      <x:c r="H15" s="115" t="str">
        <x:v>Amazon DocumentDB; DynamoDB document structures.</x:v>
      </x:c>
      <x:c r="I15" s="115" t="str">
        <x:v>Azure Cosmos DB for NoSQL; Azure DocumentDB.</x:v>
      </x:c>
      <x:c r="J15" s="115" t="str">
        <x:v>Firestore in Native mode; Firestore with MongoDB compatibility.</x:v>
      </x:c>
      <x:c r="K15" s="115" t="str">
        <x:v>Native or integrated vector search on Azure DocumentDB/Cosmos; Firestore and external vector services on GCP.</x:v>
      </x:c>
      <x:c r="L15" s="115" t="str">
        <x:v>Schema governance, index cost, partition keys, document size, consistency and backup.</x:v>
      </x:c>
      <x:c r="M15" s="115" t="str">
        <x:v>Moderate</x:v>
      </x:c>
      <x:c r="N15" s="115" t="str">
        <x:v>Medium–High; compatibility level determines portability.</x:v>
      </x:c>
      <x:c r="O15" s="159" t="str">
        <x:v>Choose document storage when aggregates are retrieved together and schema evolves; avoid treating it as relational SQL without joins.</x:v>
      </x:c>
      <x:c r="P15" s="115" t="str">
        <x:v>Close</x:v>
      </x:c>
      <x:c r="Q15" s="157" t="str">
        <x:v>Mongo-compatible and native document APIs are separate decisions.</x:v>
      </x:c>
      <x:c r="R15" s="115" t="str">
        <x:v>https://learn.microsoft.com/en-us/azure/documentdb/overview</x:v>
      </x:c>
      <x:c r="S15" s="115" t="str">
        <x:v>2026-07-12</x:v>
      </x:c>
    </x:row>
    <x:row r="16">
      <x:c r="A16" s="155" t="str">
        <x:v>NoSQL</x:v>
      </x:c>
      <x:c r="B16" s="156" t="str">
        <x:v>MongoDB-compatible database</x:v>
      </x:c>
      <x:c r="C16" s="115" t="str">
        <x:v>You need MongoDB drivers/tools or migration compatibility.</x:v>
      </x:c>
      <x:c r="D16" s="115" t="str">
        <x:v>You require unsupported MongoDB features or true MongoDB implementation guarantees.</x:v>
      </x:c>
      <x:c r="E16" s="115" t="str">
        <x:v>MongoDB-compatible document transactions and consistency vary by product.</x:v>
      </x:c>
      <x:c r="F16" s="115" t="str">
        <x:v>BSON documents, Mongo query API and flexible indexes.</x:v>
      </x:c>
      <x:c r="G16" s="115" t="str">
        <x:v>Sharding/partitioning and distributed replicas.</x:v>
      </x:c>
      <x:c r="H16" s="115" t="str">
        <x:v>Amazon DocumentDB with MongoDB compatibility.</x:v>
      </x:c>
      <x:c r="I16" s="115" t="str">
        <x:v>Azure DocumentDB; Azure Cosmos DB for MongoDB.</x:v>
      </x:c>
      <x:c r="J16" s="115" t="str">
        <x:v>Firestore with MongoDB compatibility.</x:v>
      </x:c>
      <x:c r="K16" s="115" t="str">
        <x:v>Azure DocumentDB includes vector search; other services can integrate vector search.</x:v>
      </x:c>
      <x:c r="L16" s="115" t="str">
        <x:v>Compatibility percentage, wire protocol, feature gaps, version support and migration tests.</x:v>
      </x:c>
      <x:c r="M16" s="115" t="str">
        <x:v>Moderate</x:v>
      </x:c>
      <x:c r="N16" s="115" t="str">
        <x:v>Medium; compatibility can reduce app changes but does not ensure identical behavior.</x:v>
      </x:c>
      <x:c r="O16" s="159" t="str">
        <x:v>Run compatibility testing with real queries, indexes and drivers before migration approval.</x:v>
      </x:c>
      <x:c r="P16" s="115" t="str">
        <x:v>Close</x:v>
      </x:c>
      <x:c r="Q16" s="157" t="str">
        <x:v>All are compatible services, not necessarily identical MongoDB implementations.</x:v>
      </x:c>
      <x:c r="R16" s="115" t="str">
        <x:v>https://learn.microsoft.com/en-us/azure/documentdb/overview</x:v>
      </x:c>
      <x:c r="S16" s="115" t="str">
        <x:v>2026-07-12</x:v>
      </x:c>
    </x:row>
    <x:row r="17">
      <x:c r="A17" s="155" t="str">
        <x:v>NoSQL</x:v>
      </x:c>
      <x:c r="B17" s="156" t="str">
        <x:v>Wide-column database</x:v>
      </x:c>
      <x:c r="C17" s="115" t="str">
        <x:v>You need huge sparse tables, predictable key/range access and very high throughput.</x:v>
      </x:c>
      <x:c r="D17" s="115" t="str">
        <x:v>You need joins, rich transactions or flexible secondary querying.</x:v>
      </x:c>
      <x:c r="E17" s="115" t="str">
        <x:v>Row/partition-level consistency and limited transaction scope.</x:v>
      </x:c>
      <x:c r="F17" s="115" t="str">
        <x:v>Partition key plus column/range scans; telemetry and large operational datasets.</x:v>
      </x:c>
      <x:c r="G17" s="115" t="str">
        <x:v>Horizontal scale across nodes/regions.</x:v>
      </x:c>
      <x:c r="H17" s="115" t="str">
        <x:v>Amazon Keyspaces for Apache Cassandra; DynamoDB for key-value alternatives.</x:v>
      </x:c>
      <x:c r="I17" s="115" t="str">
        <x:v>Azure Managed Instance for Apache Cassandra; Cosmos DB Cassandra API; HBase on HDInsight.</x:v>
      </x:c>
      <x:c r="J17" s="115" t="str">
        <x:v>Bigtable.</x:v>
      </x:c>
      <x:c r="K17" s="115" t="str">
        <x:v>Bigtable/Keyspaces can support ML feature and operational data patterns; vector search usually separate.</x:v>
      </x:c>
      <x:c r="L17" s="115" t="str">
        <x:v>Partition design, compaction, consistency, replication and hotspot management.</x:v>
      </x:c>
      <x:c r="M17" s="115" t="str">
        <x:v>Advanced</x:v>
      </x:c>
      <x:c r="N17" s="115" t="str">
        <x:v>Medium–High; Cassandra compatibility improves portability.</x:v>
      </x:c>
      <x:c r="O17" s="159" t="str">
        <x:v>Use only for access patterns that benefit from wide-column scale; operational complexity is not justified for standard application data.</x:v>
      </x:c>
      <x:c r="P17" s="115" t="str">
        <x:v>Close</x:v>
      </x:c>
      <x:c r="Q17" s="157" t="str">
        <x:v>Bigtable is not Cassandra, while AWS/Azure provide Cassandra-compatible options.</x:v>
      </x:c>
      <x:c r="R17" s="115" t="str">
        <x:v>https://learn.microsoft.com/en-us/azure/architecture/data-guide/technology-choices/understand-data-store-models</x:v>
      </x:c>
      <x:c r="S17" s="115" t="str">
        <x:v>2026-07-12</x:v>
      </x:c>
    </x:row>
    <x:row r="18">
      <x:c r="A18" s="155" t="str">
        <x:v>NoSQL</x:v>
      </x:c>
      <x:c r="B18" s="156" t="str">
        <x:v>Managed Cassandra-compatible database</x:v>
      </x:c>
      <x:c r="C18" s="115" t="str">
        <x:v>You have Cassandra data models, CQL applications or hybrid Cassandra requirements.</x:v>
      </x:c>
      <x:c r="D18" s="115" t="str">
        <x:v>You are designing a new workload without a Cassandra-specific reason.</x:v>
      </x:c>
      <x:c r="E18" s="115" t="str">
        <x:v>Tunable consistency and partition-oriented transactions.</x:v>
      </x:c>
      <x:c r="F18" s="115" t="str">
        <x:v>CQL, partition scans and high-write distributed workloads.</x:v>
      </x:c>
      <x:c r="G18" s="115" t="str">
        <x:v>Horizontal node/partition scaling.</x:v>
      </x:c>
      <x:c r="H18" s="115" t="str">
        <x:v>Amazon Keyspaces for Apache Cassandra.</x:v>
      </x:c>
      <x:c r="I18" s="115" t="str">
        <x:v>Azure Managed Instance for Apache Cassandra; Cosmos DB for Apache Cassandra.</x:v>
      </x:c>
      <x:c r="J18" s="115" t="str">
        <x:v>No direct first-party Cassandra service; Bigtable or partner Cassandra.</x:v>
      </x:c>
      <x:c r="K18" s="115" t="str">
        <x:v>External vector/AI integration.</x:v>
      </x:c>
      <x:c r="L18" s="115" t="str">
        <x:v>CQL compatibility, consistency settings, migration tooling and operational ownership.</x:v>
      </x:c>
      <x:c r="M18" s="115" t="str">
        <x:v>Advanced</x:v>
      </x:c>
      <x:c r="N18" s="115" t="str">
        <x:v>Medium with CQL; provider implementation differences remain.</x:v>
      </x:c>
      <x:c r="O18" s="159" t="str">
        <x:v>For new workloads, compare Cassandra against DynamoDB/Cosmos/Bigtable before accepting its operational model.</x:v>
      </x:c>
      <x:c r="P18" s="115" t="str">
        <x:v>Partial</x:v>
      </x:c>
      <x:c r="Q18" s="157" t="str">
        <x:v>Google Cloud requires a different first-party model or partner product.</x:v>
      </x:c>
      <x:c r="R18" s="115" t="str">
        <x:v>https://docs.cloud.google.com/docs/databases</x:v>
      </x:c>
      <x:c r="S18" s="115" t="str">
        <x:v>2026-07-12</x:v>
      </x:c>
    </x:row>
    <x:row r="19">
      <x:c r="A19" s="155" t="str">
        <x:v>Specialized DB</x:v>
      </x:c>
      <x:c r="B19" s="156" t="str">
        <x:v>Graph database</x:v>
      </x:c>
      <x:c r="C19" s="115" t="str">
        <x:v>Relationships and multi-hop traversal are first-class query requirements.</x:v>
      </x:c>
      <x:c r="D19" s="115" t="str">
        <x:v>Simple parent-child relations or standard joins are sufficient.</x:v>
      </x:c>
      <x:c r="E19" s="115" t="str">
        <x:v>Graph transaction and consistency model depends on engine.</x:v>
      </x:c>
      <x:c r="F19" s="115" t="str">
        <x:v>Traversal, path, neighborhood, fraud, network and knowledge-graph queries.</x:v>
      </x:c>
      <x:c r="G19" s="115" t="str">
        <x:v>Scale by graph partitioning, replicas and specialized execution.</x:v>
      </x:c>
      <x:c r="H19" s="115" t="str">
        <x:v>Amazon Neptune.</x:v>
      </x:c>
      <x:c r="I19" s="115" t="str">
        <x:v>Azure Cosmos DB for Apache Gremlin.</x:v>
      </x:c>
      <x:c r="J19" s="115" t="str">
        <x:v>Spanner Graph.</x:v>
      </x:c>
      <x:c r="K19" s="115" t="str">
        <x:v>GraphRAG and vector-plus-graph retrieval; Spanner Graph supports combined graph/vector patterns.</x:v>
      </x:c>
      <x:c r="L19" s="115" t="str">
        <x:v>Graph model, query language, traversal depth, access control, lineage and explainability.</x:v>
      </x:c>
      <x:c r="M19" s="115" t="str">
        <x:v>Advanced</x:v>
      </x:c>
      <x:c r="N19" s="115" t="str">
        <x:v>High because graph languages and engine behavior differ.</x:v>
      </x:c>
      <x:c r="O19" s="159" t="str">
        <x:v>Choose graph only when relationship traversal is a dominant requirement, not because the data contains relationships.</x:v>
      </x:c>
      <x:c r="P19" s="115" t="str">
        <x:v>Close</x:v>
      </x:c>
      <x:c r="Q19" s="157" t="str">
        <x:v>Gremlin, Neptune engines and Spanner Graph differ in query model and integration.</x:v>
      </x:c>
      <x:c r="R19" s="115" t="str">
        <x:v>https://docs.cloud.google.com/spanner/docs</x:v>
      </x:c>
      <x:c r="S19" s="115" t="str">
        <x:v>2026-07-12</x:v>
      </x:c>
    </x:row>
    <x:row r="20">
      <x:c r="A20" s="155" t="str">
        <x:v>Specialized DB</x:v>
      </x:c>
      <x:c r="B20" s="156" t="str">
        <x:v>Time-series operational database</x:v>
      </x:c>
      <x:c r="C20" s="115" t="str">
        <x:v>You need high-ingest timestamped measurements, retention and time-window queries.</x:v>
      </x:c>
      <x:c r="D20" s="115" t="str">
        <x:v>General relational or analytical storage already meets throughput and query needs.</x:v>
      </x:c>
      <x:c r="E20" s="115" t="str">
        <x:v>Append-heavy data with time-based partitioning; transaction scope is limited.</x:v>
      </x:c>
      <x:c r="F20" s="115" t="str">
        <x:v>Time windows, aggregations, downsampling, telemetry and metrics.</x:v>
      </x:c>
      <x:c r="G20" s="115" t="str">
        <x:v>High ingest with tiering/retention and partitioned queries.</x:v>
      </x:c>
      <x:c r="H20" s="115" t="str">
        <x:v>Amazon Timestream.</x:v>
      </x:c>
      <x:c r="I20" s="115" t="str">
        <x:v>Azure Data Explorer; Eventhouse in Microsoft Fabric; PostgreSQL time-series extensions for mixed OLTP.</x:v>
      </x:c>
      <x:c r="J20" s="115" t="str">
        <x:v>Bigtable or BigQuery depending operational versus analytical access.</x:v>
      </x:c>
      <x:c r="K20" s="115" t="str">
        <x:v>Anomaly detection and ML integration through cloud AI services.</x:v>
      </x:c>
      <x:c r="L20" s="115" t="str">
        <x:v>Retention, downsampling, late-arriving data, schema evolution and regional replication.</x:v>
      </x:c>
      <x:c r="M20" s="115" t="str">
        <x:v>Moderate</x:v>
      </x:c>
      <x:c r="N20" s="115" t="str">
        <x:v>Medium–High; query languages and storage models differ.</x:v>
      </x:c>
      <x:c r="O20" s="159" t="str">
        <x:v>Distinguish operational time-series queries from large-scale analytical telemetry before choosing.</x:v>
      </x:c>
      <x:c r="P20" s="115" t="str">
        <x:v>Partial</x:v>
      </x:c>
      <x:c r="Q20" s="157" t="str">
        <x:v>Azure/GCP commonly use analytical engines rather than a direct Timestream equivalent.</x:v>
      </x:c>
      <x:c r="R20" s="115" t="str">
        <x:v>https://learn.microsoft.com/en-us/azure/architecture/data-guide/technology-choices/understand-data-store-models</x:v>
      </x:c>
      <x:c r="S20" s="115" t="str">
        <x:v>2026-07-12</x:v>
      </x:c>
    </x:row>
    <x:row r="21">
      <x:c r="A21" s="155" t="str">
        <x:v>Specialized DB</x:v>
      </x:c>
      <x:c r="B21" s="156" t="str">
        <x:v>Full-text search and indexing engine</x:v>
      </x:c>
      <x:c r="C21" s="115" t="str">
        <x:v>You need relevance ranking, linguistic analysis, filtering and near-real-time indexing.</x:v>
      </x:c>
      <x:c r="D21" s="115" t="str">
        <x:v>You need a system of record with strong transactions; a search index should not be the primary database.</x:v>
      </x:c>
      <x:c r="E21" s="115" t="str">
        <x:v>Eventual index consistency; source database remains authoritative.</x:v>
      </x:c>
      <x:c r="F21" s="115" t="str">
        <x:v>Full-text, fuzzy, semantic and faceted search.</x:v>
      </x:c>
      <x:c r="G21" s="115" t="str">
        <x:v>Distributed indexes and shards.</x:v>
      </x:c>
      <x:c r="H21" s="115" t="str">
        <x:v>Amazon OpenSearch Service.</x:v>
      </x:c>
      <x:c r="I21" s="115" t="str">
        <x:v>Azure AI Search; Azure Data Explorer for log/text analytics.</x:v>
      </x:c>
      <x:c r="J21" s="115" t="str">
        <x:v>Vertex AI Search for enterprise/AI search; Elastic Cloud or BigQuery for other search/analytics patterns.</x:v>
      </x:c>
      <x:c r="K21" s="115" t="str">
        <x:v>Hybrid keyword/vector search and RAG integration.</x:v>
      </x:c>
      <x:c r="L21" s="115" t="str">
        <x:v>Index pipeline, ACL propagation, data freshness, sensitive content and deletion propagation.</x:v>
      </x:c>
      <x:c r="M21" s="115" t="str">
        <x:v>Moderate</x:v>
      </x:c>
      <x:c r="N21" s="115" t="str">
        <x:v>High API/query-engine lock-in; source data remains portable.</x:v>
      </x:c>
      <x:c r="O21" s="159" t="str">
        <x:v>Treat search as a derived serving index, not the authoritative transactional store.</x:v>
      </x:c>
      <x:c r="P21" s="115" t="str">
        <x:v>Partial</x:v>
      </x:c>
      <x:c r="Q21" s="157" t="str">
        <x:v>The providers target overlapping but not identical search scenarios.</x:v>
      </x:c>
      <x:c r="R21" s="115" t="str">
        <x:v>https://learn.microsoft.com/en-us/azure/architecture/data-guide/technology-choices/understand-data-store-models</x:v>
      </x:c>
      <x:c r="S21" s="115" t="str">
        <x:v>2026-07-12</x:v>
      </x:c>
    </x:row>
    <x:row r="22">
      <x:c r="A22" s="155" t="str">
        <x:v>AI data store</x:v>
      </x:c>
      <x:c r="B22" s="156" t="str">
        <x:v>Managed vector search service</x:v>
      </x:c>
      <x:c r="C22" s="115" t="str">
        <x:v>You need very large-scale approximate nearest-neighbor retrieval with filtering and low latency.</x:v>
      </x:c>
      <x:c r="D22" s="115" t="str">
        <x:v>Vectors are a minor feature of an existing relational/document database and a separate service adds complexity.</x:v>
      </x:c>
      <x:c r="E22" s="115" t="str">
        <x:v>Vector index consistency; metadata filters and update semantics vary.</x:v>
      </x:c>
      <x:c r="F22" s="115" t="str">
        <x:v>Embedding similarity, semantic search, recommendations and RAG.</x:v>
      </x:c>
      <x:c r="G22" s="115" t="str">
        <x:v>Sharded ANN index and managed serving.</x:v>
      </x:c>
      <x:c r="H22" s="115" t="str">
        <x:v>Amazon OpenSearch Service vector engine.</x:v>
      </x:c>
      <x:c r="I22" s="115" t="str">
        <x:v>Azure AI Search vector search.</x:v>
      </x:c>
      <x:c r="J22" s="115" t="str">
        <x:v>Agent Platform Vector Search 2.0.</x:v>
      </x:c>
      <x:c r="K22" s="115" t="str">
        <x:v>Primary function is vector retrieval; integrate with Bedrock/Foundry/Agent Platform.</x:v>
      </x:c>
      <x:c r="L22" s="115" t="str">
        <x:v>Embedding version, index rebuild, metadata ACLs, deletion, evaluation and data residency.</x:v>
      </x:c>
      <x:c r="M22" s="115" t="str">
        <x:v>Moderate–Advanced</x:v>
      </x:c>
      <x:c r="N22" s="115" t="str">
        <x:v>High service/API lock-in.</x:v>
      </x:c>
      <x:c r="O22" s="159" t="str">
        <x:v>Use dedicated vector search only when scale or latency exceeds an existing database's vector capability.</x:v>
      </x:c>
      <x:c r="P22" s="115" t="str">
        <x:v>Exact</x:v>
      </x:c>
      <x:c r="Q22" s="157" t="str">
        <x:v>Index algorithms, filtering and update models differ.</x:v>
      </x:c>
      <x:c r="R22" s="115" t="str">
        <x:v>https://docs.cloud.google.com/docs/databases</x:v>
      </x:c>
      <x:c r="S22" s="115" t="str">
        <x:v>2026-07-12</x:v>
      </x:c>
    </x:row>
    <x:row r="23">
      <x:c r="A23" s="155" t="str">
        <x:v>AI data store</x:v>
      </x:c>
      <x:c r="B23" s="156" t="str">
        <x:v>Vector-enabled relational database</x:v>
      </x:c>
      <x:c r="C23" s="115" t="str">
        <x:v>You need transactions and application data with integrated embedding search.</x:v>
      </x:c>
      <x:c r="D23" s="115" t="str">
        <x:v>Vector workloads are extremely large or need specialized ANN serving.</x:v>
      </x:c>
      <x:c r="E23" s="115" t="str">
        <x:v>Relational ACID plus vector-index behavior.</x:v>
      </x:c>
      <x:c r="F23" s="115" t="str">
        <x:v>SQL filters/joins combined with similarity search.</x:v>
      </x:c>
      <x:c r="G23" s="115" t="str">
        <x:v>Relational scaling with vector indexes.</x:v>
      </x:c>
      <x:c r="H23" s="115" t="str">
        <x:v>Aurora PostgreSQL/RDS PostgreSQL with pgvector.</x:v>
      </x:c>
      <x:c r="I23" s="115" t="str">
        <x:v>Azure Database for PostgreSQL pgvector; Azure SQL vector capabilities.</x:v>
      </x:c>
      <x:c r="J23" s="115" t="str">
        <x:v>AlloyDB AI; Cloud SQL for PostgreSQL pgvector; Spanner vector capabilities.</x:v>
      </x:c>
      <x:c r="K23" s="115" t="str">
        <x:v>Tight integration with RAG and operational data.</x:v>
      </x:c>
      <x:c r="L23" s="115" t="str">
        <x:v>Embedding lifecycle, index tuning, query plans, row-level access and transactional consistency.</x:v>
      </x:c>
      <x:c r="M23" s="115" t="str">
        <x:v>Moderate</x:v>
      </x:c>
      <x:c r="N23" s="115" t="str">
        <x:v>Low–Medium using PostgreSQL; higher for provider-specific AI features.</x:v>
      </x:c>
      <x:c r="O23" s="159" t="str">
        <x:v>Prefer this pattern when vectors belong to transactional records and scale remains within database capability.</x:v>
      </x:c>
      <x:c r="P23" s="115" t="str">
        <x:v>Close</x:v>
      </x:c>
      <x:c r="Q23" s="157" t="str">
        <x:v>Supported indexes, dimensions and acceleration differ.</x:v>
      </x:c>
      <x:c r="R23" s="115" t="str">
        <x:v>https://docs.cloud.google.com/docs/databases</x:v>
      </x:c>
      <x:c r="S23" s="115" t="str">
        <x:v>2026-07-12</x:v>
      </x:c>
    </x:row>
    <x:row r="24">
      <x:c r="A24" s="155" t="str">
        <x:v>AI data store</x:v>
      </x:c>
      <x:c r="B24" s="156" t="str">
        <x:v>Vector-enabled document database</x:v>
      </x:c>
      <x:c r="C24" s="115" t="str">
        <x:v>You need flexible documents and vector search in one operational store.</x:v>
      </x:c>
      <x:c r="D24" s="115" t="str">
        <x:v>You need complex joins or dedicated large-scale vector serving.</x:v>
      </x:c>
      <x:c r="E24" s="115" t="str">
        <x:v>Document consistency plus vector-index semantics.</x:v>
      </x:c>
      <x:c r="F24" s="115" t="str">
        <x:v>Document filters plus semantic similarity.</x:v>
      </x:c>
      <x:c r="G24" s="115" t="str">
        <x:v>Partitioned document database with vector index.</x:v>
      </x:c>
      <x:c r="H24" s="115" t="str">
        <x:v>Amazon DocumentDB vector search.</x:v>
      </x:c>
      <x:c r="I24" s="115" t="str">
        <x:v>Azure Cosmos DB vector search; Azure DocumentDB vector search.</x:v>
      </x:c>
      <x:c r="J24" s="115" t="str">
        <x:v>Firestore/Spanner alternatives plus Agent Platform Vector Search; verify native document-vector support for the chosen mode.</x:v>
      </x:c>
      <x:c r="K24" s="115" t="str">
        <x:v>RAG and semantic application search.</x:v>
      </x:c>
      <x:c r="L24" s="115" t="str">
        <x:v>Document ACLs, partitioning, vector-index cost, deletion and embedding version.</x:v>
      </x:c>
      <x:c r="M24" s="115" t="str">
        <x:v>Moderate</x:v>
      </x:c>
      <x:c r="N24" s="115" t="str">
        <x:v>Medium–High due API and vector-index differences.</x:v>
      </x:c>
      <x:c r="O24" s="159" t="str">
        <x:v>Select when document and vector access occur together; otherwise decouple operational data and retrieval index.</x:v>
      </x:c>
      <x:c r="P24" s="115" t="str">
        <x:v>Partial</x:v>
      </x:c>
      <x:c r="Q24" s="157" t="str">
        <x:v>Google Cloud design may use separate vector service or Spanner rather than Firestore alone.</x:v>
      </x:c>
      <x:c r="R24" s="115" t="str">
        <x:v>https://learn.microsoft.com/en-us/azure/documentdb/overview</x:v>
      </x:c>
      <x:c r="S24" s="115" t="str">
        <x:v>2026-07-12</x:v>
      </x:c>
    </x:row>
    <x:row r="25">
      <x:c r="A25" s="155" t="str">
        <x:v>In-memory</x:v>
      </x:c>
      <x:c r="B25" s="156" t="str">
        <x:v>Managed Redis / Valkey cache</x:v>
      </x:c>
      <x:c r="C25" s="115" t="str">
        <x:v>You need sub-millisecond cache, sessions, counters, pub/sub or transient state.</x:v>
      </x:c>
      <x:c r="D25" s="115" t="str">
        <x:v>The data must be the sole durable system of record without an appropriate persistence design.</x:v>
      </x:c>
      <x:c r="E25" s="115" t="str">
        <x:v>In-memory operations; durability and replication depend on mode.</x:v>
      </x:c>
      <x:c r="F25" s="115" t="str">
        <x:v>Key-value, data structures, caching, session state and rate limiting.</x:v>
      </x:c>
      <x:c r="G25" s="115" t="str">
        <x:v>Cluster/shard scale with replicas.</x:v>
      </x:c>
      <x:c r="H25" s="115" t="str">
        <x:v>Amazon ElastiCache for Valkey/Redis OSS; Amazon MemoryDB.</x:v>
      </x:c>
      <x:c r="I25" s="115" t="str">
        <x:v>Azure Managed Redis.</x:v>
      </x:c>
      <x:c r="J25" s="115" t="str">
        <x:v>Memorystore for Redis, Redis Cluster and Valkey.</x:v>
      </x:c>
      <x:c r="K25" s="115" t="str">
        <x:v>Can support feature serving, agent session state and semantic cache patterns.</x:v>
      </x:c>
      <x:c r="L25" s="115" t="str">
        <x:v>Eviction, persistence, backup, encryption, failover and cache-stampede protection.</x:v>
      </x:c>
      <x:c r="M25" s="115" t="str">
        <x:v>Easy–Moderate</x:v>
      </x:c>
      <x:c r="N25" s="115" t="str">
        <x:v>Medium; Redis protocol helps portability, managed features differ.</x:v>
      </x:c>
      <x:c r="O25" s="159" t="str">
        <x:v>Use a cache to improve a system of record; choose MemoryDB-style durability only when the workload truly requires it.</x:v>
      </x:c>
      <x:c r="P25" s="115" t="str">
        <x:v>Close</x:v>
      </x:c>
      <x:c r="Q25" s="157" t="str">
        <x:v>MemoryDB is durable-primary oriented; standard caches are not equivalent.</x:v>
      </x:c>
      <x:c r="R25" s="115" t="str">
        <x:v>https://docs.cloud.google.com/docs/databases</x:v>
      </x:c>
      <x:c r="S25" s="115" t="str">
        <x:v>2026-07-12</x:v>
      </x:c>
    </x:row>
    <x:row r="26">
      <x:c r="A26" s="155" t="str">
        <x:v>In-memory</x:v>
      </x:c>
      <x:c r="B26" s="156" t="str">
        <x:v>Managed Memcached</x:v>
      </x:c>
      <x:c r="C26" s="115" t="str">
        <x:v>You need a simple distributed volatile cache using the Memcached protocol.</x:v>
      </x:c>
      <x:c r="D26" s="115" t="str">
        <x:v>You need durability, rich data structures, replication or advanced pub/sub.</x:v>
      </x:c>
      <x:c r="E26" s="115" t="str">
        <x:v>Volatile cache with no durable transaction semantics.</x:v>
      </x:c>
      <x:c r="F26" s="115" t="str">
        <x:v>Simple get/set cache.</x:v>
      </x:c>
      <x:c r="G26" s="115" t="str">
        <x:v>Horizontal cache nodes.</x:v>
      </x:c>
      <x:c r="H26" s="115" t="str">
        <x:v>Amazon ElastiCache for Memcached.</x:v>
      </x:c>
      <x:c r="I26" s="115" t="str">
        <x:v>No direct first-party Memcached equivalent; Azure Managed Redis is the strategic alternative.</x:v>
      </x:c>
      <x:c r="J26" s="115" t="str">
        <x:v>Memorystore for Memcached.</x:v>
      </x:c>
      <x:c r="K26" s="115" t="str">
        <x:v>Limited direct AI role beyond caching.</x:v>
      </x:c>
      <x:c r="L26" s="115" t="str">
        <x:v>Eviction, cache invalidation, network isolation and failure behavior.</x:v>
      </x:c>
      <x:c r="M26" s="115" t="str">
        <x:v>Easy</x:v>
      </x:c>
      <x:c r="N26" s="115" t="str">
        <x:v>Low protocol lock-in, but Azure migration requires Redis/application change.</x:v>
      </x:c>
      <x:c r="O26" s="159" t="str">
        <x:v>Use only when Memcached compatibility or simplicity is required; Redis/Valkey is usually the richer default.</x:v>
      </x:c>
      <x:c r="P26" s="115" t="str">
        <x:v>Partial</x:v>
      </x:c>
      <x:c r="Q26" s="157" t="str">
        <x:v>Azure has no direct managed Memcached equivalent.</x:v>
      </x:c>
      <x:c r="R26" s="115" t="str">
        <x:v>https://docs.cloud.google.com/docs/databases</x:v>
      </x:c>
      <x:c r="S26" s="115" t="str">
        <x:v>2026-07-12</x:v>
      </x:c>
    </x:row>
    <x:row r="27">
      <x:c r="A27" s="155" t="str">
        <x:v>Ledger and blockchain</x:v>
      </x:c>
      <x:c r="B27" s="156" t="str">
        <x:v>Immutable confidential ledger</x:v>
      </x:c>
      <x:c r="C27" s="115" t="str">
        <x:v>You need tamper-evident, append-only records with cryptographic verification.</x:v>
      </x:c>
      <x:c r="D27" s="115" t="str">
        <x:v>A standard audited relational database plus immutable storage meets the requirement.</x:v>
      </x:c>
      <x:c r="E27" s="115" t="str">
        <x:v>Append-only/verifiable record semantics rather than general relational querying.</x:v>
      </x:c>
      <x:c r="F27" s="115" t="str">
        <x:v>Audit records, multiparty evidence and integrity verification.</x:v>
      </x:c>
      <x:c r="G27" s="115" t="str">
        <x:v>Specialized ledger service.</x:v>
      </x:c>
      <x:c r="H27" s="115" t="str">
        <x:v>Amazon QLDB is fully shut down; use Amazon Managed Blockchain or alternative verifiable-ledger patterns.</x:v>
      </x:c>
      <x:c r="I27" s="115" t="str">
        <x:v>Azure Confidential Ledger.</x:v>
      </x:c>
      <x:c r="J27" s="115" t="str">
        <x:v>Partner ledger/blockchain services; Blockchain Node Engine is not an exact confidential-ledger equivalent.</x:v>
      </x:c>
      <x:c r="K27" s="115" t="str">
        <x:v>Can store AI decision/evidence hashes, but does not replace complete audit logs.</x:v>
      </x:c>
      <x:c r="L27" s="115" t="str">
        <x:v>Key custody, verifier independence, retention, privacy and correction conflicts.</x:v>
      </x:c>
      <x:c r="M27" s="115" t="str">
        <x:v>Advanced</x:v>
      </x:c>
      <x:c r="N27" s="115" t="str">
        <x:v>High specialized-service lock-in.</x:v>
      </x:c>
      <x:c r="O27" s="159" t="str">
        <x:v>Use only where cryptographic verification is an explicit requirement; note that immutable records can conflict with deletion obligations.</x:v>
      </x:c>
      <x:c r="P27" s="115" t="str">
        <x:v>Partial</x:v>
      </x:c>
      <x:c r="Q27" s="157" t="str">
        <x:v>Amazon QLDB reached end of support on 31 July 2025.</x:v>
      </x:c>
      <x:c r="R27" s="115" t="str">
        <x:v>https://docs.aws.amazon.com/general/latest/gr/full_shutdown_services.html</x:v>
      </x:c>
      <x:c r="S27" s="115" t="str">
        <x:v>2026-07-12</x:v>
      </x:c>
    </x:row>
    <x:row r="28">
      <x:c r="A28" s="155" t="str">
        <x:v>Ledger and blockchain</x:v>
      </x:c>
      <x:c r="B28" s="156" t="str">
        <x:v>Managed blockchain nodes and networks</x:v>
      </x:c>
      <x:c r="C28" s="115" t="str">
        <x:v>You need managed access to blockchain networks, nodes or chain data.</x:v>
      </x:c>
      <x:c r="D28" s="115" t="str">
        <x:v>The business requirement does not need decentralized or shared-ledger properties.</x:v>
      </x:c>
      <x:c r="E28" s="115" t="str">
        <x:v>Blockchain consensus and chain-specific transaction model.</x:v>
      </x:c>
      <x:c r="F28" s="115" t="str">
        <x:v>Node RPC, smart contracts, network membership and chain analytics.</x:v>
      </x:c>
      <x:c r="G28" s="115" t="str">
        <x:v>Managed nodes/network infrastructure.</x:v>
      </x:c>
      <x:c r="H28" s="115" t="str">
        <x:v>Amazon Managed Blockchain.</x:v>
      </x:c>
      <x:c r="I28" s="115" t="str">
        <x:v>Azure Confidential Ledger and partner blockchain offerings.</x:v>
      </x:c>
      <x:c r="J28" s="115" t="str">
        <x:v>Blockchain Node Engine, Blockchain RPC and Blockchain Analytics.</x:v>
      </x:c>
      <x:c r="K28" s="115" t="str">
        <x:v>AI can analyze chain data; blockchain is not an AI governance substitute.</x:v>
      </x:c>
      <x:c r="L28" s="115" t="str">
        <x:v>Key management, smart-contract risk, privacy, finality, network governance and regulation.</x:v>
      </x:c>
      <x:c r="M28" s="115" t="str">
        <x:v>Advanced</x:v>
      </x:c>
      <x:c r="N28" s="115" t="str">
        <x:v>Very high technology and ecosystem lock-in.</x:v>
      </x:c>
      <x:c r="O28" s="159" t="str">
        <x:v>Require a clear multiparty trust problem before selecting blockchain.</x:v>
      </x:c>
      <x:c r="P28" s="115" t="str">
        <x:v>Partial</x:v>
      </x:c>
      <x:c r="Q28" s="157" t="str">
        <x:v>Services cover different layers: ledger, nodes, RPC and analytics.</x:v>
      </x:c>
      <x:c r="R28" s="115" t="str">
        <x:v>https://docs.cloud.google.com/docs/databases</x:v>
      </x:c>
      <x:c r="S28" s="115" t="str">
        <x:v>2026-07-12</x:v>
      </x:c>
    </x:row>
    <x:row r="29">
      <x:c r="A29" s="155" t="str">
        <x:v>Analytics database</x:v>
      </x:c>
      <x:c r="B29" s="156" t="str">
        <x:v>Cloud data warehouse</x:v>
      </x:c>
      <x:c r="C29" s="115" t="str">
        <x:v>You need large-scale analytical SQL, BI concurrency and columnar processing.</x:v>
      </x:c>
      <x:c r="D29" s="115" t="str">
        <x:v>You need low-latency row-level OLTP as the primary workload.</x:v>
      </x:c>
      <x:c r="E29" s="115" t="str">
        <x:v>Analytical consistency; not a general OLTP transaction system.</x:v>
      </x:c>
      <x:c r="F29" s="115" t="str">
        <x:v>Scans, aggregations, BI, ELT and historical analysis.</x:v>
      </x:c>
      <x:c r="G29" s="115" t="str">
        <x:v>MPP/serverless analytical scale.</x:v>
      </x:c>
      <x:c r="H29" s="115" t="str">
        <x:v>Amazon Redshift and Redshift Serverless.</x:v>
      </x:c>
      <x:c r="I29" s="115" t="str">
        <x:v>Microsoft Fabric Warehouse; Azure Synapse Analytics.</x:v>
      </x:c>
      <x:c r="J29" s="115" t="str">
        <x:v>BigQuery.</x:v>
      </x:c>
      <x:c r="K29" s="115" t="str">
        <x:v>Embedded ML/AI, vector/search and integration with provider AI platforms.</x:v>
      </x:c>
      <x:c r="L29" s="115" t="str">
        <x:v>Data governance, workload management, semantic layer, sharing, row/column controls and cost governance.</x:v>
      </x:c>
      <x:c r="M29" s="115" t="str">
        <x:v>Moderate</x:v>
      </x:c>
      <x:c r="N29" s="115" t="str">
        <x:v>High service-specific SQL/operating-model lock-in.</x:v>
      </x:c>
      <x:c r="O29" s="159" t="str">
        <x:v>Select from data gravity, BI ecosystem, concurrency, governance and cost—not only benchmark speed.</x:v>
      </x:c>
      <x:c r="P29" s="115" t="str">
        <x:v>Close</x:v>
      </x:c>
      <x:c r="Q29" s="157" t="str">
        <x:v>Architecture and commercial models differ materially.</x:v>
      </x:c>
      <x:c r="R29" s="115" t="str">
        <x:v>https://docs.cloud.google.com/docs/databases</x:v>
      </x:c>
      <x:c r="S29" s="115" t="str">
        <x:v>2026-07-12</x:v>
      </x:c>
    </x:row>
    <x:row r="30">
      <x:c r="A30" s="155" t="str">
        <x:v>Analytics database</x:v>
      </x:c>
      <x:c r="B30" s="156" t="str">
        <x:v>Real-time analytical / event database</x:v>
      </x:c>
      <x:c r="C30" s="115" t="str">
        <x:v>You need high-ingest telemetry and interactive analysis over recent events.</x:v>
      </x:c>
      <x:c r="D30" s="115" t="str">
        <x:v>You need normalized transactional updates and complex relational constraints.</x:v>
      </x:c>
      <x:c r="E30" s="115" t="str">
        <x:v>Append/ingest-optimized analytical consistency.</x:v>
      </x:c>
      <x:c r="F30" s="115" t="str">
        <x:v>Time-window analysis, logs, telemetry and near-real-time dashboards.</x:v>
      </x:c>
      <x:c r="G30" s="115" t="str">
        <x:v>Distributed ingestion and columnar analytical storage.</x:v>
      </x:c>
      <x:c r="H30" s="115" t="str">
        <x:v>Amazon OpenSearch Service; Timestream; Redshift streaming patterns.</x:v>
      </x:c>
      <x:c r="I30" s="115" t="str">
        <x:v>Azure Data Explorer; Eventhouse in Microsoft Fabric.</x:v>
      </x:c>
      <x:c r="J30" s="115" t="str">
        <x:v>Bigtable for operational serving; BigQuery for analytical queries.</x:v>
      </x:c>
      <x:c r="K30" s="115" t="str">
        <x:v>Anomaly detection and AI-assisted analysis integrations.</x:v>
      </x:c>
      <x:c r="L30" s="115" t="str">
        <x:v>Retention, ingestion reliability, schema evolution, PII in logs and query-cost controls.</x:v>
      </x:c>
      <x:c r="M30" s="115" t="str">
        <x:v>Moderate</x:v>
      </x:c>
      <x:c r="N30" s="115" t="str">
        <x:v>Medium–High due query-language differences.</x:v>
      </x:c>
      <x:c r="O30" s="159" t="str">
        <x:v>Choose based on required ingest latency and interactive query pattern; separate hot operational and historical analytical tiers when useful.</x:v>
      </x:c>
      <x:c r="P30" s="115" t="str">
        <x:v>Partial</x:v>
      </x:c>
      <x:c r="Q30" s="157" t="str">
        <x:v>No exact one-to-one trio.</x:v>
      </x:c>
      <x:c r="R30" s="115" t="str">
        <x:v>https://learn.microsoft.com/en-us/azure/architecture/data-guide/technology-choices/understand-data-store-models</x:v>
      </x:c>
      <x:c r="S30" s="115" t="str">
        <x:v>2026-07-12</x:v>
      </x:c>
    </x:row>
    <x:row r="31">
      <x:c r="A31" s="155" t="str">
        <x:v>Application platform data</x:v>
      </x:c>
      <x:c r="B31" s="156" t="str">
        <x:v>Serverless mobile and web application database</x:v>
      </x:c>
      <x:c r="C31" s="115" t="str">
        <x:v>You need client SDKs, offline sync, real-time updates and minimal backend operations.</x:v>
      </x:c>
      <x:c r="D31" s="115" t="str">
        <x:v>You need complex relational reporting, strict cross-record transactions or database portability.</x:v>
      </x:c>
      <x:c r="E31" s="115" t="str">
        <x:v>Application-oriented transactions and consistency.</x:v>
      </x:c>
      <x:c r="F31" s="115" t="str">
        <x:v>Mobile/web documents, sync, listeners and user-scoped data.</x:v>
      </x:c>
      <x:c r="G31" s="115" t="str">
        <x:v>Serverless autoscaling.</x:v>
      </x:c>
      <x:c r="H31" s="115" t="str">
        <x:v>AWS AppSync with DynamoDB/Amplify Data.</x:v>
      </x:c>
      <x:c r="I31" s="115" t="str">
        <x:v>Azure Cosmos DB plus app services; Microsoft Dataverse for Power Platform/Dynamics scenarios.</x:v>
      </x:c>
      <x:c r="J31" s="115" t="str">
        <x:v>Firestore in Native mode / Firebase.</x:v>
      </x:c>
      <x:c r="K31" s="115" t="str">
        <x:v>Integrated app AI and vector patterns vary.</x:v>
      </x:c>
      <x:c r="L31" s="115" t="str">
        <x:v>Client security rules, identity integration, offline data, tenancy and deletion.</x:v>
      </x:c>
      <x:c r="M31" s="115" t="str">
        <x:v>Easy</x:v>
      </x:c>
      <x:c r="N31" s="115" t="str">
        <x:v>High SDK/data-model lock-in.</x:v>
      </x:c>
      <x:c r="O31" s="159" t="str">
        <x:v>Use when developer experience and real-time client sync outweigh relational flexibility and portability.</x:v>
      </x:c>
      <x:c r="P31" s="115" t="str">
        <x:v>Partial</x:v>
      </x:c>
      <x:c r="Q31" s="157" t="str">
        <x:v>Firestore is the most integrated first-party mobile backend database.</x:v>
      </x:c>
      <x:c r="R31" s="115" t="str">
        <x:v>https://docs.cloud.google.com/docs/databases</x:v>
      </x:c>
      <x:c r="S31" s="115" t="str">
        <x:v>2026-07-12</x:v>
      </x:c>
    </x:row>
    <x:row r="32">
      <x:c r="A32" s="155" t="str">
        <x:v>Business application data</x:v>
      </x:c>
      <x:c r="B32" s="156" t="str">
        <x:v>Low-code / SaaS business data platform</x:v>
      </x:c>
      <x:c r="C32" s="115" t="str">
        <x:v>You need business entities, workflow, security and low-code application integration.</x:v>
      </x:c>
      <x:c r="D32" s="115" t="str">
        <x:v>You need unrestricted SQL, high-throughput processing or database-engine control.</x:v>
      </x:c>
      <x:c r="E32" s="115" t="str">
        <x:v>Platform-managed relational/business data semantics.</x:v>
      </x:c>
      <x:c r="F32" s="115" t="str">
        <x:v>Business entities, APIs, workflow and role/row-level security.</x:v>
      </x:c>
      <x:c r="G32" s="115" t="str">
        <x:v>SaaS capacity and platform scaling.</x:v>
      </x:c>
      <x:c r="H32" s="115" t="str">
        <x:v>AWS App Studio with AWS databases selected separately.</x:v>
      </x:c>
      <x:c r="I32" s="115" t="str">
        <x:v>Microsoft Dataverse.</x:v>
      </x:c>
      <x:c r="J32" s="115" t="str">
        <x:v>AppSheet databases/connectors and Google Cloud databases selected separately.</x:v>
      </x:c>
      <x:c r="K32" s="115" t="str">
        <x:v>Copilot/agent integration with business data.</x:v>
      </x:c>
      <x:c r="L32" s="115" t="str">
        <x:v>Business roles, row/column security, environment governance, data export and integration.</x:v>
      </x:c>
      <x:c r="M32" s="115" t="str">
        <x:v>Easy</x:v>
      </x:c>
      <x:c r="N32" s="115" t="str">
        <x:v>Very high application-platform lock-in.</x:v>
      </x:c>
      <x:c r="O32" s="159" t="str">
        <x:v>Treat the business data platform as part of the application suite, not as a general database replacement.</x:v>
      </x:c>
      <x:c r="P32" s="115" t="str">
        <x:v>Partial</x:v>
      </x:c>
      <x:c r="Q32" s="157" t="str">
        <x:v>Microsoft Dataverse is the clearest first-party business data platform.</x:v>
      </x:c>
      <x:c r="R32" s="115" t="str">
        <x:v>https://learn.microsoft.com/en-us/azure/architecture/data-guide/technology-choices/understand-data-store-models</x:v>
      </x:c>
      <x:c r="S32" s="115" t="str">
        <x:v>2026-07-12</x:v>
      </x:c>
    </x:row>
    <x:row r="33">
      <x:c r="A33" s="155" t="str">
        <x:v>Hybrid database</x:v>
      </x:c>
      <x:c r="B33" s="156" t="str">
        <x:v>Portable PostgreSQL-compatible hybrid database</x:v>
      </x:c>
      <x:c r="C33" s="115" t="str">
        <x:v>You need the same PostgreSQL-compatible engine across cloud, on-premises or disconnected environments.</x:v>
      </x:c>
      <x:c r="D33" s="115" t="str">
        <x:v>A fully managed single-cloud database provides sufficient requirements and lower operational burden.</x:v>
      </x:c>
      <x:c r="E33" s="115" t="str">
        <x:v>PostgreSQL transactions; operational responsibility varies by deployment.</x:v>
      </x:c>
      <x:c r="F33" s="115" t="str">
        <x:v>Hybrid transactional SQL and application modernization.</x:v>
      </x:c>
      <x:c r="G33" s="115" t="str">
        <x:v>Customer-managed or managed distributed deployment.</x:v>
      </x:c>
      <x:c r="H33" s="115" t="str">
        <x:v>PostgreSQL on EKS/EC2 or partner databases; Aurora is AWS-only managed.</x:v>
      </x:c>
      <x:c r="I33" s="115" t="str">
        <x:v>Azure Arc-enabled PostgreSQL/partner options and Azure Database for PostgreSQL in Azure.</x:v>
      </x:c>
      <x:c r="J33" s="115" t="str">
        <x:v>AlloyDB Omni and AlloyDB for PostgreSQL.</x:v>
      </x:c>
      <x:c r="K33" s="115" t="str">
        <x:v>pgvector and AI integration.</x:v>
      </x:c>
      <x:c r="L33" s="115" t="str">
        <x:v>Patch responsibility, backup, HA, support boundary, licence and version parity.</x:v>
      </x:c>
      <x:c r="M33" s="115" t="str">
        <x:v>Advanced</x:v>
      </x:c>
      <x:c r="N33" s="115" t="str">
        <x:v>Lower engine lock-in but higher operational burden.</x:v>
      </x:c>
      <x:c r="O33" s="159" t="str">
        <x:v>Choose hybrid portability only when deployment constraints justify operating more of the database stack.</x:v>
      </x:c>
      <x:c r="P33" s="115" t="str">
        <x:v>Partial</x:v>
      </x:c>
      <x:c r="Q33" s="157" t="str">
        <x:v>AlloyDB Omni provides a notable first-party hybrid option.</x:v>
      </x:c>
      <x:c r="R33" s="115" t="str">
        <x:v>https://docs.cloud.google.com/docs/databases</x:v>
      </x:c>
      <x:c r="S33" s="115" t="str">
        <x:v>2026-07-12</x:v>
      </x:c>
    </x:row>
    <x:row r="34">
      <x:c r="A34" s="155" t="str">
        <x:v>Database operations</x:v>
      </x:c>
      <x:c r="B34" s="156" t="str">
        <x:v>Database migration and change data capture</x:v>
      </x:c>
      <x:c r="C34" s="115" t="str">
        <x:v>You need low-downtime migration, replication or ongoing CDC between databases.</x:v>
      </x:c>
      <x:c r="D34" s="115" t="str">
        <x:v>A simple offline export/import meets downtime and volume requirements.</x:v>
      </x:c>
      <x:c r="E34" s="115" t="str">
        <x:v>Preserves source transaction ordering according to tool capabilities.</x:v>
      </x:c>
      <x:c r="F34" s="115" t="str">
        <x:v>Initial load plus continuous change replication.</x:v>
      </x:c>
      <x:c r="G34" s="115" t="str">
        <x:v>Parallel migration workers and streaming replication.</x:v>
      </x:c>
      <x:c r="H34" s="115" t="str">
        <x:v>AWS Database Migration Service and Schema Conversion Tool.</x:v>
      </x:c>
      <x:c r="I34" s="115" t="str">
        <x:v>Azure Database Migration Service and Azure Data Factory.</x:v>
      </x:c>
      <x:c r="J34" s="115" t="str">
        <x:v>Database Migration Service and Datastream.</x:v>
      </x:c>
      <x:c r="K34" s="115" t="str">
        <x:v>Feeds analytics/RAG/AI data pipelines after migration.</x:v>
      </x:c>
      <x:c r="L34" s="115" t="str">
        <x:v>Schema conversion, validation, cutover, rollback, encryption, credentials and reconciliation.</x:v>
      </x:c>
      <x:c r="M34" s="115" t="str">
        <x:v>Moderate–Advanced</x:v>
      </x:c>
      <x:c r="N34" s="115" t="str">
        <x:v>Migration tooling is temporary; target database creates long-term lock-in.</x:v>
      </x:c>
      <x:c r="O34" s="159" t="str">
        <x:v>Select target architecture first; the migration tool should follow source/target compatibility and downtime requirements.</x:v>
      </x:c>
      <x:c r="P34" s="115" t="str">
        <x:v>Exact</x:v>
      </x:c>
      <x:c r="Q34" s="157" t="str">
        <x:v>Feature coverage differs by source/target engine.</x:v>
      </x:c>
      <x:c r="R34" s="115" t="str">
        <x:v>https://docs.cloud.google.com/docs/databases</x:v>
      </x:c>
      <x:c r="S34" s="115" t="str">
        <x:v>2026-07-12</x:v>
      </x:c>
    </x:row>
    <x:row r="35">
      <x:c r="A35" s="155" t="str">
        <x:v>Database governance</x:v>
      </x:c>
      <x:c r="B35" s="156" t="str">
        <x:v>Database estate discovery and fleet management</x:v>
      </x:c>
      <x:c r="C35" s="115" t="str">
        <x:v>You need centralized visibility of database versions, risk, ownership and modernization opportunities.</x:v>
      </x:c>
      <x:c r="D35" s="115" t="str">
        <x:v>The estate is small enough for direct service-level management.</x:v>
      </x:c>
      <x:c r="E35" s="115" t="str">
        <x:v>Administrative metadata rather than workload transactions.</x:v>
      </x:c>
      <x:c r="F35" s="115" t="str">
        <x:v>Inventory, recommendations, vulnerability and lifecycle management.</x:v>
      </x:c>
      <x:c r="G35" s="115" t="str">
        <x:v>Cross-account/subscription/project fleet.</x:v>
      </x:c>
      <x:c r="H35" s="115" t="str">
        <x:v>AWS Systems Manager, RDS fleet views, Config and Migration Hub patterns.</x:v>
      </x:c>
      <x:c r="I35" s="115" t="str">
        <x:v>Azure Arc-enabled data services, Azure Resource Graph and database estate tools.</x:v>
      </x:c>
      <x:c r="J35" s="115" t="str">
        <x:v>Database Center.</x:v>
      </x:c>
      <x:c r="K35" s="115" t="str">
        <x:v>Can identify data sources for AI/RAG and modernization.</x:v>
      </x:c>
      <x:c r="L35" s="115" t="str">
        <x:v>Ownership, unsupported versions, public exposure, backup posture, encryption and patch level.</x:v>
      </x:c>
      <x:c r="M35" s="115" t="str">
        <x:v>Moderate</x:v>
      </x:c>
      <x:c r="N35" s="115" t="str">
        <x:v>Low; metadata management does not lock the database workload.</x:v>
      </x:c>
      <x:c r="O35" s="159" t="str">
        <x:v>Create database inventory before rationalization, migration or AI data-access programmes.</x:v>
      </x:c>
      <x:c r="P35" s="115" t="str">
        <x:v>Partial</x:v>
      </x:c>
      <x:c r="Q35" s="157" t="str">
        <x:v>Google Database Center is the most explicit dedicated fleet experience.</x:v>
      </x:c>
      <x:c r="R35" s="115" t="str">
        <x:v>https://docs.cloud.google.com/docs/databases</x:v>
      </x:c>
      <x:c r="S35" s="115" t="str">
        <x:v>2026-07-12</x:v>
      </x:c>
    </x:row>
  </x:sheetData>
  <x:mergeCells>
    <x:mergeCell ref="A1:S1"/>
    <x:mergeCell ref="A2:S2"/>
  </x:mergeCells>
  <x:pageMargins left="0.7" right="0.7" top="0.75" bottom="0.75" header="0.3" footer="0.3"/>
  <x:tableParts count="1">
    <x:tablePart xmlns:r="http://schemas.openxmlformats.org/officeDocument/2006/relationships" r:id="Rf36fabe592644689"/>
  </x:tableParts>
</x:worksheet>
</file>